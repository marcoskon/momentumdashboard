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842" documentId="8_{EB75218D-2B89-4C0B-9C31-74AD954AF6A1}" xr6:coauthVersionLast="47" xr6:coauthVersionMax="47" xr10:uidLastSave="{60FD970E-A28E-4E3D-B298-1DABBEC024A0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pendientes'!$A$1:$V$107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M12" i="1"/>
  <c r="N12" i="1"/>
  <c r="L12" i="1"/>
  <c r="I91" i="3"/>
  <c r="L11" i="1"/>
  <c r="L13" i="1" l="1"/>
  <c r="L23" i="1"/>
  <c r="I90" i="3"/>
  <c r="L32" i="1"/>
  <c r="I89" i="3" l="1"/>
  <c r="I88" i="3" l="1"/>
  <c r="E98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96" i="7" l="1"/>
  <c r="W535" i="7"/>
  <c r="W76" i="7"/>
  <c r="W701" i="7"/>
  <c r="W147" i="7"/>
  <c r="W564" i="7"/>
  <c r="W1607" i="7"/>
  <c r="W748" i="7"/>
  <c r="W826" i="7"/>
  <c r="W749" i="7"/>
  <c r="W233" i="7"/>
  <c r="W455" i="7"/>
  <c r="W106" i="7"/>
  <c r="W308" i="7"/>
  <c r="W456" i="7"/>
  <c r="W626" i="7"/>
  <c r="W1645" i="7"/>
  <c r="W703" i="7"/>
  <c r="W1107" i="7"/>
  <c r="W373" i="7"/>
  <c r="W75" i="7"/>
  <c r="W952" i="7"/>
  <c r="W234" i="7"/>
  <c r="W184" i="7"/>
  <c r="W702" i="7"/>
  <c r="W747" i="7"/>
  <c r="W262" i="7"/>
  <c r="W424" i="7"/>
  <c r="W490" i="7"/>
  <c r="W845" i="7"/>
  <c r="W825" i="7"/>
  <c r="W662" i="7"/>
  <c r="W705" i="7"/>
  <c r="W1227" i="7"/>
  <c r="W823" i="7"/>
  <c r="W425" i="7"/>
  <c r="W77" i="7"/>
  <c r="W660" i="7"/>
  <c r="W922" i="7"/>
  <c r="W107" i="7"/>
  <c r="W398" i="7"/>
  <c r="W724" i="7"/>
  <c r="W846" i="7"/>
  <c r="W663" i="7"/>
  <c r="W1333" i="7"/>
  <c r="W536" i="7"/>
  <c r="W700" i="7"/>
  <c r="W307" i="7"/>
  <c r="W824" i="7"/>
  <c r="W37" i="7"/>
  <c r="W108" i="7"/>
  <c r="W767" i="7"/>
  <c r="W661" i="7"/>
  <c r="W704" i="7"/>
  <c r="W953" i="7"/>
  <c r="W827" i="7"/>
  <c r="W371" i="7"/>
  <c r="W397" i="7"/>
  <c r="W340" i="7"/>
  <c r="W372" i="7"/>
  <c r="W370" i="7"/>
  <c r="W288" i="7"/>
  <c r="W1781" i="7"/>
  <c r="W1522" i="7"/>
  <c r="W172" i="7"/>
  <c r="W721" i="7"/>
  <c r="W285" i="7"/>
  <c r="W527" i="7"/>
  <c r="W486" i="7"/>
  <c r="W1737" i="7"/>
  <c r="W291" i="7"/>
  <c r="W1773" i="7"/>
  <c r="W901" i="7"/>
  <c r="W1208" i="7"/>
  <c r="W1187" i="7"/>
  <c r="W750" i="7"/>
  <c r="W110" i="7"/>
  <c r="W544" i="7"/>
  <c r="W847" i="7"/>
  <c r="W1073" i="7"/>
  <c r="W1761" i="7"/>
  <c r="W84" i="7"/>
  <c r="W78" i="7"/>
  <c r="W1358" i="7"/>
  <c r="W924" i="7"/>
  <c r="W309" i="7"/>
  <c r="W40" i="7"/>
  <c r="W311" i="7"/>
  <c r="W313" i="7"/>
  <c r="W109" i="7"/>
  <c r="W403" i="7"/>
  <c r="W38" i="7"/>
  <c r="W1029" i="7"/>
  <c r="W608" i="7"/>
  <c r="W404" i="7"/>
  <c r="W1792" i="7"/>
  <c r="W1150" i="7"/>
  <c r="W1309" i="7"/>
  <c r="W1540" i="7"/>
  <c r="W1082" i="7"/>
  <c r="W434" i="7"/>
  <c r="W859" i="7"/>
  <c r="W1005" i="7"/>
  <c r="W1045" i="7"/>
  <c r="W1136" i="7"/>
  <c r="W450" i="7"/>
  <c r="W520" i="7"/>
  <c r="W1786" i="7"/>
  <c r="W1664" i="7"/>
  <c r="W795" i="7"/>
  <c r="W766" i="7"/>
  <c r="W655" i="7"/>
  <c r="W1352" i="7"/>
  <c r="W1488" i="7"/>
  <c r="W14" i="7"/>
  <c r="W878" i="7"/>
  <c r="W132" i="7"/>
  <c r="W1059" i="7"/>
  <c r="W521" i="7"/>
  <c r="W155" i="7"/>
  <c r="W1181" i="7"/>
  <c r="W156" i="7"/>
  <c r="W1219" i="7"/>
  <c r="W1508" i="7"/>
  <c r="W522" i="7"/>
  <c r="W1803" i="7"/>
  <c r="W964" i="7"/>
  <c r="W864" i="7"/>
  <c r="W879" i="7"/>
  <c r="W453" i="7"/>
  <c r="W816" i="7"/>
  <c r="W166" i="7"/>
  <c r="W1445" i="7"/>
  <c r="W698" i="7"/>
  <c r="W339" i="7"/>
  <c r="W1044" i="7"/>
  <c r="W801" i="7"/>
  <c r="W1764" i="7"/>
  <c r="W52" i="7"/>
  <c r="W1028" i="7"/>
  <c r="W1400" i="7"/>
  <c r="W211" i="7"/>
  <c r="W1074" i="7"/>
  <c r="W1551" i="7"/>
  <c r="W829" i="7"/>
  <c r="W1268" i="7"/>
  <c r="W299" i="7"/>
  <c r="W1373" i="7"/>
  <c r="W1075" i="7"/>
  <c r="W88" i="7"/>
  <c r="W1717" i="7"/>
  <c r="W1516" i="7"/>
  <c r="W1175" i="7"/>
  <c r="W1050" i="7"/>
  <c r="W1767" i="7"/>
  <c r="W286" i="7"/>
  <c r="W1713" i="7"/>
  <c r="W36" i="7"/>
  <c r="W1558" i="7"/>
  <c r="W423" i="7"/>
  <c r="W231" i="7"/>
  <c r="W129" i="7"/>
  <c r="W539" i="7"/>
  <c r="W343" i="7"/>
  <c r="W956" i="7"/>
  <c r="W1553" i="7"/>
  <c r="W937" i="7"/>
  <c r="W1384" i="7"/>
  <c r="W1490" i="7"/>
  <c r="W1671" i="7"/>
  <c r="W1584" i="7"/>
  <c r="W61" i="7"/>
  <c r="W390" i="7"/>
  <c r="W480" i="7"/>
  <c r="W1246" i="7"/>
  <c r="W523" i="7"/>
  <c r="W1748" i="7"/>
  <c r="W1698" i="7"/>
  <c r="W1200" i="7"/>
  <c r="W1121" i="7"/>
  <c r="W541" i="7"/>
  <c r="W1471" i="7"/>
  <c r="W729" i="7"/>
  <c r="W965" i="7"/>
  <c r="W1583" i="7"/>
  <c r="W775" i="7"/>
  <c r="W1125" i="7"/>
  <c r="W897" i="7"/>
  <c r="W848" i="7"/>
  <c r="W164" i="7"/>
  <c r="W566" i="7"/>
  <c r="W1042" i="7"/>
  <c r="W187" i="7"/>
  <c r="W1636" i="7"/>
  <c r="W1526" i="7"/>
  <c r="W1460" i="7"/>
  <c r="W720" i="7"/>
  <c r="W1259" i="7"/>
  <c r="W1172" i="7"/>
  <c r="W1214" i="7"/>
  <c r="W1260" i="7"/>
  <c r="W1041" i="7"/>
  <c r="W899" i="7"/>
  <c r="W538" i="7"/>
  <c r="W140" i="7"/>
  <c r="W1061" i="7"/>
  <c r="W1505" i="7"/>
  <c r="W1609" i="7"/>
  <c r="W1202" i="7"/>
  <c r="W1004" i="7"/>
  <c r="W1194" i="7"/>
  <c r="W912" i="7"/>
  <c r="W1462" i="7"/>
  <c r="W1480" i="7"/>
  <c r="W1481" i="7"/>
  <c r="W908" i="7"/>
  <c r="W1040" i="7"/>
  <c r="W731" i="7"/>
  <c r="W320" i="7"/>
  <c r="W732" i="7"/>
  <c r="W1170" i="7"/>
  <c r="W495" i="7"/>
  <c r="W934" i="7"/>
  <c r="W1233" i="7"/>
  <c r="W1288" i="7"/>
  <c r="W1499" i="7"/>
  <c r="W1472" i="7"/>
  <c r="W1076" i="7"/>
  <c r="W200" i="7"/>
  <c r="W401" i="7"/>
  <c r="W803" i="7"/>
  <c r="W1527" i="7"/>
  <c r="W1561" i="7"/>
  <c r="W1559" i="7"/>
  <c r="W1133" i="7"/>
  <c r="W1538" i="7"/>
  <c r="W415" i="7"/>
  <c r="W1629" i="7"/>
  <c r="W740" i="7"/>
  <c r="W1452" i="7"/>
  <c r="W969" i="7"/>
  <c r="W617" i="7"/>
  <c r="W1575" i="7"/>
  <c r="W163" i="7"/>
  <c r="W408" i="7"/>
  <c r="W1753" i="7"/>
  <c r="W221" i="7"/>
  <c r="W1587" i="7"/>
  <c r="W1178" i="7"/>
  <c r="W640" i="7"/>
  <c r="W1357" i="7"/>
  <c r="W121" i="7"/>
  <c r="W358" i="7"/>
  <c r="W98" i="7"/>
  <c r="W1251" i="7"/>
  <c r="W113" i="7"/>
  <c r="W996" i="7"/>
  <c r="W1500" i="7"/>
  <c r="W1723" i="7"/>
  <c r="W797" i="7"/>
  <c r="W1628" i="7"/>
  <c r="W386" i="7"/>
  <c r="W1165" i="7"/>
  <c r="W552" i="7"/>
  <c r="W1672" i="7"/>
  <c r="W715" i="7"/>
  <c r="W1160" i="7"/>
  <c r="W1323" i="7"/>
  <c r="W1611" i="7"/>
  <c r="W1229" i="7"/>
  <c r="W1253" i="7"/>
  <c r="W1320" i="7"/>
  <c r="W1266" i="7"/>
  <c r="W444" i="7"/>
  <c r="W1097" i="7"/>
  <c r="W478" i="7"/>
  <c r="W681" i="7"/>
  <c r="W1618" i="7"/>
  <c r="W482" i="7"/>
  <c r="W122" i="7"/>
  <c r="W1740" i="7"/>
  <c r="W1433" i="7"/>
  <c r="W341" i="7"/>
  <c r="W891" i="7"/>
  <c r="W1552" i="7"/>
  <c r="W1025" i="7"/>
  <c r="W918" i="7"/>
  <c r="W651" i="7"/>
  <c r="W1720" i="7"/>
  <c r="W652" i="7"/>
  <c r="W1046" i="7"/>
  <c r="W297" i="7"/>
  <c r="W167" i="7"/>
  <c r="W892" i="7"/>
  <c r="W814" i="7"/>
  <c r="W943" i="7"/>
  <c r="W1103" i="7"/>
  <c r="W874" i="7"/>
  <c r="W1758" i="7"/>
  <c r="W951" i="7"/>
  <c r="W1564" i="7"/>
  <c r="W772" i="7"/>
  <c r="W1093" i="7"/>
  <c r="W352" i="7"/>
  <c r="W39" i="7"/>
  <c r="W349" i="7"/>
  <c r="W595" i="7"/>
  <c r="W1385" i="7"/>
  <c r="W1555" i="7"/>
  <c r="W86" i="7"/>
  <c r="W22" i="7"/>
  <c r="W1038" i="7"/>
  <c r="W1315" i="7"/>
  <c r="W1386" i="7"/>
  <c r="W580" i="7"/>
  <c r="W1353" i="7"/>
  <c r="W1811" i="7"/>
  <c r="W883" i="7"/>
  <c r="W178" i="7"/>
  <c r="W177" i="7"/>
  <c r="W1474" i="7"/>
  <c r="W1679" i="7"/>
  <c r="W226" i="7"/>
  <c r="W333" i="7"/>
  <c r="W865" i="7"/>
  <c r="W971" i="7"/>
  <c r="W1819" i="7"/>
  <c r="W56" i="7"/>
  <c r="W713" i="7"/>
  <c r="W114" i="7"/>
  <c r="W858" i="7"/>
  <c r="W90" i="7"/>
  <c r="W1281" i="7"/>
  <c r="W1359" i="7"/>
  <c r="W762" i="7"/>
  <c r="W1818" i="7"/>
  <c r="W1788" i="7"/>
  <c r="W135" i="7"/>
  <c r="W1503" i="7"/>
  <c r="W201" i="7"/>
  <c r="W1449" i="7"/>
  <c r="W377" i="7"/>
  <c r="W20" i="7"/>
  <c r="W355" i="7"/>
  <c r="W1012" i="7"/>
  <c r="W830" i="7"/>
  <c r="W212" i="7"/>
  <c r="W735" i="7"/>
  <c r="W1779" i="7"/>
  <c r="W920" i="7"/>
  <c r="W547" i="7"/>
  <c r="W1341" i="7"/>
  <c r="W1280" i="7"/>
  <c r="W317" i="7"/>
  <c r="W1156" i="7"/>
  <c r="W789" i="7"/>
  <c r="W596" i="7"/>
  <c r="W1085" i="7"/>
  <c r="W1232" i="7"/>
  <c r="W932" i="7"/>
  <c r="W1316" i="7"/>
  <c r="W1204" i="7"/>
  <c r="W674" i="7"/>
  <c r="W1263" i="7"/>
  <c r="W919" i="7"/>
  <c r="W1417" i="7"/>
  <c r="W902" i="7"/>
  <c r="W988" i="7"/>
  <c r="W1427" i="7"/>
  <c r="W329" i="7"/>
  <c r="W991" i="7"/>
  <c r="W1225" i="7"/>
  <c r="W71" i="7"/>
  <c r="W1180" i="7"/>
  <c r="W1442" i="7"/>
  <c r="W1372" i="7"/>
  <c r="W1058" i="7"/>
  <c r="W534" i="7"/>
  <c r="W1675" i="7"/>
  <c r="W267" i="7"/>
  <c r="W274" i="7"/>
  <c r="W572" i="7"/>
  <c r="W1727" i="7"/>
  <c r="W1473" i="7"/>
  <c r="W182" i="7"/>
  <c r="W367" i="7"/>
  <c r="W1787" i="7"/>
  <c r="W1274" i="7"/>
  <c r="W1245" i="7"/>
  <c r="W235" i="7"/>
  <c r="W738" i="7"/>
  <c r="W1407" i="7"/>
  <c r="W1483" i="7"/>
  <c r="W1215" i="7"/>
  <c r="W1119" i="7"/>
  <c r="W1184" i="7"/>
  <c r="W1750" i="7"/>
  <c r="W641" i="7"/>
  <c r="W1377" i="7"/>
  <c r="W609" i="7"/>
  <c r="W1257" i="7"/>
  <c r="W399" i="7"/>
  <c r="W319" i="7"/>
  <c r="W1314" i="7"/>
  <c r="W802" i="7"/>
  <c r="W245" i="7"/>
  <c r="W294" i="7"/>
  <c r="W442" i="7"/>
  <c r="W889" i="7"/>
  <c r="W1637" i="7"/>
  <c r="W1680" i="7"/>
  <c r="W1695" i="7"/>
  <c r="W840" i="7"/>
  <c r="W1351" i="7"/>
  <c r="W1470" i="7"/>
  <c r="W1404" i="7"/>
  <c r="W1089" i="7"/>
  <c r="W1410" i="7"/>
  <c r="W34" i="7"/>
  <c r="W1536" i="7"/>
  <c r="W1728" i="7"/>
  <c r="W1130" i="7"/>
  <c r="W63" i="7"/>
  <c r="W518" i="7"/>
  <c r="W1685" i="7"/>
  <c r="W1392" i="7"/>
  <c r="W1378" i="7"/>
  <c r="W1724" i="7"/>
  <c r="W67" i="7"/>
  <c r="W1036" i="7"/>
  <c r="W1432" i="7"/>
  <c r="W1055" i="7"/>
  <c r="W1605" i="7"/>
  <c r="W629" i="7"/>
  <c r="W1651" i="7"/>
  <c r="W216" i="7"/>
  <c r="W800" i="7"/>
  <c r="W1109" i="7"/>
  <c r="W1461" i="7"/>
  <c r="W1220" i="7"/>
  <c r="W576" i="7"/>
  <c r="W158" i="7"/>
  <c r="W1147" i="7"/>
  <c r="W1197" i="7"/>
  <c r="W633" i="7"/>
  <c r="W852" i="7"/>
  <c r="W237" i="7"/>
  <c r="W997" i="7"/>
  <c r="W1795" i="7"/>
  <c r="W540" i="7"/>
  <c r="W461" i="7"/>
  <c r="W611" i="7"/>
  <c r="W1813" i="7"/>
  <c r="W1256" i="7"/>
  <c r="W1037" i="7"/>
  <c r="W1174" i="7"/>
  <c r="W1421" i="7"/>
  <c r="W654" i="7"/>
  <c r="W1148" i="7"/>
  <c r="W911" i="7"/>
  <c r="W910" i="7"/>
  <c r="W676" i="7"/>
  <c r="W1749" i="7"/>
  <c r="W1595" i="7"/>
  <c r="W1790" i="7"/>
  <c r="W630" i="7"/>
  <c r="W289" i="7"/>
  <c r="W756" i="7"/>
  <c r="W127" i="7"/>
  <c r="W578" i="7"/>
  <c r="W388" i="7"/>
  <c r="W1759" i="7"/>
  <c r="W1441" i="7"/>
  <c r="W1216" i="7"/>
  <c r="W558" i="7"/>
  <c r="W821" i="7"/>
  <c r="W1327" i="7"/>
  <c r="W1525" i="7"/>
  <c r="W588" i="7"/>
  <c r="W391" i="7"/>
  <c r="W844" i="7"/>
  <c r="W1454" i="7"/>
  <c r="W421" i="7"/>
  <c r="W210" i="7"/>
  <c r="W1714" i="7"/>
  <c r="W833" i="7"/>
  <c r="W261" i="7"/>
  <c r="W1482" i="7"/>
  <c r="W1395" i="7"/>
  <c r="W1374" i="7"/>
  <c r="W327" i="7"/>
  <c r="W1330" i="7"/>
  <c r="W1068" i="7"/>
  <c r="W1802" i="7"/>
  <c r="W928" i="7"/>
  <c r="W1623" i="7"/>
  <c r="W1466" i="7"/>
  <c r="W1486" i="7"/>
  <c r="W162" i="7"/>
  <c r="W392" i="7"/>
  <c r="W1102" i="7"/>
  <c r="W894" i="7"/>
  <c r="W1582" i="7"/>
  <c r="W739" i="7"/>
  <c r="W741" i="7"/>
  <c r="W1638" i="7"/>
  <c r="W1291" i="7"/>
  <c r="W389" i="7"/>
  <c r="W634" i="7"/>
  <c r="W1528" i="7"/>
  <c r="W1770" i="7"/>
  <c r="W432" i="7"/>
  <c r="W159" i="7"/>
  <c r="W570" i="7"/>
  <c r="W433" i="7"/>
  <c r="W872" i="7"/>
  <c r="W1701" i="7"/>
  <c r="W1539" i="7"/>
  <c r="W1391" i="7"/>
  <c r="W195" i="7"/>
  <c r="W1370" i="7"/>
  <c r="W519" i="7"/>
  <c r="W1578" i="7"/>
  <c r="W505" i="7"/>
  <c r="W1190" i="7"/>
  <c r="W1211" i="7"/>
  <c r="W458" i="7"/>
  <c r="W1429" i="7"/>
  <c r="W992" i="7"/>
  <c r="W613" i="7"/>
  <c r="W133" i="7"/>
  <c r="W72" i="7"/>
  <c r="W1299" i="7"/>
  <c r="W189" i="7"/>
  <c r="W1438" i="7"/>
  <c r="W1808" i="7"/>
  <c r="W30" i="7"/>
  <c r="W781" i="7"/>
  <c r="W271" i="7"/>
  <c r="W1778" i="7"/>
  <c r="W196" i="7"/>
  <c r="W867" i="7"/>
  <c r="W1743" i="7"/>
  <c r="W1738" i="7"/>
  <c r="W692" i="7"/>
  <c r="W1205" i="7"/>
  <c r="W553" i="7"/>
  <c r="W1009" i="7"/>
  <c r="W431" i="7"/>
  <c r="W1531" i="7"/>
  <c r="W542" i="7"/>
  <c r="W979" i="7"/>
  <c r="W987" i="7"/>
  <c r="W1164" i="7"/>
  <c r="W995" i="7"/>
  <c r="W1621" i="7"/>
  <c r="W774" i="7"/>
  <c r="W730" i="7"/>
  <c r="W89" i="7"/>
  <c r="W733" i="7"/>
  <c r="W639" i="7"/>
  <c r="W770" i="7"/>
  <c r="W26" i="7"/>
  <c r="W851" i="7"/>
  <c r="W1077" i="7"/>
  <c r="W977" i="7"/>
  <c r="W1134" i="7"/>
  <c r="W880" i="7"/>
  <c r="W646" i="7"/>
  <c r="W581" i="7"/>
  <c r="W449" i="7"/>
  <c r="W1264" i="7"/>
  <c r="W1529" i="7"/>
  <c r="W1712" i="7"/>
  <c r="W809" i="7"/>
  <c r="W693" i="7"/>
  <c r="W582" i="7"/>
  <c r="W365" i="7"/>
  <c r="W863" i="7"/>
  <c r="W429" i="7"/>
  <c r="W1594" i="7"/>
  <c r="W1062" i="7"/>
  <c r="W1322" i="7"/>
  <c r="W1179" i="7"/>
  <c r="W1127" i="7"/>
  <c r="W1615" i="7"/>
  <c r="W45" i="7"/>
  <c r="W1659" i="7"/>
  <c r="W417" i="7"/>
  <c r="W1569" i="7"/>
  <c r="W650" i="7"/>
  <c r="W60" i="7"/>
  <c r="W1673" i="7"/>
  <c r="W843" i="7"/>
  <c r="W1493" i="7"/>
  <c r="W589" i="7"/>
  <c r="W1401" i="7"/>
  <c r="W472" i="7"/>
  <c r="W822" i="7"/>
  <c r="W881" i="7"/>
  <c r="W125" i="7"/>
  <c r="W248" i="7"/>
  <c r="W406" i="7"/>
  <c r="W49" i="7"/>
  <c r="W1534" i="7"/>
  <c r="W1794" i="7"/>
  <c r="W1572" i="7"/>
  <c r="W1776" i="7"/>
  <c r="W718" i="7"/>
  <c r="W838" i="7"/>
  <c r="W1020" i="7"/>
  <c r="W1362" i="7"/>
  <c r="W142" i="7"/>
  <c r="W376" i="7"/>
  <c r="W1660" i="7"/>
  <c r="W1739" i="7"/>
  <c r="W1771" i="7"/>
  <c r="W1731" i="7"/>
  <c r="W1654" i="7"/>
  <c r="W354" i="7"/>
  <c r="W139" i="7"/>
  <c r="W983" i="7"/>
  <c r="W1456" i="7"/>
  <c r="W1153" i="7"/>
  <c r="W154" i="7"/>
  <c r="W66" i="7"/>
  <c r="W946" i="7"/>
  <c r="W1213" i="7"/>
  <c r="W1476" i="7"/>
  <c r="W1289" i="7"/>
  <c r="W16" i="7"/>
  <c r="W1754" i="7"/>
  <c r="W229" i="7"/>
  <c r="W118" i="7"/>
  <c r="W780" i="7"/>
  <c r="W658" i="7"/>
  <c r="W656" i="7"/>
  <c r="W1396" i="7"/>
  <c r="W1262" i="7"/>
  <c r="W1053" i="7"/>
  <c r="W1015" i="7"/>
  <c r="W597" i="7"/>
  <c r="W1760" i="7"/>
  <c r="W1381" i="7"/>
  <c r="W24" i="7"/>
  <c r="W298" i="7"/>
  <c r="W1492" i="7"/>
  <c r="W1276" i="7"/>
  <c r="W1235" i="7"/>
  <c r="W131" i="7"/>
  <c r="W667" i="7"/>
  <c r="W1308" i="7"/>
  <c r="W1158" i="7"/>
  <c r="W1625" i="7"/>
  <c r="W1670" i="7"/>
  <c r="W1451" i="7"/>
  <c r="W914" i="7"/>
  <c r="W1467" i="7"/>
  <c r="W691" i="7"/>
  <c r="W1328" i="7"/>
  <c r="W685" i="7"/>
  <c r="W1603" i="7"/>
  <c r="W1604" i="7"/>
  <c r="W1369" i="7"/>
  <c r="W239" i="7"/>
  <c r="W240" i="7"/>
  <c r="W686" i="7"/>
  <c r="W150" i="7"/>
  <c r="W752" i="7"/>
  <c r="W606" i="7"/>
  <c r="W959" i="7"/>
  <c r="W970" i="7"/>
  <c r="W507" i="7"/>
  <c r="W836" i="7"/>
  <c r="W1715" i="7"/>
  <c r="W1080" i="7"/>
  <c r="W1286" i="7"/>
  <c r="W1145" i="7"/>
  <c r="W1450" i="7"/>
  <c r="W675" i="7"/>
  <c r="W321" i="7"/>
  <c r="W281" i="7"/>
  <c r="W648" i="7"/>
  <c r="W1298" i="7"/>
  <c r="W1415" i="7"/>
  <c r="W1751" i="7"/>
  <c r="W1711" i="7"/>
  <c r="W1585" i="7"/>
  <c r="W360" i="7"/>
  <c r="W1550" i="7"/>
  <c r="W1254" i="7"/>
  <c r="W1066" i="7"/>
  <c r="W208" i="7"/>
  <c r="W130" i="7"/>
  <c r="W1270" i="7"/>
  <c r="W1069" i="7"/>
  <c r="W1598" i="7"/>
  <c r="W28" i="7"/>
  <c r="W1079" i="7"/>
  <c r="W571" i="7"/>
  <c r="W986" i="7"/>
  <c r="W1388" i="7"/>
  <c r="W1755" i="7"/>
  <c r="W1447" i="7"/>
  <c r="W1469" i="7"/>
  <c r="W1312" i="7"/>
  <c r="W1008" i="7"/>
  <c r="W1775" i="7"/>
  <c r="W1237" i="7"/>
  <c r="W499" i="7"/>
  <c r="W1690" i="7"/>
  <c r="W277" i="7"/>
  <c r="W21" i="7"/>
  <c r="W945" i="7"/>
  <c r="W743" i="7"/>
  <c r="W361" i="7"/>
  <c r="W1116" i="7"/>
  <c r="W717" i="7"/>
  <c r="W1494" i="7"/>
  <c r="W1361" i="7"/>
  <c r="W1113" i="7"/>
  <c r="W270" i="7"/>
  <c r="W1510" i="7"/>
  <c r="W804" i="7"/>
  <c r="W1321" i="7"/>
  <c r="W1667" i="7"/>
  <c r="W445" i="7"/>
  <c r="W1398" i="7"/>
  <c r="W1543" i="7"/>
  <c r="W776" i="7"/>
  <c r="W1639" i="7"/>
  <c r="W378" i="7"/>
  <c r="W324" i="7"/>
  <c r="W1509" i="7"/>
  <c r="W92" i="7"/>
  <c r="W145" i="7"/>
  <c r="W416" i="7"/>
  <c r="W557" i="7"/>
  <c r="W744" i="7"/>
  <c r="W869" i="7"/>
  <c r="W949" i="7"/>
  <c r="W1406" i="7"/>
  <c r="W976" i="7"/>
  <c r="W173" i="7"/>
  <c r="W479" i="7"/>
  <c r="W787" i="7"/>
  <c r="W176" i="7"/>
  <c r="W1345" i="7"/>
  <c r="W760" i="7"/>
  <c r="W1105" i="7"/>
  <c r="W1159" i="7"/>
  <c r="W447" i="7"/>
  <c r="W1537" i="7"/>
  <c r="W1557" i="7"/>
  <c r="W722" i="7"/>
  <c r="W944" i="7"/>
  <c r="W794" i="7"/>
  <c r="W763" i="7"/>
  <c r="W524" i="7"/>
  <c r="W579" i="7"/>
  <c r="W405" i="7"/>
  <c r="W236" i="7"/>
  <c r="W1346" i="7"/>
  <c r="W224" i="7"/>
  <c r="W1078" i="7"/>
  <c r="W930" i="7"/>
  <c r="W815" i="7"/>
  <c r="W268" i="7"/>
  <c r="W1342" i="7"/>
  <c r="W112" i="7"/>
  <c r="W93" i="7"/>
  <c r="W1511" i="7"/>
  <c r="W448" i="7"/>
  <c r="W514" i="7"/>
  <c r="W1110" i="7"/>
  <c r="W665" i="7"/>
  <c r="W974" i="7"/>
  <c r="W1402" i="7"/>
  <c r="W525" i="7"/>
  <c r="W788" i="7"/>
  <c r="W1468" i="7"/>
  <c r="W1366" i="7"/>
  <c r="W940" i="7"/>
  <c r="W719" i="7"/>
  <c r="W583" i="7"/>
  <c r="W1428" i="7"/>
  <c r="W409" i="7"/>
  <c r="W83" i="7"/>
  <c r="W1222" i="7"/>
  <c r="W168" i="7"/>
  <c r="W58" i="7"/>
  <c r="W1317" i="7"/>
  <c r="W590" i="7"/>
  <c r="W1641" i="7"/>
  <c r="W1408" i="7"/>
  <c r="W600" i="7"/>
  <c r="W898" i="7"/>
  <c r="W1681" i="7"/>
  <c r="W1780" i="7"/>
  <c r="W530" i="7"/>
  <c r="W1477" i="7"/>
  <c r="W1762" i="7"/>
  <c r="W1052" i="7"/>
  <c r="W1644" i="7"/>
  <c r="W623" i="7"/>
  <c r="W260" i="7"/>
  <c r="W882" i="7"/>
  <c r="W793" i="7"/>
  <c r="W1277" i="7"/>
  <c r="W334" i="7"/>
  <c r="W1414" i="7"/>
  <c r="W529" i="7"/>
  <c r="W819" i="7"/>
  <c r="W1098" i="7"/>
  <c r="W199" i="7"/>
  <c r="W931" i="7"/>
  <c r="W218" i="7"/>
  <c r="W808" i="7"/>
  <c r="W905" i="7"/>
  <c r="W1676" i="7"/>
  <c r="W1282" i="7"/>
  <c r="W264" i="7"/>
  <c r="W1610" i="7"/>
  <c r="W79" i="7"/>
  <c r="W209" i="7"/>
  <c r="W734" i="7"/>
  <c r="W993" i="7"/>
  <c r="W1506" i="7"/>
  <c r="W345" i="7"/>
  <c r="W624" i="7"/>
  <c r="W143" i="7"/>
  <c r="W436" i="7"/>
  <c r="W1099" i="7"/>
  <c r="W1368" i="7"/>
  <c r="W471" i="7"/>
  <c r="W219" i="7"/>
  <c r="W149" i="7"/>
  <c r="W1247" i="7"/>
  <c r="W117" i="7"/>
  <c r="W1624" i="7"/>
  <c r="W29" i="7"/>
  <c r="W99" i="7"/>
  <c r="W1642" i="7"/>
  <c r="W65" i="7"/>
  <c r="W871" i="7"/>
  <c r="W526" i="7"/>
  <c r="W870" i="7"/>
  <c r="W1024" i="7"/>
  <c r="W1600" i="7"/>
  <c r="W915" i="7"/>
  <c r="W916" i="7"/>
  <c r="W948" i="7"/>
  <c r="W1669" i="7"/>
  <c r="W1533" i="7"/>
  <c r="W805" i="7"/>
  <c r="W1463" i="7"/>
  <c r="W1820" i="7"/>
  <c r="W469" i="7"/>
  <c r="W909" i="7"/>
  <c r="W379" i="7"/>
  <c r="W439" i="7"/>
  <c r="W913" i="7"/>
  <c r="W549" i="7"/>
  <c r="W1588" i="7"/>
  <c r="W1100" i="7"/>
  <c r="W591" i="7"/>
  <c r="W592" i="7"/>
  <c r="W254" i="7"/>
  <c r="W255" i="7"/>
  <c r="W123" i="7"/>
  <c r="W100" i="7"/>
  <c r="W1096" i="7"/>
  <c r="W1203" i="7"/>
  <c r="W1007" i="7"/>
  <c r="W1022" i="7"/>
  <c r="W818" i="7"/>
  <c r="W683" i="7"/>
  <c r="W1049" i="7"/>
  <c r="W1126" i="7"/>
  <c r="W1601" i="7"/>
  <c r="W1602" i="7"/>
  <c r="W1293" i="7"/>
  <c r="W786" i="7"/>
  <c r="W420" i="7"/>
  <c r="W225" i="7"/>
  <c r="W1051" i="7"/>
  <c r="W599" i="7"/>
  <c r="W1104" i="7"/>
  <c r="W745" i="7"/>
  <c r="W31" i="7"/>
  <c r="W1521" i="7"/>
  <c r="W1591" i="7"/>
  <c r="W644" i="7"/>
  <c r="W356" i="7"/>
  <c r="W1084" i="7"/>
  <c r="W380" i="7"/>
  <c r="W929" i="7"/>
  <c r="W622" i="7"/>
  <c r="W764" i="7"/>
  <c r="W1354" i="7"/>
  <c r="W625" i="7"/>
  <c r="W364" i="7"/>
  <c r="W32" i="7"/>
  <c r="W330" i="7"/>
  <c r="W25" i="7"/>
  <c r="W906" i="7"/>
  <c r="W1633" i="7"/>
  <c r="W430" i="7"/>
  <c r="W545" i="7"/>
  <c r="W1682" i="7"/>
  <c r="W316" i="7"/>
  <c r="W603" i="7"/>
  <c r="W1026" i="7"/>
  <c r="W369" i="7"/>
  <c r="W1705" i="7"/>
  <c r="W1186" i="7"/>
  <c r="W1226" i="7"/>
  <c r="W393" i="7"/>
  <c r="W1054" i="7"/>
  <c r="W1768" i="7"/>
  <c r="W601" i="7"/>
  <c r="W1413" i="7"/>
  <c r="W1560" i="7"/>
  <c r="W593" i="7"/>
  <c r="W305" i="7"/>
  <c r="W1535" i="7"/>
  <c r="W1101" i="7"/>
  <c r="W690" i="7"/>
  <c r="W1699" i="7"/>
  <c r="W783" i="7"/>
  <c r="W758" i="7"/>
  <c r="W1573" i="7"/>
  <c r="W1710" i="7"/>
  <c r="W1530" i="7"/>
  <c r="W188" i="7"/>
  <c r="W958" i="7"/>
  <c r="W1747" i="7"/>
  <c r="W1652" i="7"/>
  <c r="W1823" i="7"/>
  <c r="W1501" i="7"/>
  <c r="W1090" i="7"/>
  <c r="W967" i="7"/>
  <c r="W357" i="7"/>
  <c r="W754" i="7"/>
  <c r="W1319" i="7"/>
  <c r="W594" i="7"/>
  <c r="W517" i="7"/>
  <c r="W907" i="7"/>
  <c r="W1730" i="7"/>
  <c r="W5" i="7"/>
  <c r="W546" i="7"/>
  <c r="W855" i="7"/>
  <c r="W1683" i="7"/>
  <c r="W1300" i="7"/>
  <c r="W1393" i="7"/>
  <c r="W80" i="7"/>
  <c r="W1822" i="7"/>
  <c r="W54" i="7"/>
  <c r="W1459" i="7"/>
  <c r="W381" i="7"/>
  <c r="W1622" i="7"/>
  <c r="W755" i="7"/>
  <c r="W782" i="7"/>
  <c r="W925" i="7"/>
  <c r="W382" i="7"/>
  <c r="W672" i="7"/>
  <c r="W1478" i="7"/>
  <c r="W960" i="7"/>
  <c r="W322" i="7"/>
  <c r="W961" i="7"/>
  <c r="W251" i="7"/>
  <c r="W999" i="7"/>
  <c r="W1519" i="7"/>
  <c r="W1047" i="7"/>
  <c r="W407" i="7"/>
  <c r="W1756" i="7"/>
  <c r="W323" i="7"/>
  <c r="W1807" i="7"/>
  <c r="W344" i="7"/>
  <c r="W1634" i="7"/>
  <c r="W1646" i="7"/>
  <c r="W1016" i="7"/>
  <c r="W810" i="7"/>
  <c r="W217" i="7"/>
  <c r="W737" i="7"/>
  <c r="W440" i="7"/>
  <c r="W1542" i="7"/>
  <c r="W1532" i="7"/>
  <c r="W1687" i="7"/>
  <c r="W890" i="7"/>
  <c r="W1348" i="7"/>
  <c r="W1541" i="7"/>
  <c r="W1271" i="7"/>
  <c r="W223" i="7"/>
  <c r="W1144" i="7"/>
  <c r="W318" i="7"/>
  <c r="W1579" i="7"/>
  <c r="W1643" i="7"/>
  <c r="W1589" i="7"/>
  <c r="W1382" i="7"/>
  <c r="W1011" i="7"/>
  <c r="W923" i="7"/>
  <c r="W292" i="7"/>
  <c r="W1111" i="7"/>
  <c r="W13" i="7"/>
  <c r="W728" i="7"/>
  <c r="W1032" i="7"/>
  <c r="W1426" i="7"/>
  <c r="W903" i="7"/>
  <c r="W457" i="7"/>
  <c r="W1593" i="7"/>
  <c r="W1783" i="7"/>
  <c r="W1307" i="7"/>
  <c r="W771" i="7"/>
  <c r="W348" i="7"/>
  <c r="W962" i="7"/>
  <c r="W1736" i="7"/>
  <c r="W1389" i="7"/>
  <c r="W761" i="7"/>
  <c r="W954" i="7"/>
  <c r="W933" i="7"/>
  <c r="W1313" i="7"/>
  <c r="W1665" i="7"/>
  <c r="W257" i="7"/>
  <c r="W694" i="7"/>
  <c r="W509" i="7"/>
  <c r="W963" i="7"/>
  <c r="W853" i="7"/>
  <c r="W278" i="7"/>
  <c r="W1189" i="7"/>
  <c r="W101" i="7"/>
  <c r="W828" i="7"/>
  <c r="W886" i="7"/>
  <c r="W759" i="7"/>
  <c r="W190" i="7"/>
  <c r="W727" i="7"/>
  <c r="W501" i="7"/>
  <c r="W1647" i="7"/>
  <c r="W994" i="7"/>
  <c r="W799" i="7"/>
  <c r="W1703" i="7"/>
  <c r="W160" i="7"/>
  <c r="W1155" i="7"/>
  <c r="W1677" i="7"/>
  <c r="W1375" i="7"/>
  <c r="W1228" i="7"/>
  <c r="W642" i="7"/>
  <c r="W849" i="7"/>
  <c r="W574" i="7"/>
  <c r="W1648" i="7"/>
  <c r="W124" i="7"/>
  <c r="W146" i="7"/>
  <c r="W1436" i="7"/>
  <c r="W1726" i="7"/>
  <c r="W256" i="7"/>
  <c r="W1405" i="7"/>
  <c r="W170" i="7"/>
  <c r="W315" i="7"/>
  <c r="W1424" i="7"/>
  <c r="W1248" i="7"/>
  <c r="W1063" i="7"/>
  <c r="W191" i="7"/>
  <c r="W645" i="7"/>
  <c r="W1772" i="7"/>
  <c r="W1439" i="7"/>
  <c r="W950" i="7"/>
  <c r="W331" i="7"/>
  <c r="W560" i="7"/>
  <c r="W1435" i="7"/>
  <c r="W936" i="7"/>
  <c r="W820" i="7"/>
  <c r="W1800" i="7"/>
  <c r="W866" i="7"/>
  <c r="W394" i="7"/>
  <c r="W1443" i="7"/>
  <c r="W335" i="7"/>
  <c r="W1329" i="7"/>
  <c r="W1108" i="7"/>
  <c r="W635" i="7"/>
  <c r="W726" i="7"/>
  <c r="W1139" i="7"/>
  <c r="W1304" i="7"/>
  <c r="W631" i="7"/>
  <c r="W632" i="7"/>
  <c r="W1649" i="7"/>
  <c r="W1249" i="7"/>
  <c r="W602" i="7"/>
  <c r="W102" i="7"/>
  <c r="W1806" i="7"/>
  <c r="W105" i="7"/>
  <c r="W1810" i="7"/>
  <c r="W1135" i="7"/>
  <c r="W70" i="7"/>
  <c r="W314" i="7"/>
  <c r="W1279" i="7"/>
  <c r="W243" i="7"/>
  <c r="W773" i="7"/>
  <c r="W854" i="7"/>
  <c r="W1801" i="7"/>
  <c r="W1716" i="7"/>
  <c r="W831" i="7"/>
  <c r="W1805" i="7"/>
  <c r="W506" i="7"/>
  <c r="W1448" i="7"/>
  <c r="W768" i="7"/>
  <c r="W605" i="7"/>
  <c r="W628" i="7"/>
  <c r="W1301" i="7"/>
  <c r="W290" i="7"/>
  <c r="W312" i="7"/>
  <c r="W565" i="7"/>
  <c r="W706" i="7"/>
  <c r="W1272" i="7"/>
  <c r="W1201" i="7"/>
  <c r="W1048" i="7"/>
  <c r="W1023" i="7"/>
  <c r="W1520" i="7"/>
  <c r="W169" i="7"/>
  <c r="W302" i="7"/>
  <c r="W1273" i="7"/>
  <c r="W1797" i="7"/>
  <c r="W1324" i="7"/>
  <c r="W258" i="7"/>
  <c r="W670" i="7"/>
  <c r="W137" i="7"/>
  <c r="W1791" i="7"/>
  <c r="W275" i="7"/>
  <c r="W1003" i="7"/>
  <c r="W1087" i="7"/>
  <c r="W1721" i="7"/>
  <c r="W1034" i="7"/>
  <c r="W205" i="7"/>
  <c r="W272" i="7"/>
  <c r="W1455" i="7"/>
  <c r="W441" i="7"/>
  <c r="W1363" i="7"/>
  <c r="W1554" i="7"/>
  <c r="W1403" i="7"/>
  <c r="W1367" i="7"/>
  <c r="W11" i="7"/>
  <c r="W152" i="7"/>
  <c r="W374" i="7"/>
  <c r="W1576" i="7"/>
  <c r="W568" i="7"/>
  <c r="W1141" i="7"/>
  <c r="W15" i="7"/>
  <c r="W85" i="7"/>
  <c r="W1146" i="7"/>
  <c r="W1083" i="7"/>
  <c r="W402" i="7"/>
  <c r="W887" i="7"/>
  <c r="W1284" i="7"/>
  <c r="W712" i="7"/>
  <c r="W1043" i="7"/>
  <c r="W834" i="7"/>
  <c r="W1349" i="7"/>
  <c r="W1804" i="7"/>
  <c r="W895" i="7"/>
  <c r="W1173" i="7"/>
  <c r="W1118" i="7"/>
  <c r="W757" i="7"/>
  <c r="W1088" i="7"/>
  <c r="W1517" i="7"/>
  <c r="W1518" i="7"/>
  <c r="W868" i="7"/>
  <c r="W306" i="7"/>
  <c r="W1562" i="7"/>
  <c r="W1763" i="7"/>
  <c r="W1002" i="7"/>
  <c r="W1114" i="7"/>
  <c r="W141" i="7"/>
  <c r="W807" i="7"/>
  <c r="W1688" i="7"/>
  <c r="W875" i="7"/>
  <c r="W1769" i="7"/>
  <c r="W1796" i="7"/>
  <c r="W1661" i="7"/>
  <c r="W873" i="7"/>
  <c r="W1725" i="7"/>
  <c r="W1318" i="7"/>
  <c r="W839" i="7"/>
  <c r="W1278" i="7"/>
  <c r="W990" i="7"/>
  <c r="W785" i="7"/>
  <c r="W939" i="7"/>
  <c r="W575" i="7"/>
  <c r="W1128" i="7"/>
  <c r="W615" i="7"/>
  <c r="W709" i="7"/>
  <c r="W798" i="7"/>
  <c r="W1814" i="7"/>
  <c r="W1577" i="7"/>
  <c r="W1650" i="7"/>
  <c r="W1177" i="7"/>
  <c r="W1816" i="7"/>
  <c r="W1809" i="7"/>
  <c r="W136" i="7"/>
  <c r="W779" i="7"/>
  <c r="W1704" i="7"/>
  <c r="W966" i="7"/>
  <c r="W353" i="7"/>
  <c r="W1376" i="7"/>
  <c r="W1000" i="7"/>
  <c r="W1001" i="7"/>
  <c r="W165" i="7"/>
  <c r="W1287" i="7"/>
  <c r="W955" i="7"/>
  <c r="W1185" i="7"/>
  <c r="W422" i="7"/>
  <c r="W180" i="7"/>
  <c r="W1563" i="7"/>
  <c r="W1567" i="7"/>
  <c r="W1632" i="7"/>
  <c r="W1446" i="7"/>
  <c r="W668" i="7"/>
  <c r="W1337" i="7"/>
  <c r="W904" i="7"/>
  <c r="W198" i="7"/>
  <c r="W1627" i="7"/>
  <c r="W303" i="7"/>
  <c r="W832" i="7"/>
  <c r="W1399" i="7"/>
  <c r="W91" i="7"/>
  <c r="W1151" i="7"/>
  <c r="W362" i="7"/>
  <c r="W1258" i="7"/>
  <c r="W1152" i="7"/>
  <c r="W980" i="7"/>
  <c r="W342" i="7"/>
  <c r="W1334" i="7"/>
  <c r="W1371" i="7"/>
  <c r="W679" i="7"/>
  <c r="W1496" i="7"/>
  <c r="W1106" i="7"/>
  <c r="W1691" i="7"/>
  <c r="W563" i="7"/>
  <c r="W1571" i="7"/>
  <c r="W1782" i="7"/>
  <c r="W1440" i="7"/>
  <c r="W1356" i="7"/>
  <c r="W697" i="7"/>
  <c r="W1390" i="7"/>
  <c r="W723" i="7"/>
  <c r="W657" i="7"/>
  <c r="W346" i="7"/>
  <c r="W171" i="7"/>
  <c r="W1581" i="7"/>
  <c r="W283" i="7"/>
  <c r="W179" i="7"/>
  <c r="W454" i="7"/>
  <c r="W561" i="7"/>
  <c r="W1570" i="7"/>
  <c r="W1798" i="7"/>
  <c r="W213" i="7"/>
  <c r="W266" i="7"/>
  <c r="W175" i="7"/>
  <c r="W1425" i="7"/>
  <c r="W214" i="7"/>
  <c r="W1700" i="7"/>
  <c r="W215" i="7"/>
  <c r="W1217" i="7"/>
  <c r="W893" i="7"/>
  <c r="W276" i="7"/>
  <c r="W470" i="7"/>
  <c r="W304" i="7"/>
  <c r="W695" i="7"/>
  <c r="W1729" i="7"/>
  <c r="W244" i="7"/>
  <c r="W769" i="7"/>
  <c r="W1491" i="7"/>
  <c r="W1196" i="7"/>
  <c r="W310" i="7"/>
  <c r="W279" i="7"/>
  <c r="W1129" i="7"/>
  <c r="W1234" i="7"/>
  <c r="W968" i="7"/>
  <c r="W746" i="7"/>
  <c r="W1597" i="7"/>
  <c r="W1267" i="7"/>
  <c r="W1350" i="7"/>
  <c r="W998" i="7"/>
  <c r="W888" i="7"/>
  <c r="W1565" i="7"/>
  <c r="W947" i="7"/>
  <c r="W238" i="7"/>
  <c r="W637" i="7"/>
  <c r="W47" i="7"/>
  <c r="W1340" i="7"/>
  <c r="W325" i="7"/>
  <c r="W1616" i="7"/>
  <c r="W1658" i="7"/>
  <c r="W1684" i="7"/>
  <c r="W1364" i="7"/>
  <c r="W1383" i="7"/>
  <c r="W813" i="7"/>
  <c r="W1430" i="7"/>
  <c r="W1431" i="7"/>
  <c r="W1035" i="7"/>
  <c r="W33" i="7"/>
  <c r="W1689" i="7"/>
  <c r="W1355" i="7"/>
  <c r="W598" i="7"/>
  <c r="W62" i="7"/>
  <c r="W917" i="7"/>
  <c r="W1131" i="7"/>
  <c r="W1619" i="7"/>
  <c r="W1243" i="7"/>
  <c r="W1722" i="7"/>
  <c r="W8" i="7"/>
  <c r="W1285" i="7"/>
  <c r="W1295" i="7"/>
  <c r="W202" i="7"/>
  <c r="W666" i="7"/>
  <c r="W1418" i="7"/>
  <c r="W232" i="7"/>
  <c r="W338" i="7"/>
  <c r="W926" i="7"/>
  <c r="W528" i="7"/>
  <c r="W1122" i="7"/>
  <c r="W1168" i="7"/>
  <c r="W1138" i="7"/>
  <c r="W1161" i="7"/>
  <c r="W157" i="7"/>
  <c r="W972" i="7"/>
  <c r="W48" i="7"/>
  <c r="W1261" i="7"/>
  <c r="W438" i="7"/>
  <c r="W1250" i="7"/>
  <c r="W543" i="7"/>
  <c r="W1143" i="7"/>
  <c r="W1338" i="7"/>
  <c r="W502" i="7"/>
  <c r="W1310" i="7"/>
  <c r="W1784" i="7"/>
  <c r="W148" i="7"/>
  <c r="W1176" i="7"/>
  <c r="W249" i="7"/>
  <c r="W427" i="7"/>
  <c r="W1613" i="7"/>
  <c r="W491" i="7"/>
  <c r="W604" i="7"/>
  <c r="W7" i="7"/>
  <c r="W351" i="7"/>
  <c r="W1656" i="7"/>
  <c r="W1457" i="7"/>
  <c r="W1614" i="7"/>
  <c r="W1612" i="7"/>
  <c r="W710" i="7"/>
  <c r="W612" i="7"/>
  <c r="W1507" i="7"/>
  <c r="W861" i="7"/>
  <c r="W1031" i="7"/>
  <c r="W153" i="7"/>
  <c r="W1305" i="7"/>
  <c r="W1142" i="7"/>
  <c r="W1117" i="7"/>
  <c r="W708" i="7"/>
  <c r="W220" i="7"/>
  <c r="W451" i="7"/>
  <c r="W69" i="7"/>
  <c r="W161" i="7"/>
  <c r="W1412" i="7"/>
  <c r="W418" i="7"/>
  <c r="W1379" i="7"/>
  <c r="W791" i="7"/>
  <c r="W1033" i="7"/>
  <c r="W510" i="7"/>
  <c r="W984" i="7"/>
  <c r="W1387" i="7"/>
  <c r="W1799" i="7"/>
  <c r="W18" i="7"/>
  <c r="W259" i="7"/>
  <c r="W1209" i="7"/>
  <c r="W1218" i="7"/>
  <c r="W104" i="7"/>
  <c r="W1394" i="7"/>
  <c r="W1252" i="7"/>
  <c r="W714" i="7"/>
  <c r="W1718" i="7"/>
  <c r="W1067" i="7"/>
  <c r="W1332" i="7"/>
  <c r="W46" i="7"/>
  <c r="W1742" i="7"/>
  <c r="W246" i="7"/>
  <c r="W494" i="7"/>
  <c r="W51" i="7"/>
  <c r="W328" i="7"/>
  <c r="W1331" i="7"/>
  <c r="W1487" i="7"/>
  <c r="W1070" i="7"/>
  <c r="W1513" i="7"/>
  <c r="W1626" i="7"/>
  <c r="W835" i="7"/>
  <c r="W860" i="7"/>
  <c r="W126" i="7"/>
  <c r="W446" i="7"/>
  <c r="W1411" i="7"/>
  <c r="W468" i="7"/>
  <c r="W1292" i="7"/>
  <c r="W682" i="7"/>
  <c r="W817" i="7"/>
  <c r="W638" i="7"/>
  <c r="W1484" i="7"/>
  <c r="W1422" i="7"/>
  <c r="W1620" i="7"/>
  <c r="W1696" i="7"/>
  <c r="W1018" i="7"/>
  <c r="W43" i="7"/>
  <c r="W921" i="7"/>
  <c r="W265" i="7"/>
  <c r="W1182" i="7"/>
  <c r="W368" i="7"/>
  <c r="W183" i="7"/>
  <c r="W287" i="7"/>
  <c r="W607" i="7"/>
  <c r="W1757" i="7"/>
  <c r="W1515" i="7"/>
  <c r="W531" i="7"/>
  <c r="W841" i="7"/>
  <c r="W885" i="7"/>
  <c r="W1746" i="7"/>
  <c r="W465" i="7"/>
  <c r="W935" i="7"/>
  <c r="W186" i="7"/>
  <c r="W1437" i="7"/>
  <c r="W1785" i="7"/>
  <c r="W1397" i="7"/>
  <c r="W1479" i="7"/>
  <c r="W1060" i="7"/>
  <c r="W1162" i="7"/>
  <c r="W1444" i="7"/>
  <c r="W500" i="7"/>
  <c r="W1360" i="7"/>
  <c r="W487" i="7"/>
  <c r="W97" i="7"/>
  <c r="W857" i="7"/>
  <c r="W263" i="7"/>
  <c r="W1335" i="7"/>
  <c r="W982" i="7"/>
  <c r="W1416" i="7"/>
  <c r="W614" i="7"/>
  <c r="W1236" i="7"/>
  <c r="W1423" i="7"/>
  <c r="W669" i="7"/>
  <c r="W1115" i="7"/>
  <c r="W643" i="7"/>
  <c r="W383" i="7"/>
  <c r="W664" i="7"/>
  <c r="W4" i="7"/>
  <c r="W957" i="7"/>
  <c r="W1702" i="7"/>
  <c r="W1191" i="7"/>
  <c r="W473" i="7"/>
  <c r="W185" i="7"/>
  <c r="W1017" i="7"/>
  <c r="W792" i="7"/>
  <c r="W1765" i="7"/>
  <c r="W765" i="7"/>
  <c r="W927" i="7"/>
  <c r="W410" i="7"/>
  <c r="W1296" i="7"/>
  <c r="W559" i="7"/>
  <c r="W241" i="7"/>
  <c r="W336" i="7"/>
  <c r="W1498" i="7"/>
  <c r="W1556" i="7"/>
  <c r="W1741" i="7"/>
  <c r="W181" i="7"/>
  <c r="W659" i="7"/>
  <c r="W73" i="7"/>
  <c r="W74" i="7"/>
  <c r="W842" i="7"/>
  <c r="W1221" i="7"/>
  <c r="W1013" i="7"/>
  <c r="W684" i="7"/>
  <c r="W1596" i="7"/>
  <c r="W1336" i="7"/>
  <c r="W1238" i="7"/>
  <c r="W556" i="7"/>
  <c r="W1224" i="7"/>
  <c r="W1094" i="7"/>
  <c r="W1599" i="7"/>
  <c r="W1606" i="7"/>
  <c r="W1777" i="7"/>
  <c r="W1241" i="7"/>
  <c r="W1339" i="7"/>
  <c r="W1657" i="7"/>
  <c r="W1686" i="7"/>
  <c r="W1223" i="7"/>
  <c r="W1655" i="7"/>
  <c r="W1693" i="7"/>
  <c r="W242" i="7"/>
  <c r="W1231" i="7"/>
  <c r="W677" i="7"/>
  <c r="W492" i="7"/>
  <c r="W567" i="7"/>
  <c r="W151" i="7"/>
  <c r="W1192" i="7"/>
  <c r="W17" i="7"/>
  <c r="W1733" i="7"/>
  <c r="W1019" i="7"/>
  <c r="W359" i="7"/>
  <c r="W1183" i="7"/>
  <c r="W227" i="7"/>
  <c r="W128" i="7"/>
  <c r="W503" i="7"/>
  <c r="W247" i="7"/>
  <c r="W1265" i="7"/>
  <c r="W1239" i="7"/>
  <c r="W1120" i="7"/>
  <c r="W426" i="7"/>
  <c r="W751" i="7"/>
  <c r="W41" i="7"/>
  <c r="W1574" i="7"/>
  <c r="W474" i="7"/>
  <c r="W384" i="7"/>
  <c r="W1580" i="7"/>
  <c r="W550" i="7"/>
  <c r="W1091" i="7"/>
  <c r="W300" i="7"/>
  <c r="W1021" i="7"/>
  <c r="W1242" i="7"/>
  <c r="W1275" i="7"/>
  <c r="W1244" i="7"/>
  <c r="W1325" i="7"/>
  <c r="W515" i="7"/>
  <c r="W363" i="7"/>
  <c r="W585" i="7"/>
  <c r="W280" i="7"/>
  <c r="W419" i="7"/>
  <c r="W203" i="7"/>
  <c r="W1653" i="7"/>
  <c r="W1311" i="7"/>
  <c r="W1039" i="7"/>
  <c r="W1195" i="7"/>
  <c r="W687" i="7"/>
  <c r="W1793" i="7"/>
  <c r="W532" i="7"/>
  <c r="W688" i="7"/>
  <c r="W548" i="7"/>
  <c r="W1666" i="7"/>
  <c r="W537" i="7"/>
  <c r="W671" i="7"/>
  <c r="W111" i="7"/>
  <c r="W411" i="7"/>
  <c r="W1707" i="7"/>
  <c r="W1732" i="7"/>
  <c r="W50" i="7"/>
  <c r="W856" i="7"/>
  <c r="W1745" i="7"/>
  <c r="W269" i="7"/>
  <c r="W6" i="7"/>
  <c r="W1123" i="7"/>
  <c r="W1453" i="7"/>
  <c r="W511" i="7"/>
  <c r="W1154" i="7"/>
  <c r="W1774" i="7"/>
  <c r="W1198" i="7"/>
  <c r="W1489" i="7"/>
  <c r="W1678" i="7"/>
  <c r="W1240" i="7"/>
  <c r="W1199" i="7"/>
  <c r="W862" i="7"/>
  <c r="W973" i="7"/>
  <c r="W282" i="7"/>
  <c r="W414" i="7"/>
  <c r="W1294" i="7"/>
  <c r="W554" i="7"/>
  <c r="W649" i="7"/>
  <c r="W366" i="7"/>
  <c r="W489" i="7"/>
  <c r="W1010" i="7"/>
  <c r="W1157" i="7"/>
  <c r="W483" i="7"/>
  <c r="W1207" i="7"/>
  <c r="W1056" i="7"/>
  <c r="W653" i="7"/>
  <c r="W989" i="7"/>
  <c r="W1546" i="7"/>
  <c r="W103" i="7"/>
  <c r="W837" i="7"/>
  <c r="W512" i="7"/>
  <c r="W222" i="7"/>
  <c r="W1697" i="7"/>
  <c r="W1014" i="7"/>
  <c r="W87" i="7"/>
  <c r="W347" i="7"/>
  <c r="W326" i="7"/>
  <c r="W784" i="7"/>
  <c r="W896" i="7"/>
  <c r="W707" i="7"/>
  <c r="W493" i="7"/>
  <c r="W464" i="7"/>
  <c r="W811" i="7"/>
  <c r="W477" i="7"/>
  <c r="W1464" i="7"/>
  <c r="W437" i="7"/>
  <c r="W284" i="7"/>
  <c r="W1465" i="7"/>
  <c r="W466" i="7"/>
  <c r="W777" i="7"/>
  <c r="W1149" i="7"/>
  <c r="W627" i="7"/>
  <c r="W27" i="7"/>
  <c r="W555" i="7"/>
  <c r="W516" i="7"/>
  <c r="W508" i="7"/>
  <c r="W301" i="7"/>
  <c r="W293" i="7"/>
  <c r="W192" i="7"/>
  <c r="W1549" i="7"/>
  <c r="W1706" i="7"/>
  <c r="W193" i="7"/>
  <c r="W194" i="7"/>
  <c r="W1504" i="7"/>
  <c r="W1081" i="7"/>
  <c r="W1255" i="7"/>
  <c r="W1566" i="7"/>
  <c r="W1290" i="7"/>
  <c r="W1812" i="7"/>
  <c r="W1269" i="7"/>
  <c r="W1326" i="7"/>
  <c r="W941" i="7"/>
  <c r="W696" i="7"/>
  <c r="W1475" i="7"/>
  <c r="W900" i="7"/>
  <c r="W1343" i="7"/>
  <c r="W9" i="7"/>
  <c r="W81" i="7"/>
  <c r="W1086" i="7"/>
  <c r="W1692" i="7"/>
  <c r="W569" i="7"/>
  <c r="W636" i="7"/>
  <c r="W12" i="7"/>
  <c r="W725" i="7"/>
  <c r="W711" i="7"/>
  <c r="W1092" i="7"/>
  <c r="W1344" i="7"/>
  <c r="W1514" i="7"/>
  <c r="W412" i="7"/>
  <c r="W1206" i="7"/>
  <c r="W59" i="7"/>
  <c r="W790" i="7"/>
  <c r="W1297" i="7"/>
  <c r="W1630" i="7"/>
  <c r="W1495" i="7"/>
  <c r="W1586" i="7"/>
  <c r="W452" i="7"/>
  <c r="W1497" i="7"/>
  <c r="W619" i="7"/>
  <c r="W975" i="7"/>
  <c r="W876" i="7"/>
  <c r="W1662" i="7"/>
  <c r="W1815" i="7"/>
  <c r="W332" i="7"/>
  <c r="W1523" i="7"/>
  <c r="W1674" i="7"/>
  <c r="W1640" i="7"/>
  <c r="W942" i="7"/>
  <c r="W584" i="7"/>
  <c r="W1544" i="7"/>
  <c r="W484" i="7"/>
  <c r="W884" i="7"/>
  <c r="W533" i="7"/>
  <c r="W562" i="7"/>
  <c r="W68" i="7"/>
  <c r="W485" i="7"/>
  <c r="W877" i="7"/>
  <c r="W44" i="7"/>
  <c r="W1635" i="7"/>
  <c r="W678" i="7"/>
  <c r="W296" i="7"/>
  <c r="W573" i="7"/>
  <c r="W115" i="7"/>
  <c r="W1212" i="7"/>
  <c r="W400" i="7"/>
  <c r="W428" i="7"/>
  <c r="W462" i="7"/>
  <c r="W1419" i="7"/>
  <c r="W1163" i="7"/>
  <c r="W806" i="7"/>
  <c r="W204" i="7"/>
  <c r="W504" i="7"/>
  <c r="W206" i="7"/>
  <c r="W295" i="7"/>
  <c r="W350" i="7"/>
  <c r="W435" i="7"/>
  <c r="W253" i="7"/>
  <c r="W174" i="7"/>
  <c r="W1095" i="7"/>
  <c r="W618" i="7"/>
  <c r="W1169" i="7"/>
  <c r="W1458" i="7"/>
  <c r="W1027" i="7"/>
  <c r="W463" i="7"/>
  <c r="W252" i="7"/>
  <c r="W689" i="7"/>
  <c r="W716" i="7"/>
  <c r="W1524" i="7"/>
  <c r="W496" i="7"/>
  <c r="W610" i="7"/>
  <c r="W375" i="7"/>
  <c r="W1065" i="7"/>
  <c r="W82" i="7"/>
  <c r="W1306" i="7"/>
  <c r="W1709" i="7"/>
  <c r="W1193" i="7"/>
  <c r="W1608" i="7"/>
  <c r="W1112" i="7"/>
  <c r="W647" i="7"/>
  <c r="W35" i="7"/>
  <c r="W228" i="7"/>
  <c r="W1824" i="7"/>
  <c r="W620" i="7"/>
  <c r="W23" i="7"/>
  <c r="W577" i="7"/>
  <c r="W616" i="7"/>
  <c r="W586" i="7"/>
  <c r="W587" i="7"/>
  <c r="W1547" i="7"/>
  <c r="W230" i="7"/>
  <c r="W337" i="7"/>
  <c r="W1124" i="7"/>
  <c r="W55" i="7"/>
  <c r="W753" i="7"/>
  <c r="W497" i="7"/>
  <c r="W207" i="7"/>
  <c r="W673" i="7"/>
  <c r="W1420" i="7"/>
  <c r="W1719" i="7"/>
  <c r="W1485" i="7"/>
  <c r="W498" i="7"/>
  <c r="W1734" i="7"/>
  <c r="W134" i="7"/>
  <c r="W138" i="7"/>
  <c r="W1171" i="7"/>
  <c r="W1592" i="7"/>
  <c r="W736" i="7"/>
  <c r="W1744" i="7"/>
  <c r="W53" i="7"/>
  <c r="W621" i="7"/>
  <c r="W1548" i="7"/>
  <c r="W1663" i="7"/>
  <c r="W64" i="7"/>
  <c r="W981" i="7"/>
  <c r="W1057" i="7"/>
  <c r="W1735" i="7"/>
  <c r="W1821" i="7"/>
  <c r="W1502" i="7"/>
  <c r="W481" i="7"/>
  <c r="W1302" i="7"/>
  <c r="W778" i="7"/>
  <c r="W938" i="7"/>
  <c r="W1434" i="7"/>
  <c r="W1347" i="7"/>
  <c r="W443" i="7"/>
  <c r="W475" i="7"/>
  <c r="W94" i="7"/>
  <c r="W385" i="7"/>
  <c r="W476" i="7"/>
  <c r="W551" i="7"/>
  <c r="W95" i="7"/>
  <c r="W96" i="7"/>
  <c r="W119" i="7"/>
  <c r="W513" i="7"/>
  <c r="W680" i="7"/>
  <c r="W742" i="7"/>
  <c r="W120" i="7"/>
  <c r="W250" i="7"/>
  <c r="W1365" i="7"/>
  <c r="W1825" i="7"/>
  <c r="W1694" i="7"/>
  <c r="W387" i="7"/>
  <c r="W395" i="7"/>
  <c r="W1545" i="7"/>
  <c r="W1512" i="7"/>
  <c r="W850" i="7"/>
  <c r="W42" i="7"/>
  <c r="W197" i="7"/>
  <c r="W1166" i="7"/>
  <c r="W460" i="7"/>
  <c r="W1631" i="7"/>
  <c r="W1303" i="7"/>
  <c r="W1210" i="7"/>
  <c r="W1140" i="7"/>
  <c r="W1708" i="7"/>
  <c r="W812" i="7"/>
  <c r="W144" i="7"/>
  <c r="W1188" i="7"/>
  <c r="W488" i="7"/>
  <c r="W1230" i="7"/>
  <c r="W116" i="7"/>
  <c r="W396" i="7"/>
  <c r="W1030" i="7"/>
  <c r="W273" i="7"/>
  <c r="W985" i="7"/>
  <c r="W467" i="7"/>
  <c r="W19" i="7"/>
  <c r="W1283" i="7"/>
  <c r="W1668" i="7"/>
  <c r="W1590" i="7"/>
  <c r="W1568" i="7"/>
  <c r="W1617" i="7"/>
  <c r="W413" i="7"/>
  <c r="W10" i="7"/>
  <c r="W1071" i="7"/>
  <c r="W1167" i="7"/>
  <c r="W57" i="7"/>
  <c r="W1766" i="7"/>
  <c r="W1789" i="7"/>
  <c r="W1072" i="7"/>
  <c r="W1064" i="7"/>
  <c r="W1006" i="7"/>
  <c r="W1137" i="7"/>
  <c r="W1752" i="7"/>
  <c r="W699" i="7"/>
  <c r="W459" i="7"/>
  <c r="W1409" i="7"/>
  <c r="W1132" i="7"/>
  <c r="W1817" i="7"/>
  <c r="W978" i="7"/>
  <c r="W1380" i="7"/>
  <c r="M7" i="1"/>
  <c r="N7" i="1" l="1"/>
  <c r="M10" i="1"/>
  <c r="M27" i="1" l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<sst xmlns="http://schemas.openxmlformats.org/spreadsheetml/2006/main" count="26807" uniqueCount="2695">
  <si>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</si>
  <si>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</si>
  <si>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</si>
  <si>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</si>
  <si>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</si>
  <si>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</si>
  <si>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</si>
  <si>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</si>
  <si>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</si>
  <si>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</si>
  <si>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</si>
  <si>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</si>
  <si>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</si>
  <si>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</si>
  <si>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</si>
  <si>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</si>
  <si>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</si>
  <si>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</si>
  <si>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</si>
  <si>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</si>
  <si>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</si>
  <si>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</si>
  <si>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</si>
  <si>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</si>
  <si>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</si>
  <si>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</si>
  <si>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</si>
  <si>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</si>
  <si>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</si>
  <si>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</si>
  <si>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</si>
  <si>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</si>
  <si>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</si>
  <si>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</si>
  <si>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</si>
  <si>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</si>
  <si>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</si>
  <si>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</si>
  <si>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</si>
  <si>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</si>
  <si>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</si>
  <si>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</si>
  <si>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</si>
  <si>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</si>
  <si>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</si>
  <si>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</si>
  <si>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</si>
  <si>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</si>
  <si>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</si>
  <si>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</si>
  <si>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</si>
  <si>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</si>
  <si>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</si>
  <si>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</si>
  <si>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</si>
  <si>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</si>
  <si>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</si>
  <si>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</si>
  <si>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</si>
  <si>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</si>
  <si>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</si>
  <si>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</si>
  <si>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</si>
  <si>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</si>
  <si>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</si>
  <si>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</si>
  <si>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</si>
  <si>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</si>
  <si>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</si>
  <si>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</si>
  <si>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</si>
  <si>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</si>
  <si>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</si>
  <si>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</si>
  <si>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</si>
  <si>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</si>
  <si>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</si>
  <si>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</si>
  <si>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</si>
  <si>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</si>
  <si>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</si>
  <si>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</si>
  <si>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</si>
  <si>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</si>
  <si>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</si>
  <si>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</si>
  <si>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</si>
  <si>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</si>
  <si>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</si>
  <si>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</si>
  <si>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</si>
  <si>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</si>
  <si>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</si>
  <si>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</si>
  <si>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</si>
  <si>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</si>
  <si>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</si>
  <si>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</si>
  <si>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</si>
  <si>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</si>
  <si>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</si>
  <si>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</si>
  <si>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</si>
  <si>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</si>
  <si>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</si>
  <si>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</si>
  <si>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</si>
  <si>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</si>
  <si>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</si>
  <si>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</si>
  <si>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</si>
  <si>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</si>
  <si>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</si>
  <si>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</si>
  <si>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</si>
  <si>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</si>
  <si>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</si>
  <si>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</si>
  <si>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</si>
  <si>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</si>
  <si>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</si>
  <si>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</si>
  <si>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</si>
  <si>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</si>
  <si>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</si>
  <si>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</si>
  <si>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</si>
  <si>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</si>
  <si>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</si>
  <si>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</si>
  <si>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</si>
  <si>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</si>
  <si>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</si>
  <si>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</si>
  <si>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</si>
  <si>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</si>
  <si>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</si>
  <si>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</si>
  <si>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</si>
  <si>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</si>
  <si>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</si>
  <si>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</si>
  <si>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</si>
  <si>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</si>
  <si>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</si>
  <si>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</si>
  <si>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</si>
  <si>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</si>
  <si>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</si>
  <si>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</si>
  <si>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</si>
  <si>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</si>
  <si>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</si>
  <si>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</si>
  <si>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</si>
  <si>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</si>
  <si>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</si>
  <si>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</si>
  <si>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</si>
  <si>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</si>
  <si>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</si>
  <si>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</si>
  <si>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</si>
  <si>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</si>
  <si>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</si>
  <si>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</si>
  <si>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</si>
  <si>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</si>
  <si>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</si>
  <si>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</si>
  <si>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</si>
  <si>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</si>
  <si>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</si>
  <si>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</si>
  <si>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</si>
  <si>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</si>
  <si>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</si>
  <si>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</si>
  <si>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</si>
  <si>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</si>
  <si>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</si>
  <si>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</si>
  <si>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</si>
  <si>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</si>
  <si>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</si>
  <si>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</si>
  <si>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</si>
  <si>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</si>
  <si>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</si>
  <si>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</si>
  <si>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</si>
  <si>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</si>
  <si>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</si>
  <si>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</si>
  <si>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</si>
  <si>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</si>
  <si>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</si>
  <si>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</si>
  <si>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</si>
  <si>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</si>
  <si>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</si>
  <si>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</si>
  <si>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</si>
  <si>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</si>
  <si>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</si>
  <si>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</si>
  <si>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</si>
  <si>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</si>
  <si>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</si>
  <si>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</si>
  <si>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</si>
  <si>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</si>
  <si>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</si>
  <si>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</si>
  <si>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</si>
  <si>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</si>
  <si>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</si>
  <si>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</si>
  <si>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</si>
  <si>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</si>
  <si>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</si>
  <si>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</si>
  <si>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</si>
  <si>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</si>
  <si>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</si>
  <si>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</si>
  <si>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</si>
  <si>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</si>
  <si>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</si>
  <si>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</si>
  <si>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</si>
  <si>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</si>
  <si>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</si>
  <si>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</si>
  <si>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</si>
  <si>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</si>
  <si>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</si>
  <si>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</si>
  <si>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</si>
  <si>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</si>
  <si>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</si>
  <si>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</si>
  <si>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</si>
  <si>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</si>
  <si>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</si>
  <si>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</si>
  <si>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</si>
  <si>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</si>
  <si>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</si>
  <si>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</si>
  <si>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</si>
  <si>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</si>
  <si>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</si>
  <si>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</si>
  <si>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</si>
  <si>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</si>
  <si>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</si>
  <si>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</si>
  <si>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</si>
  <si>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</si>
  <si>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</si>
  <si>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</si>
  <si>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</si>
  <si>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</si>
  <si>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</si>
  <si>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</si>
  <si>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</si>
  <si>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</si>
  <si>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</si>
  <si>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</si>
  <si>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</si>
  <si>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</si>
  <si>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</si>
  <si>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</si>
  <si>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</si>
  <si>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</si>
  <si>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</si>
  <si>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</si>
  <si>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</si>
  <si>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</si>
  <si>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</si>
  <si>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</si>
  <si>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</si>
  <si>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</si>
  <si>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</si>
  <si>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</si>
  <si>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</si>
  <si>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</si>
  <si>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</si>
  <si>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</si>
  <si>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</si>
  <si>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</si>
  <si>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</si>
  <si>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</si>
  <si>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</si>
  <si>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</si>
  <si>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</si>
  <si>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</si>
  <si>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</si>
  <si>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</si>
  <si>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</si>
  <si>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</si>
  <si>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</si>
  <si>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</si>
  <si>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</si>
  <si>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</si>
  <si>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</si>
  <si>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</si>
  <si>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</si>
  <si>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</si>
  <si>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</si>
  <si>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</si>
  <si>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</si>
  <si>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</si>
  <si>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</si>
  <si>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</si>
  <si>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</si>
  <si>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</si>
  <si>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</si>
  <si>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</si>
  <si>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</si>
  <si>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</si>
  <si>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</si>
  <si>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</si>
  <si>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</si>
  <si>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</si>
  <si>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</si>
  <si>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</si>
  <si>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</si>
  <si>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</si>
  <si>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</si>
  <si>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</si>
  <si>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</si>
  <si>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</si>
  <si>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</si>
  <si>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</si>
  <si>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</si>
  <si>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</si>
  <si>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</si>
  <si>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</si>
  <si>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</si>
  <si>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</si>
  <si>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</si>
  <si>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</si>
  <si>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</si>
  <si>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</si>
  <si>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</si>
  <si>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</si>
  <si>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</si>
  <si>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</si>
  <si>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</si>
  <si>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</si>
  <si>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</si>
  <si>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</si>
  <si>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</si>
  <si>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</si>
  <si>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</si>
  <si>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</si>
  <si>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</si>
  <si>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</si>
  <si>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</si>
  <si>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</si>
  <si>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</si>
  <si>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</si>
  <si>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</si>
  <si>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</si>
  <si>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</si>
  <si>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</si>
  <si>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</si>
  <si>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</si>
  <si>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</si>
  <si>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</si>
  <si>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</si>
  <si>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</si>
  <si>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</si>
  <si>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</si>
  <si>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</si>
  <si>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</si>
  <si>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</si>
  <si>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</si>
  <si>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</si>
  <si>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</si>
  <si>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</si>
  <si>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</si>
  <si>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</si>
  <si>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</si>
  <si>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</si>
  <si>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</si>
  <si>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</si>
  <si>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</si>
  <si>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</si>
  <si>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</si>
  <si>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</si>
  <si>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</si>
  <si>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</si>
  <si>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</si>
  <si>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</si>
  <si>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</si>
  <si>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</si>
  <si>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</si>
  <si>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</si>
  <si>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</si>
  <si>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</si>
  <si>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</si>
  <si>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</si>
  <si>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</si>
  <si>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</si>
  <si>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</si>
  <si>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</si>
  <si>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</si>
  <si>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</si>
  <si>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</si>
  <si>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</si>
  <si>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</si>
  <si>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</si>
  <si>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</si>
  <si>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</si>
  <si>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</si>
  <si>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</si>
  <si>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</si>
  <si>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</si>
  <si>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</si>
  <si>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</si>
  <si>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</si>
  <si>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</si>
  <si>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</si>
  <si>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</si>
  <si>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</si>
  <si>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</si>
  <si>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</si>
  <si>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</si>
  <si>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</si>
  <si>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</si>
  <si>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</si>
  <si>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</si>
  <si>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</si>
  <si>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</si>
  <si>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</si>
  <si>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</si>
  <si>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</si>
  <si>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</si>
  <si>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</si>
  <si>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</si>
  <si>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</si>
  <si>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</si>
  <si>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</si>
  <si>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</si>
  <si>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</si>
  <si>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</si>
  <si>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</si>
  <si>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</si>
  <si>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</si>
  <si>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</si>
  <si>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</si>
  <si>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</si>
  <si>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</si>
  <si>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</si>
  <si>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</si>
  <si>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</si>
  <si>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</si>
  <si>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</si>
  <si>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</si>
  <si>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</si>
  <si>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</si>
  <si>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</si>
  <si>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</si>
  <si>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</si>
  <si>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</si>
  <si>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</si>
  <si>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</si>
  <si>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</si>
  <si>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</si>
  <si>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</si>
  <si>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</si>
  <si>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</si>
  <si>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</si>
  <si>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</si>
  <si>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</si>
  <si>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</si>
  <si>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</si>
  <si>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</si>
  <si>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</si>
  <si>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</si>
  <si>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</si>
  <si>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</si>
  <si>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</si>
  <si>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</si>
  <si>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</si>
  <si>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</si>
  <si>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</si>
  <si>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</si>
  <si>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</si>
  <si>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</si>
  <si>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</si>
  <si>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</si>
  <si>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</si>
  <si>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</si>
  <si>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</si>
  <si>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</si>
  <si>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</si>
  <si>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</si>
  <si>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</si>
  <si>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</si>
  <si>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</si>
  <si>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</si>
  <si>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</si>
  <si>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</si>
  <si>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</si>
  <si>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</si>
  <si>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</si>
  <si>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</si>
  <si>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</si>
  <si>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</si>
  <si>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</si>
  <si>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</si>
  <si>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</si>
  <si>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</si>
  <si>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</si>
  <si>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</si>
  <si>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</si>
  <si>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</si>
  <si>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</si>
  <si>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</si>
  <si>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</si>
  <si>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</si>
  <si>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</si>
  <si>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</si>
  <si>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</si>
  <si>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</si>
  <si>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</si>
  <si>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</si>
  <si>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</si>
  <si>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</si>
  <si>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</si>
  <si>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</si>
  <si>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</si>
  <si>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</si>
  <si>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</si>
  <si>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</si>
  <si>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</si>
  <si>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</si>
  <si>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</si>
  <si>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</si>
  <si>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</si>
  <si>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</si>
  <si>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</si>
  <si>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</si>
  <si>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</si>
  <si>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</si>
  <si>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</si>
  <si>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</si>
  <si>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</si>
  <si>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</si>
  <si>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</si>
  <si>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</si>
  <si>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</si>
  <si>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</si>
  <si>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</si>
  <si>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</si>
  <si>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</si>
  <si>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</si>
  <si>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</si>
  <si>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</si>
  <si>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</si>
  <si>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</si>
  <si>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</si>
  <si>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</si>
  <si>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</si>
  <si>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</si>
  <si>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</si>
  <si>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</si>
  <si>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</si>
  <si>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</si>
  <si>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</si>
  <si>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</si>
  <si>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</si>
  <si>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</si>
  <si>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</si>
  <si>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</si>
  <si>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</si>
  <si>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</si>
  <si>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</si>
  <si>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</si>
  <si>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</si>
  <si>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</si>
  <si>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</si>
  <si>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</si>
  <si>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</si>
  <si>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</si>
  <si>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</si>
  <si>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</si>
  <si>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</si>
  <si>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</si>
  <si>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</si>
  <si>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</si>
  <si>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</si>
  <si>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</si>
  <si>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</si>
  <si>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</si>
  <si>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</si>
  <si>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</si>
  <si>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</si>
  <si>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</si>
  <si>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</si>
  <si>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</si>
  <si>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</si>
  <si>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</si>
  <si>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</si>
  <si>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</si>
  <si>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</si>
  <si>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</si>
  <si>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</si>
  <si>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</si>
  <si>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</si>
  <si>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</si>
  <si>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</si>
  <si>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</si>
  <si>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</si>
  <si>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</si>
  <si>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</si>
  <si>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</si>
  <si>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</si>
  <si>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</si>
  <si>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</si>
  <si>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</si>
  <si>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</si>
  <si>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</si>
  <si>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</si>
  <si>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</si>
  <si>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</si>
  <si>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</si>
  <si>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</si>
  <si>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</si>
  <si>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</si>
  <si>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</si>
  <si>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</si>
  <si>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</si>
  <si>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</si>
  <si>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</si>
  <si>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</si>
  <si>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</si>
  <si>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</si>
  <si>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</si>
  <si>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</si>
  <si>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</si>
  <si>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</si>
  <si>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</si>
  <si>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</si>
  <si>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</si>
  <si>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</si>
  <si>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</si>
  <si>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</si>
  <si>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</si>
  <si>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</si>
  <si>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</si>
  <si>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</si>
  <si>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</si>
  <si>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</si>
  <si>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</si>
  <si>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</si>
  <si>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</si>
  <si>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</si>
  <si>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</si>
  <si>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</si>
  <si>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</si>
  <si>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</si>
  <si>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</si>
  <si>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*MIL270800028</t>
  </si>
  <si>
    <t>*MIL210800022</t>
  </si>
  <si>
    <t>*MIL250800027</t>
  </si>
  <si>
    <t>*MIL240800017</t>
  </si>
  <si>
    <t>*MIL260800030</t>
  </si>
  <si>
    <t>*MIL080900027</t>
  </si>
  <si>
    <t>*MIL210800023</t>
  </si>
  <si>
    <t>AGROTRANSPORTE ALDAO S.A.</t>
  </si>
  <si>
    <t>*NEU101100035</t>
  </si>
  <si>
    <t>*INP220800066</t>
  </si>
  <si>
    <t>*INP020900036</t>
  </si>
  <si>
    <t>*INP260800068</t>
  </si>
  <si>
    <t>*INP250800064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</si>
  <si>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</si>
  <si>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</si>
  <si>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</si>
  <si>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</si>
  <si>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</si>
  <si>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</si>
  <si>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</si>
  <si>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</si>
  <si>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</si>
  <si>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</si>
  <si>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*CUY240800027</t>
  </si>
  <si>
    <t>*CUY250800056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</si>
  <si>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</si>
  <si>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</si>
  <si>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</si>
  <si>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</si>
  <si>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</si>
  <si>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</si>
  <si>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</si>
  <si>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</si>
  <si>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</si>
  <si>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</si>
  <si>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</si>
  <si>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</si>
  <si>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</si>
  <si>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</si>
  <si>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</si>
  <si>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</si>
  <si>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</si>
  <si>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</si>
  <si>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</si>
  <si>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</si>
  <si>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</si>
  <si>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</si>
  <si>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</si>
  <si>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</si>
  <si>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</si>
  <si>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</si>
  <si>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</si>
  <si>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</si>
  <si>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</si>
  <si>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</si>
  <si>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</si>
  <si>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</si>
  <si>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</si>
  <si>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</si>
  <si>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</si>
  <si>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</si>
  <si>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</si>
  <si>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</si>
  <si>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</si>
  <si>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</si>
  <si>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</si>
  <si>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</si>
  <si>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</si>
  <si>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</si>
  <si>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</si>
  <si>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</si>
  <si>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</si>
  <si>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</si>
  <si>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</si>
  <si>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</si>
  <si>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</si>
  <si>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</si>
  <si>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</si>
  <si>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</si>
  <si>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</si>
  <si>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</si>
  <si>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</si>
  <si>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</si>
  <si>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</si>
  <si>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</si>
  <si>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</si>
  <si>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</si>
  <si>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</si>
  <si>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</si>
  <si>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</si>
  <si>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</si>
  <si>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</si>
  <si>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</si>
  <si>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</si>
  <si>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</si>
  <si>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*MAV270800997</t>
  </si>
  <si>
    <t>LOS INCAS DESARROLLOS</t>
  </si>
  <si>
    <t>*MAV160901253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</si>
  <si>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</si>
  <si>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</si>
  <si>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</si>
  <si>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</si>
  <si>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</si>
  <si>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</si>
  <si>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</si>
  <si>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</si>
  <si>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</si>
  <si>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</si>
  <si>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</si>
  <si>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</si>
  <si>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</si>
  <si>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</si>
  <si>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</si>
  <si>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</si>
  <si>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</si>
  <si>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</si>
  <si>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</si>
  <si>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</si>
  <si>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</si>
  <si>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</si>
  <si>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</si>
  <si>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</si>
  <si>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</si>
  <si>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</si>
  <si>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</si>
  <si>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</si>
  <si>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</si>
  <si>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</si>
  <si>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</si>
  <si>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</si>
  <si>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</si>
  <si>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</si>
  <si>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</si>
  <si>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</si>
  <si>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</si>
  <si>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</si>
  <si>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</si>
  <si>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</si>
  <si>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</si>
  <si>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</si>
  <si>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</si>
  <si>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</si>
  <si>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</si>
  <si>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</si>
  <si>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</si>
  <si>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</si>
  <si>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</si>
  <si>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</si>
  <si>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</si>
  <si>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</si>
  <si>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</si>
  <si>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</si>
  <si>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</si>
  <si>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</si>
  <si>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</si>
  <si>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</si>
  <si>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</si>
  <si>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</si>
  <si>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</si>
  <si>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</si>
  <si>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</si>
  <si>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</si>
  <si>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</si>
  <si>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</si>
  <si>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</si>
  <si>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</si>
  <si>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</si>
  <si>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</si>
  <si>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</si>
  <si>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</si>
  <si>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</si>
  <si>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</si>
  <si>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*MAV210801180</t>
  </si>
  <si>
    <t>*MAV280801098</t>
  </si>
  <si>
    <t>*MAV140900894</t>
  </si>
  <si>
    <t>*MAV150901522</t>
  </si>
  <si>
    <t>NUEVAS CARTULINAS SRL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</si>
  <si>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</si>
  <si>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</si>
  <si>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</si>
  <si>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</si>
  <si>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</si>
  <si>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</si>
  <si>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</si>
  <si>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</si>
  <si>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</si>
  <si>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</si>
  <si>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</si>
  <si>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</si>
  <si>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</si>
  <si>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</si>
  <si>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</si>
  <si>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</si>
  <si>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</si>
  <si>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</si>
  <si>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</si>
  <si>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</si>
  <si>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</si>
  <si>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</si>
  <si>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</si>
  <si>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</si>
  <si>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</si>
  <si>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</si>
  <si>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</si>
  <si>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</si>
  <si>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</si>
  <si>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</si>
  <si>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</si>
  <si>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</si>
  <si>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</si>
  <si>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</si>
  <si>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</si>
  <si>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</si>
  <si>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</si>
  <si>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</si>
  <si>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</si>
  <si>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</si>
  <si>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</si>
  <si>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</si>
  <si>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</si>
  <si>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</si>
  <si>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</si>
  <si>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</si>
  <si>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</si>
  <si>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</si>
  <si>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</si>
  <si>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</si>
  <si>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</si>
  <si>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</si>
  <si>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</si>
  <si>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</si>
  <si>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</si>
  <si>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</si>
  <si>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</si>
  <si>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</si>
  <si>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</si>
  <si>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</si>
  <si>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*MAV270801044</t>
  </si>
  <si>
    <t>*MAV181201190</t>
  </si>
  <si>
    <t>22/12/2026</t>
  </si>
  <si>
    <t>*MAV310801247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</si>
  <si>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</si>
  <si>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</si>
  <si>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</si>
  <si>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</si>
  <si>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</si>
  <si>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</si>
  <si>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</si>
  <si>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</si>
  <si>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</si>
  <si>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</si>
  <si>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</si>
  <si>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</si>
  <si>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</si>
  <si>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</si>
  <si>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</si>
  <si>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</si>
  <si>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</si>
  <si>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</si>
  <si>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</si>
  <si>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</si>
  <si>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</si>
  <si>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</si>
  <si>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</si>
  <si>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</si>
  <si>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</si>
  <si>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</si>
  <si>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</si>
  <si>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</si>
  <si>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</si>
  <si>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</si>
  <si>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</si>
  <si>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</si>
  <si>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</si>
  <si>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</si>
  <si>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</si>
  <si>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</si>
  <si>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</si>
  <si>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</si>
  <si>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</si>
  <si>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</si>
  <si>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</si>
  <si>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</si>
  <si>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</si>
  <si>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</si>
  <si>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</si>
  <si>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</si>
  <si>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</si>
  <si>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</si>
  <si>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</si>
  <si>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</si>
  <si>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</si>
  <si>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</si>
  <si>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</si>
  <si>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</si>
  <si>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</si>
  <si>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*MAV210801221</t>
  </si>
  <si>
    <t>*MAV240800890</t>
  </si>
  <si>
    <t>*MAV250901157</t>
  </si>
  <si>
    <t>*MAV300801351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</si>
  <si>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</si>
  <si>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</si>
  <si>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</si>
  <si>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</si>
  <si>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</si>
  <si>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</si>
  <si>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</si>
  <si>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</si>
  <si>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</si>
  <si>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</si>
  <si>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</si>
  <si>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</si>
  <si>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</si>
  <si>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</si>
  <si>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</si>
  <si>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</si>
  <si>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*MAV210801237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</si>
  <si>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</si>
  <si>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</si>
  <si>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</si>
  <si>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</si>
  <si>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</si>
  <si>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</si>
  <si>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</si>
  <si>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</si>
  <si>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</si>
  <si>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</si>
  <si>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</si>
  <si>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</si>
  <si>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</si>
  <si>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</si>
  <si>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</si>
  <si>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</si>
  <si>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</si>
  <si>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</si>
  <si>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</si>
  <si>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</si>
  <si>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</si>
  <si>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</si>
  <si>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</si>
  <si>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</si>
  <si>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</si>
  <si>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</si>
  <si>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</si>
  <si>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</si>
  <si>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</si>
  <si>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</si>
  <si>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</si>
  <si>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</si>
  <si>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</si>
  <si>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</si>
  <si>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</si>
  <si>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</si>
  <si>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</si>
  <si>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</si>
  <si>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</si>
  <si>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</si>
  <si>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</si>
  <si>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</si>
  <si>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</si>
  <si>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</si>
  <si>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</si>
  <si>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</si>
  <si>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</si>
  <si>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</si>
  <si>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</si>
  <si>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</si>
  <si>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</si>
  <si>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</si>
  <si>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</si>
  <si>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</si>
  <si>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</si>
  <si>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</si>
  <si>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</si>
  <si>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</si>
  <si>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</si>
  <si>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</si>
  <si>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</si>
  <si>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</si>
  <si>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</si>
  <si>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</si>
  <si>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</si>
  <si>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</si>
  <si>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</si>
  <si>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</si>
  <si>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*MAV220801263</t>
  </si>
  <si>
    <t>*MAV270801084</t>
  </si>
  <si>
    <t>DE LAS MISIONES S.A.</t>
  </si>
  <si>
    <t>*MAV161001066</t>
  </si>
  <si>
    <t>#UMV010960024</t>
  </si>
  <si>
    <t>*MAV180901091</t>
  </si>
  <si>
    <t>*MAV210801298</t>
  </si>
  <si>
    <t>CIMBRA SAS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</si>
  <si>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</si>
  <si>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</si>
  <si>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</si>
  <si>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</si>
  <si>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</si>
  <si>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</si>
  <si>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</si>
  <si>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</si>
  <si>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</si>
  <si>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</si>
  <si>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</si>
  <si>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</si>
  <si>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</si>
  <si>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</si>
  <si>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</si>
  <si>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</si>
  <si>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</si>
  <si>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</si>
  <si>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</si>
  <si>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</si>
  <si>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</si>
  <si>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</si>
  <si>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</si>
  <si>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*MAV240800956</t>
  </si>
  <si>
    <t>*MAV270801108</t>
  </si>
  <si>
    <t>#MAV031160008</t>
  </si>
  <si>
    <t>*MAV010901282</t>
  </si>
  <si>
    <t>*MAV010901283</t>
  </si>
  <si>
    <t>#MAV061160016</t>
  </si>
  <si>
    <t>*MAV210801326</t>
  </si>
  <si>
    <t>*MAV250801558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</si>
  <si>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</si>
  <si>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</si>
  <si>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</si>
  <si>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</si>
  <si>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</si>
  <si>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</si>
  <si>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</si>
  <si>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</si>
  <si>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</si>
  <si>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</si>
  <si>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</si>
  <si>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</si>
  <si>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</si>
  <si>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</si>
  <si>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</si>
  <si>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</si>
  <si>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</si>
  <si>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</si>
  <si>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</si>
  <si>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</si>
  <si>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</si>
  <si>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</si>
  <si>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</si>
  <si>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</si>
  <si>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</si>
  <si>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</si>
  <si>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</si>
  <si>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</si>
  <si>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</si>
  <si>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</si>
  <si>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</si>
  <si>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</si>
  <si>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</si>
  <si>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</si>
  <si>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</si>
  <si>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</si>
  <si>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</si>
  <si>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</si>
  <si>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</si>
  <si>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</si>
  <si>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</si>
  <si>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</si>
  <si>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</si>
  <si>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</si>
  <si>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</si>
  <si>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</si>
  <si>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</si>
  <si>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</si>
  <si>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</si>
  <si>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</si>
  <si>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</si>
  <si>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</si>
  <si>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</si>
  <si>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</si>
  <si>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</si>
  <si>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</si>
  <si>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</si>
  <si>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</si>
  <si>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</si>
  <si>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</si>
  <si>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</si>
  <si>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</si>
  <si>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</si>
  <si>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</si>
  <si>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</si>
  <si>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</si>
  <si>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</si>
  <si>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</si>
  <si>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</si>
  <si>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</si>
  <si>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</si>
  <si>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</si>
  <si>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</si>
  <si>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</si>
  <si>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</si>
  <si>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</si>
  <si>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</si>
  <si>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</si>
  <si>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</si>
  <si>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</si>
  <si>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</si>
  <si>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</si>
  <si>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</si>
  <si>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</si>
  <si>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</si>
  <si>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</si>
  <si>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</si>
  <si>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</si>
  <si>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</si>
  <si>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</si>
  <si>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</si>
  <si>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</si>
  <si>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</si>
  <si>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</si>
  <si>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</si>
  <si>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</si>
  <si>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</si>
  <si>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</si>
  <si>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</si>
  <si>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</si>
  <si>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</si>
  <si>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</si>
  <si>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</si>
  <si>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</si>
  <si>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</si>
  <si>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</si>
  <si>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</si>
  <si>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</si>
  <si>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</si>
  <si>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</si>
  <si>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</si>
  <si>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</si>
  <si>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</si>
  <si>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</si>
  <si>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</si>
  <si>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</si>
  <si>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</si>
  <si>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</si>
  <si>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</si>
  <si>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</si>
  <si>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</si>
  <si>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</si>
  <si>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</si>
  <si>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</si>
  <si>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</si>
  <si>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</si>
  <si>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</si>
  <si>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</si>
  <si>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</si>
  <si>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</si>
  <si>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</si>
  <si>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</si>
  <si>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</si>
  <si>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</si>
  <si>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</si>
  <si>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</si>
  <si>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</si>
  <si>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</si>
  <si>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</si>
  <si>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</si>
  <si>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</si>
  <si>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</si>
  <si>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</si>
  <si>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</si>
  <si>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</si>
  <si>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</si>
  <si>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</si>
  <si>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</si>
  <si>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</si>
  <si>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</si>
  <si>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</si>
  <si>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</si>
  <si>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</si>
  <si>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</si>
  <si>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</si>
  <si>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</si>
  <si>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</si>
  <si>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</si>
  <si>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</si>
  <si>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</si>
  <si>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</si>
  <si>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</si>
  <si>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</si>
  <si>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</si>
  <si>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</si>
  <si>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</si>
  <si>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</si>
  <si>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</si>
  <si>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</si>
  <si>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</si>
  <si>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</si>
  <si>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</si>
  <si>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</si>
  <si>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</si>
  <si>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</si>
  <si>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</si>
  <si>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</si>
  <si>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</si>
  <si>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</si>
  <si>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</si>
  <si>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</si>
  <si>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</si>
  <si>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</si>
  <si>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</si>
  <si>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</si>
  <si>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</si>
  <si>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</si>
  <si>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</si>
  <si>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</si>
  <si>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</si>
  <si>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</si>
  <si>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</si>
  <si>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</si>
  <si>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</si>
  <si>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</si>
  <si>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</si>
  <si>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</si>
  <si>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</si>
  <si>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</si>
  <si>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</si>
  <si>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</si>
  <si>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</si>
  <si>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</si>
  <si>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</si>
  <si>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</si>
  <si>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</si>
  <si>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</si>
  <si>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</si>
  <si>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</si>
  <si>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</si>
  <si>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</si>
  <si>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</si>
  <si>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</si>
  <si>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</si>
  <si>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</si>
  <si>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</si>
  <si>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</si>
  <si>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</si>
  <si>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</si>
  <si>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</si>
  <si>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</si>
  <si>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</si>
  <si>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</si>
  <si>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</si>
  <si>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</si>
  <si>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</si>
  <si>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</si>
  <si>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</si>
  <si>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</si>
  <si>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</si>
  <si>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</si>
  <si>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</si>
  <si>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</si>
  <si>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</si>
  <si>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</si>
  <si>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</si>
  <si>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</si>
  <si>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</si>
  <si>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</si>
  <si>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</si>
  <si>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</si>
  <si>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</si>
  <si>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</si>
  <si>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</si>
  <si>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</si>
  <si>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*PRO210800019</t>
  </si>
  <si>
    <t>*MAV060901037</t>
  </si>
  <si>
    <t>*MAV130901098</t>
  </si>
  <si>
    <t>*MAV200901354</t>
  </si>
  <si>
    <t>*MAV210801491</t>
  </si>
  <si>
    <t>*MAV300801432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</si>
  <si>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</si>
  <si>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</si>
  <si>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</si>
  <si>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</si>
  <si>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</si>
  <si>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</si>
  <si>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</si>
  <si>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</si>
  <si>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</si>
  <si>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</si>
  <si>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</si>
  <si>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</si>
  <si>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</si>
  <si>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</si>
  <si>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</si>
  <si>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</si>
  <si>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</si>
  <si>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</si>
  <si>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</si>
  <si>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</si>
  <si>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</si>
  <si>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</si>
  <si>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</si>
  <si>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</si>
  <si>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</si>
  <si>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</si>
  <si>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</si>
  <si>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</si>
  <si>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</si>
  <si>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</si>
  <si>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</si>
  <si>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</si>
  <si>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</si>
  <si>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</si>
  <si>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</si>
  <si>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</si>
  <si>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</si>
  <si>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</si>
  <si>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</si>
  <si>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</si>
  <si>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</si>
  <si>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</si>
  <si>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</si>
  <si>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</si>
  <si>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</si>
  <si>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</si>
  <si>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</si>
  <si>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</si>
  <si>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</si>
  <si>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</si>
  <si>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</si>
  <si>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</si>
  <si>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</si>
  <si>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</si>
  <si>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</si>
  <si>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</si>
  <si>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</si>
  <si>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</si>
  <si>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</si>
  <si>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</si>
  <si>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</si>
  <si>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</si>
  <si>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</si>
  <si>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</si>
  <si>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</si>
  <si>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</si>
  <si>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</si>
  <si>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</si>
  <si>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</si>
  <si>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</si>
  <si>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</si>
  <si>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</si>
  <si>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</si>
  <si>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</si>
  <si>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</si>
  <si>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</si>
  <si>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</si>
  <si>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</si>
  <si>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</si>
  <si>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</si>
  <si>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</si>
  <si>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</si>
  <si>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</si>
  <si>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</si>
  <si>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</si>
  <si>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</si>
  <si>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</si>
  <si>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</si>
  <si>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</si>
  <si>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</si>
  <si>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</si>
  <si>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</si>
  <si>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</si>
  <si>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</si>
  <si>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</si>
  <si>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</si>
  <si>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</si>
  <si>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</si>
  <si>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</si>
  <si>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</si>
  <si>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</si>
  <si>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</si>
  <si>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</si>
  <si>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</si>
  <si>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</si>
  <si>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</si>
  <si>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</si>
  <si>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</si>
  <si>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</si>
  <si>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</si>
  <si>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</si>
  <si>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</si>
  <si>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</si>
  <si>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</si>
  <si>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</si>
  <si>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</si>
  <si>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</si>
  <si>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</si>
  <si>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</si>
  <si>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</si>
  <si>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</si>
  <si>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</si>
  <si>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</si>
  <si>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</si>
  <si>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</si>
  <si>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</si>
  <si>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</si>
  <si>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</si>
  <si>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</si>
  <si>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</si>
  <si>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</si>
  <si>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</si>
  <si>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</si>
  <si>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</si>
  <si>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</si>
  <si>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</si>
  <si>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</si>
  <si>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</si>
  <si>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</si>
  <si>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</si>
  <si>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</si>
  <si>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</si>
  <si>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</si>
  <si>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</si>
  <si>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</si>
  <si>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</si>
  <si>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</si>
  <si>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</si>
  <si>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</si>
  <si>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</si>
  <si>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</si>
  <si>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</si>
  <si>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</si>
  <si>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</si>
  <si>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</si>
  <si>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</si>
  <si>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</si>
  <si>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</si>
  <si>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</si>
  <si>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</si>
  <si>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</si>
  <si>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</si>
  <si>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</si>
  <si>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</si>
  <si>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</si>
  <si>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</si>
  <si>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</si>
  <si>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</si>
  <si>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</si>
  <si>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</si>
  <si>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</si>
  <si>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</si>
  <si>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</si>
  <si>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</si>
  <si>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</si>
  <si>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</si>
  <si>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</si>
  <si>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</si>
  <si>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</si>
  <si>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</si>
  <si>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</si>
  <si>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</si>
  <si>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</si>
  <si>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</si>
  <si>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</si>
  <si>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</si>
  <si>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</si>
  <si>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</si>
  <si>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</si>
  <si>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</si>
  <si>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</si>
  <si>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</si>
  <si>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</si>
  <si>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</si>
  <si>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</si>
  <si>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</si>
  <si>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</si>
  <si>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</si>
  <si>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</si>
  <si>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</si>
  <si>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</si>
  <si>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</si>
  <si>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</si>
  <si>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</si>
  <si>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</si>
  <si>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</si>
  <si>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</si>
  <si>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</si>
  <si>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</si>
  <si>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</si>
  <si>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</si>
  <si>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</si>
  <si>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</si>
  <si>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*MIL201000041</t>
  </si>
  <si>
    <t>*MIL140900031</t>
  </si>
  <si>
    <t>*MIL290900039</t>
  </si>
  <si>
    <t>*PRO210800021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</si>
  <si>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</si>
  <si>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</si>
  <si>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</si>
  <si>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</si>
  <si>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</si>
  <si>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</si>
  <si>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</si>
  <si>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</si>
  <si>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</si>
  <si>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</si>
  <si>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</si>
  <si>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</si>
  <si>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</si>
  <si>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</si>
  <si>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</si>
  <si>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</si>
  <si>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</si>
  <si>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</si>
  <si>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</si>
  <si>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</si>
  <si>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</si>
  <si>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</si>
  <si>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</si>
  <si>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</si>
  <si>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</si>
  <si>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</si>
  <si>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</si>
  <si>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</si>
  <si>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</si>
  <si>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</si>
  <si>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</si>
  <si>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</si>
  <si>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</si>
  <si>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</si>
  <si>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</si>
  <si>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</si>
  <si>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</si>
  <si>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</si>
  <si>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</si>
  <si>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</si>
  <si>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</si>
  <si>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</si>
  <si>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</si>
  <si>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</si>
  <si>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</si>
  <si>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</si>
  <si>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</si>
  <si>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</si>
  <si>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</si>
  <si>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</si>
  <si>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</si>
  <si>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</si>
  <si>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</si>
  <si>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</si>
  <si>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</si>
  <si>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</si>
  <si>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</si>
  <si>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</si>
  <si>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</si>
  <si>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</si>
  <si>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</si>
  <si>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</si>
  <si>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</si>
  <si>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</si>
  <si>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</si>
  <si>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</si>
  <si>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</si>
  <si>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</si>
  <si>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</si>
  <si>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</si>
  <si>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</si>
  <si>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</si>
  <si>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</si>
  <si>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</si>
  <si>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</si>
  <si>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</si>
  <si>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</si>
  <si>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</si>
  <si>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</si>
  <si>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</si>
  <si>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</si>
  <si>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</si>
  <si>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</si>
  <si>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*MAV250801717</t>
  </si>
  <si>
    <t>*MAV030901046</t>
  </si>
  <si>
    <t>*MAV080901342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</si>
  <si>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</si>
  <si>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</si>
  <si>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</si>
  <si>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</si>
  <si>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</si>
  <si>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</si>
  <si>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</si>
  <si>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</si>
  <si>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</si>
  <si>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</si>
  <si>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</si>
  <si>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</si>
  <si>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</si>
  <si>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</si>
  <si>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</si>
  <si>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</si>
  <si>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</si>
  <si>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</si>
  <si>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</si>
  <si>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</si>
  <si>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</si>
  <si>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</si>
  <si>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</si>
  <si>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</si>
  <si>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</si>
  <si>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</si>
  <si>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</si>
  <si>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</si>
  <si>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</si>
  <si>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</si>
  <si>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</si>
  <si>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</si>
  <si>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</si>
  <si>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</si>
  <si>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</si>
  <si>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</si>
  <si>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</si>
  <si>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</si>
  <si>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</si>
  <si>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</si>
  <si>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</si>
  <si>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</si>
  <si>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</si>
  <si>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</si>
  <si>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</si>
  <si>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</si>
  <si>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</si>
  <si>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</si>
  <si>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</si>
  <si>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</si>
  <si>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</si>
  <si>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</si>
  <si>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</si>
  <si>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</si>
  <si>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</si>
  <si>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</si>
  <si>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</si>
  <si>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</si>
  <si>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</si>
  <si>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</si>
  <si>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</si>
  <si>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</si>
  <si>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</si>
  <si>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</si>
  <si>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</si>
  <si>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</si>
  <si>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</si>
  <si>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</si>
  <si>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</si>
  <si>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</si>
  <si>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</si>
  <si>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</si>
  <si>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</si>
  <si>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</si>
  <si>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</si>
  <si>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</si>
  <si>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</si>
  <si>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</si>
  <si>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</si>
  <si>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</si>
  <si>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</si>
  <si>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</si>
  <si>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</si>
  <si>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</si>
  <si>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</si>
  <si>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</si>
  <si>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</si>
  <si>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</si>
  <si>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</si>
  <si>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</si>
  <si>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</si>
  <si>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</si>
  <si>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</si>
  <si>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</si>
  <si>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</si>
  <si>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</si>
  <si>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</si>
  <si>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</si>
  <si>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</si>
  <si>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</si>
  <si>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</si>
  <si>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</si>
  <si>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</si>
  <si>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</si>
  <si>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</si>
  <si>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</si>
  <si>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</si>
  <si>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</si>
  <si>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</si>
  <si>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</si>
  <si>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</si>
  <si>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</si>
  <si>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</si>
  <si>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</si>
  <si>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</si>
  <si>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</si>
  <si>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</si>
  <si>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</si>
  <si>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</si>
  <si>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</si>
  <si>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</si>
  <si>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</si>
  <si>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</si>
  <si>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</si>
  <si>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</si>
  <si>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</si>
  <si>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</si>
  <si>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</si>
  <si>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</si>
  <si>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</si>
  <si>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</si>
  <si>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</si>
  <si>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</si>
  <si>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</si>
  <si>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</si>
  <si>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</si>
  <si>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</si>
  <si>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</si>
  <si>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</si>
  <si>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</si>
  <si>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</si>
  <si>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</si>
  <si>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</si>
  <si>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</si>
  <si>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</si>
  <si>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</si>
  <si>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</si>
  <si>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</si>
  <si>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</si>
  <si>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</si>
  <si>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</si>
  <si>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</si>
  <si>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</si>
  <si>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</si>
  <si>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</si>
  <si>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</si>
  <si>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</si>
  <si>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</si>
  <si>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</si>
  <si>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</si>
  <si>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</si>
  <si>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DI MEGLIO SHIP SUPPLIER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</si>
  <si>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</si>
  <si>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</si>
  <si>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</si>
  <si>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</si>
  <si>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</si>
  <si>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</si>
  <si>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</si>
  <si>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</si>
  <si>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</si>
  <si>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</si>
  <si>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</si>
  <si>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</si>
  <si>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</si>
  <si>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</si>
  <si>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</si>
  <si>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</si>
  <si>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</si>
  <si>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</si>
  <si>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</si>
  <si>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</si>
  <si>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</si>
  <si>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</si>
  <si>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</si>
  <si>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</si>
  <si>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</si>
  <si>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</si>
  <si>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</si>
  <si>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</si>
  <si>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</si>
  <si>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</si>
  <si>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</si>
  <si>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</si>
  <si>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</si>
  <si>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</si>
  <si>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</si>
  <si>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</si>
  <si>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</si>
  <si>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</si>
  <si>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</si>
  <si>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</si>
  <si>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</si>
  <si>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</si>
  <si>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</si>
  <si>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</si>
  <si>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</si>
  <si>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</si>
  <si>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</si>
  <si>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</si>
  <si>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</si>
  <si>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</si>
  <si>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</si>
  <si>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</si>
  <si>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</si>
  <si>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</si>
  <si>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</si>
  <si>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</si>
  <si>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</si>
  <si>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</si>
  <si>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</si>
  <si>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</si>
  <si>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</si>
  <si>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</si>
  <si>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</si>
  <si>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</si>
  <si>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</si>
  <si>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</si>
  <si>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</si>
  <si>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</si>
  <si>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</si>
  <si>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</si>
  <si>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</si>
  <si>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</si>
  <si>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</si>
  <si>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</si>
  <si>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</si>
  <si>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</si>
  <si>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</si>
  <si>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</si>
  <si>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</si>
  <si>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</si>
  <si>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</si>
  <si>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</si>
  <si>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</si>
  <si>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</si>
  <si>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</si>
  <si>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</si>
  <si>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</si>
  <si>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</si>
  <si>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</si>
  <si>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</si>
  <si>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</si>
  <si>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</si>
  <si>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</si>
  <si>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</si>
  <si>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</si>
  <si>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</si>
  <si>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</si>
  <si>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</si>
  <si>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</si>
  <si>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</si>
  <si>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</si>
  <si>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</si>
  <si>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</si>
  <si>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</si>
  <si>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</si>
  <si>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</si>
  <si>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</si>
  <si>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</si>
  <si>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</si>
  <si>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</si>
  <si>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</si>
  <si>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</si>
  <si>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</si>
  <si>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</si>
  <si>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</si>
  <si>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</si>
  <si>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</si>
  <si>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</si>
  <si>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</si>
  <si>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</si>
  <si>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</si>
  <si>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</si>
  <si>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</si>
  <si>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</si>
  <si>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</si>
  <si>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</si>
  <si>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</si>
  <si>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</si>
  <si>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</si>
  <si>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</si>
  <si>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</si>
  <si>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</si>
  <si>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</si>
  <si>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</si>
  <si>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</si>
  <si>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</si>
  <si>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</si>
  <si>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</si>
  <si>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</si>
  <si>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</si>
  <si>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</si>
  <si>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</si>
  <si>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</si>
  <si>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</si>
  <si>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</si>
  <si>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</si>
  <si>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</si>
  <si>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</si>
  <si>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</si>
  <si>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</si>
  <si>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</si>
  <si>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</si>
  <si>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</si>
  <si>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</si>
  <si>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</si>
  <si>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</si>
  <si>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</si>
  <si>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</si>
  <si>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</si>
  <si>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</si>
  <si>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</si>
  <si>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</si>
  <si>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</si>
  <si>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</si>
  <si>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</si>
  <si>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</si>
  <si>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</si>
  <si>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</si>
  <si>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</si>
  <si>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</si>
  <si>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</si>
  <si>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</si>
  <si>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</si>
  <si>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</si>
  <si>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</si>
  <si>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</si>
  <si>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</si>
  <si>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</si>
  <si>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</si>
  <si>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</si>
  <si>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</si>
  <si>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</si>
  <si>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</si>
  <si>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</si>
  <si>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</si>
  <si>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</si>
  <si>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</si>
  <si>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</si>
  <si>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</si>
  <si>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</si>
  <si>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</si>
  <si>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</si>
  <si>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</si>
  <si>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</si>
  <si>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</si>
  <si>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</si>
  <si>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</si>
  <si>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</si>
  <si>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</si>
  <si>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</si>
  <si>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</si>
  <si>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</si>
  <si>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</si>
  <si>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</si>
  <si>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</si>
  <si>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</si>
  <si>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</si>
  <si>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</si>
  <si>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</si>
  <si>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</si>
  <si>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</si>
  <si>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</si>
  <si>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</si>
  <si>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</si>
  <si>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</si>
  <si>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</si>
  <si>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</si>
  <si>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</si>
  <si>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</si>
  <si>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</si>
  <si>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</si>
  <si>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</si>
  <si>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</si>
  <si>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</si>
  <si>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</si>
  <si>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</si>
  <si>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</si>
  <si>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</si>
  <si>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</si>
  <si>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</si>
  <si>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</si>
  <si>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</si>
  <si>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</si>
  <si>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</si>
  <si>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</si>
  <si>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</si>
  <si>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</si>
  <si>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</si>
  <si>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</si>
  <si>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</si>
  <si>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</si>
  <si>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</si>
  <si>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</si>
  <si>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</si>
  <si>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</si>
  <si>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</si>
  <si>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</si>
  <si>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</si>
  <si>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</si>
  <si>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</si>
  <si>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</si>
  <si>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</si>
  <si>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</si>
  <si>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</si>
  <si>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</si>
  <si>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</si>
  <si>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</si>
  <si>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</si>
  <si>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</si>
  <si>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</si>
  <si>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</si>
  <si>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</si>
  <si>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</si>
  <si>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</si>
  <si>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</si>
  <si>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</si>
  <si>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</si>
  <si>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</si>
  <si>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</si>
  <si>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</si>
  <si>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</si>
  <si>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</si>
  <si>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</si>
  <si>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</si>
  <si>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</si>
  <si>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</si>
  <si>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</si>
  <si>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</si>
  <si>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</si>
  <si>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</si>
  <si>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</si>
  <si>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</si>
  <si>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</si>
  <si>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</si>
  <si>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</si>
  <si>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</si>
  <si>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</si>
  <si>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</si>
  <si>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</si>
  <si>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</si>
  <si>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</si>
  <si>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</si>
  <si>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</si>
  <si>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</si>
  <si>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</si>
  <si>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</si>
  <si>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</si>
  <si>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</si>
  <si>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</si>
  <si>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</si>
  <si>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</si>
  <si>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</si>
  <si>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</si>
  <si>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</si>
  <si>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</si>
  <si>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</si>
  <si>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</si>
  <si>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</si>
  <si>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</si>
  <si>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</si>
  <si>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</si>
  <si>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</si>
  <si>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</si>
  <si>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</si>
  <si>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</si>
  <si>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</si>
  <si>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</si>
  <si>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</si>
  <si>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</si>
  <si>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</si>
  <si>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</si>
  <si>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</si>
  <si>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</si>
  <si>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</si>
  <si>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</si>
  <si>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</si>
  <si>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</si>
  <si>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</si>
  <si>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</si>
  <si>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</si>
  <si>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</si>
  <si>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</si>
  <si>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</si>
  <si>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</si>
  <si>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</si>
  <si>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</si>
  <si>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</si>
  <si>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</si>
  <si>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</si>
  <si>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</si>
  <si>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</si>
  <si>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</si>
  <si>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</si>
  <si>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</si>
  <si>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</si>
  <si>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</si>
  <si>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</si>
  <si>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</si>
  <si>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</si>
  <si>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</si>
  <si>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</si>
  <si>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</si>
  <si>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</si>
  <si>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</si>
  <si>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</si>
  <si>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</si>
  <si>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</si>
  <si>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</si>
  <si>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</si>
  <si>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</si>
  <si>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</si>
  <si>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</si>
  <si>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</si>
  <si>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</si>
  <si>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</si>
  <si>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</si>
  <si>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</si>
  <si>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</si>
  <si>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</si>
  <si>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</si>
  <si>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</si>
  <si>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</si>
  <si>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</si>
  <si>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</si>
  <si>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</si>
  <si>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</si>
  <si>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</si>
  <si>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</si>
  <si>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</si>
  <si>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</si>
  <si>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</si>
  <si>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</si>
  <si>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</si>
  <si>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</si>
  <si>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</si>
  <si>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</si>
  <si>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</si>
  <si>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</si>
  <si>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</si>
  <si>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</si>
  <si>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</si>
  <si>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</si>
  <si>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</si>
  <si>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</si>
  <si>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</si>
  <si>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</si>
  <si>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</si>
  <si>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</si>
  <si>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</si>
  <si>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</si>
  <si>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</si>
  <si>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</si>
  <si>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</si>
  <si>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</si>
  <si>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</si>
  <si>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</si>
  <si>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</si>
  <si>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</si>
  <si>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</si>
  <si>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</si>
  <si>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</si>
  <si>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</si>
  <si>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</si>
  <si>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</si>
  <si>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</si>
  <si>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</si>
  <si>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</si>
  <si>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</si>
  <si>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</si>
  <si>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</si>
  <si>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</si>
  <si>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</si>
  <si>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</si>
  <si>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</si>
  <si>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</si>
  <si>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</si>
  <si>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</si>
  <si>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</si>
  <si>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</si>
  <si>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</si>
  <si>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</si>
  <si>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</si>
  <si>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</si>
  <si>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</si>
  <si>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</si>
  <si>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</si>
  <si>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</si>
  <si>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</si>
  <si>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</si>
  <si>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</si>
  <si>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</si>
  <si>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</si>
  <si>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</si>
  <si>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</si>
  <si>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</si>
  <si>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</si>
  <si>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</si>
  <si>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</si>
  <si>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</si>
  <si>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</si>
  <si>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</si>
  <si>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</si>
  <si>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</si>
  <si>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</si>
  <si>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</si>
  <si>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</si>
  <si>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</si>
  <si>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</si>
  <si>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</si>
  <si>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</si>
  <si>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</si>
  <si>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</si>
  <si>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</si>
  <si>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</si>
  <si>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</si>
  <si>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</si>
  <si>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</si>
  <si>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</si>
  <si>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</si>
  <si>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</si>
  <si>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</si>
  <si>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</si>
  <si>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</si>
  <si>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</si>
  <si>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</si>
  <si>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</si>
  <si>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</si>
  <si>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</si>
  <si>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</si>
  <si>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</si>
  <si>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</si>
  <si>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</si>
  <si>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</si>
  <si>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</si>
  <si>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</si>
  <si>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</si>
  <si>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</si>
  <si>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</si>
  <si>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</si>
  <si>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</si>
  <si>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</si>
  <si>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</si>
  <si>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</si>
  <si>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</si>
  <si>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</si>
  <si>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</si>
  <si>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</si>
  <si>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</si>
  <si>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</si>
  <si>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</si>
  <si>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</si>
  <si>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</si>
  <si>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</si>
  <si>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</si>
  <si>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</si>
  <si>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</si>
  <si>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</si>
  <si>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</si>
  <si>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</si>
  <si>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</si>
  <si>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</si>
  <si>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</si>
  <si>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</si>
  <si>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</si>
  <si>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</si>
  <si>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</si>
  <si>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</si>
  <si>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</si>
  <si>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</si>
  <si>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</si>
  <si>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</si>
  <si>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</si>
  <si>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</si>
  <si>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</si>
  <si>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</si>
  <si>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</si>
  <si>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</si>
  <si>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</si>
  <si>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</si>
  <si>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</si>
  <si>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</si>
  <si>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</si>
  <si>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</si>
  <si>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</si>
  <si>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</si>
  <si>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</si>
  <si>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</si>
  <si>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</si>
  <si>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</si>
  <si>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</si>
  <si>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</si>
  <si>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</si>
  <si>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</si>
  <si>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</si>
  <si>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</si>
  <si>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</si>
  <si>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</si>
  <si>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</si>
  <si>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</si>
  <si>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</si>
  <si>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</si>
  <si>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</si>
  <si>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</si>
  <si>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</si>
  <si>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</si>
  <si>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</si>
  <si>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</si>
  <si>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</si>
  <si>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</si>
  <si>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</si>
  <si>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</si>
  <si>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</si>
  <si>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</si>
  <si>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</si>
  <si>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</si>
  <si>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</si>
  <si>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</si>
  <si>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</si>
  <si>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</si>
  <si>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</si>
  <si>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</si>
  <si>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</si>
  <si>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</si>
  <si>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</si>
  <si>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</si>
  <si>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</si>
  <si>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</si>
  <si>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</si>
  <si>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</si>
  <si>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</si>
  <si>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</si>
  <si>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</si>
  <si>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</si>
  <si>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</si>
  <si>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</si>
  <si>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</si>
  <si>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</si>
  <si>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</si>
  <si>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</si>
  <si>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</si>
  <si>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</si>
  <si>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</si>
  <si>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</si>
  <si>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</si>
  <si>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</si>
  <si>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</si>
  <si>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</si>
  <si>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</si>
  <si>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</si>
  <si>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</si>
  <si>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</si>
  <si>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</si>
  <si>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</si>
  <si>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</si>
  <si>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</si>
  <si>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</si>
  <si>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</si>
  <si>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</si>
  <si>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</si>
  <si>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</si>
  <si>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</si>
  <si>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</si>
  <si>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</si>
  <si>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</si>
  <si>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</si>
  <si>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</si>
  <si>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</si>
  <si>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</si>
  <si>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</si>
  <si>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</si>
  <si>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</si>
  <si>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</si>
  <si>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</si>
  <si>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</si>
  <si>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</si>
  <si>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</si>
  <si>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</si>
  <si>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</si>
  <si>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</si>
  <si>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</si>
  <si>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</si>
  <si>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</si>
  <si>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</si>
  <si>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</si>
  <si>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</si>
  <si>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</si>
  <si>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</si>
  <si>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</si>
  <si>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</si>
  <si>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</si>
  <si>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</si>
  <si>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</si>
  <si>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</si>
  <si>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</si>
  <si>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</si>
  <si>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</si>
  <si>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</si>
  <si>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</si>
  <si>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</si>
  <si>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</si>
  <si>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</si>
  <si>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</si>
  <si>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</si>
  <si>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</si>
  <si>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</si>
  <si>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</si>
  <si>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</si>
  <si>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</si>
  <si>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</si>
  <si>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</si>
  <si>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</si>
  <si>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</si>
  <si>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</si>
  <si>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</si>
  <si>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</si>
  <si>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</si>
  <si>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</si>
  <si>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</si>
  <si>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</si>
  <si>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</si>
  <si>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</si>
  <si>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</si>
  <si>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</si>
  <si>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</si>
  <si>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</si>
  <si>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</si>
  <si>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</si>
  <si>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</si>
  <si>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</si>
  <si>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</si>
  <si>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</si>
  <si>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</si>
  <si>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</si>
  <si>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</si>
  <si>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</si>
  <si>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</si>
  <si>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</si>
  <si>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</si>
  <si>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</si>
  <si>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</si>
  <si>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</si>
  <si>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</si>
  <si>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</si>
  <si>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</si>
  <si>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</si>
  <si>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</si>
  <si>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</si>
  <si>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</si>
  <si>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</si>
  <si>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</si>
  <si>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</si>
  <si>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</si>
  <si>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</si>
  <si>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</si>
  <si>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</si>
  <si>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</si>
  <si>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</si>
  <si>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</si>
  <si>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</si>
  <si>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</si>
  <si>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</si>
  <si>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</si>
  <si>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</si>
  <si>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</si>
  <si>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</si>
  <si>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</si>
  <si>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</si>
  <si>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</si>
  <si>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</si>
  <si>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</si>
  <si>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</si>
  <si>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</si>
  <si>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</si>
  <si>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</si>
  <si>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</si>
  <si>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</si>
  <si>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</si>
  <si>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</si>
  <si>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</si>
  <si>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</si>
  <si>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</si>
  <si>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</si>
  <si>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</si>
  <si>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</si>
  <si>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</si>
  <si>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</si>
  <si>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</si>
  <si>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</si>
  <si>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</si>
  <si>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</si>
  <si>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</si>
  <si>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</si>
  <si>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</si>
  <si>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</si>
  <si>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</si>
  <si>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</si>
  <si>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</si>
  <si>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</si>
  <si>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</si>
  <si>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</si>
  <si>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</si>
  <si>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</si>
  <si>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</si>
  <si>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</si>
  <si>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</si>
  <si>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</si>
  <si>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</si>
  <si>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</si>
  <si>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</si>
  <si>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</si>
  <si>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</si>
  <si>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</si>
  <si>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</si>
  <si>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</si>
  <si>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</si>
  <si>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</si>
  <si>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</si>
  <si>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</si>
  <si>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</si>
  <si>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</si>
  <si>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</si>
  <si>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</si>
  <si>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1 BNA = 1529,9999326800 $</t>
  </si>
  <si>
    <t>MARKETVET SA</t>
  </si>
  <si>
    <t>CALIZA CONSTRUCTORA SRL</t>
  </si>
  <si>
    <t>SECUAZ SRL</t>
  </si>
  <si>
    <t>C P S COMUNICACIONES S.A.U.</t>
  </si>
  <si>
    <t>EDUCACION POPULAR ASOCIACION CIVIL</t>
  </si>
  <si>
    <t>26/8/2026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</si>
  <si>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10:04:46</t>
  </si>
  <si>
    <t xml:space="preserve">                                                                                                                Informe de Gestión al 25/8/2026</t>
  </si>
  <si>
    <t>CAUCION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</si>
  <si>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</si>
  <si>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</si>
  <si>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</si>
  <si>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</si>
  <si>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</si>
  <si>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</si>
  <si>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</si>
  <si>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</si>
  <si>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</si>
  <si>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</si>
  <si>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</si>
  <si>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</si>
  <si>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</si>
  <si>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</si>
  <si>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</si>
  <si>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</si>
  <si>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</si>
  <si>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</si>
  <si>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</si>
  <si>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</si>
  <si>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</si>
  <si>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</si>
  <si>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</si>
  <si>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</si>
  <si>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</si>
  <si>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</si>
  <si>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</si>
  <si>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</si>
  <si>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</si>
  <si>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</si>
  <si>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</si>
  <si>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</si>
  <si>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</si>
  <si>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</si>
  <si>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</si>
  <si>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</si>
  <si>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</si>
  <si>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</si>
  <si>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</si>
  <si>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</si>
  <si>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</si>
  <si>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</si>
  <si>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</si>
  <si>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</si>
  <si>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</si>
  <si>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</si>
  <si>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</si>
  <si>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</si>
  <si>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</si>
  <si>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</si>
  <si>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</si>
  <si>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</si>
  <si>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</si>
  <si>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</si>
  <si>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</si>
  <si>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</si>
  <si>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</si>
  <si>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</si>
  <si>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</si>
  <si>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</si>
  <si>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</si>
  <si>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</si>
  <si>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</si>
  <si>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</si>
  <si>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</si>
  <si>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</si>
  <si>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</si>
  <si>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</si>
  <si>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</si>
  <si>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</si>
  <si>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</si>
  <si>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</si>
  <si>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</si>
  <si>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</si>
  <si>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</si>
  <si>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</si>
  <si>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</si>
  <si>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</si>
  <si>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</si>
  <si>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</si>
  <si>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</si>
  <si>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</si>
  <si>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</si>
  <si>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</si>
  <si>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</si>
  <si>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</si>
  <si>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</si>
  <si>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</si>
  <si>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</si>
  <si>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</si>
  <si>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 xml:space="preserve">La Duration del Fondo es de 7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</si>
  <si>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</si>
  <si>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1511,5325398191 $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</si>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</sst>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60.429412152778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03">
        <s v="C Y V EMBALAJES Y SERVICIOS SA"/>
        <s v="CIMBRA SAS"/>
        <s v="EMEPA S A"/>
        <s v="VINOX SRL"/>
        <s v="AMERICA PAMPA AGROINDUSTRIAL S.A."/>
        <s v="GIVA LOGISTIC SRL"/>
        <s v="PAY PER TIC SA"/>
        <s v="NUEVAS CARTULINAS SRL"/>
        <s v="INTEGRA PYMES SGR"/>
        <s v="SOMOS INTEGRA SRL"/>
        <s v="MILLS S.G.R."/>
        <s v="ACINDAR PYMES SGR"/>
        <s v="LOS GROBO SGR"/>
        <s v="Movil SGR"/>
        <s v="DOSAM SOCIEDAD DE RESPONSABILIDAD LIMITADA"/>
        <s v="SION S A"/>
        <s v="PLANTIUM S.A."/>
        <s v="NVX SAS"/>
        <s v="GABRIEL E KELLY Y COMPANIA S.A."/>
        <s v="REMOLQUES OMBU S.A"/>
        <s v="GRUPO BE S.A."/>
        <s v="ZEVEN AGUIRRE"/>
        <s v="EL HINOJO SA"/>
        <s v="FRACCAROLLI Y RONCONI SRL"/>
        <s v="LIBRERIAS IMPULSO SAS"/>
        <s v="S.N.M.Y. S.A.S."/>
        <s v="CHATEAU DEL PORTAL SA"/>
        <s v="SIGMA AGRO S.A."/>
        <s v="CEIBO CREDITOS S.A."/>
        <s v="Neuquén Pymes S.G.R. "/>
        <s v="LOGICA CONSULTING GROUP SAU"/>
        <s v="GEOPOLIS SA"/>
        <s v="PROLIB SAS"/>
        <s v="DE LAS MISIONES S.A."/>
        <s v="ESPECIALIDADES AGROPECUARIAS S.A."/>
        <s v="CUYO AVAL SGR"/>
        <s v="Union S.G.R."/>
        <s v="EL FIERRO SRL"/>
        <s v="TARJETA NARANJA SA"/>
        <s v="FERNANDO RUEDA SA"/>
        <s v="FAGA CORP SA"/>
        <s v="S A BUCCOLINI C I F I A"/>
        <s v="MAFER DISTRIBUIDORA SA"/>
        <s v="INGENIERIA MULTIPIPING SAS"/>
        <s v="MA CONSTRUCTORA"/>
        <s v="RAICES BA"/>
        <s v="KRALICEK OBRAS CIVILES S.A."/>
        <s v="TEXTUM SA"/>
        <s v="AVAL FEDERAL S.G.R."/>
        <s v="PUNTO PACK SRL"/>
        <s v="BiBank S.A."/>
        <s v="DROG SRL"/>
        <s v="TALLERES METALURGICOS CRUCIANELLI SA"/>
        <s v="SOCIEDAD ITALIANA DE BENEFICENCIA EN BUENOS AIRES"/>
        <s v="MADERAS 25 DE MAYO S.A.S"/>
        <s v="TRIVENTO BODEGAS Y VI EDOS S.A."/>
        <s v="TAO SOLUCIONES"/>
        <s v="SERVICIOS DE PRODUCCIONES ARTISTICAS SRL"/>
        <s v="CAL/WEST SEEDS SRL"/>
        <s v="NEWPANEL SA"/>
        <s v="VIVIENDAS DON PALACIOS SRL"/>
        <s v="AGROTRANSPORTE ALDAO S.A."/>
        <s v="Fidus S.G.R."/>
        <s v="DHN DESARROLLADORA SRL"/>
        <s v="PEPSICO DE ARGE"/>
        <s v="CONAVAL SGR"/>
        <s v="INAP S R L"/>
        <s v="I-LED ARGENTINA S.A."/>
        <s v="ACERIAS 4 C SA"/>
        <s v="INTANSIA S.R.L"/>
        <s v="LORENZO ANNECCHINI S A"/>
        <s v="DI MEGLIO SHIP SUPPLIER SRL"/>
        <s v="BRICK S.R.L."/>
        <s v="CFN SRL"/>
        <s v="IRIBERRI Y MOLINERO S A C I"/>
        <s v="LSG ARGENTINA SRL"/>
        <s v="VIACART SA"/>
        <s v="AVICOLA LUJAN DE CUYO SA"/>
        <s v="FINES SOCIEDAD DE RESPONSABILIDAD LIMITADA"/>
        <s v="VITIVINICOLA ROCAL SRL"/>
        <s v="YAGUA COLI S.A."/>
        <s v="COARD S A"/>
        <s v="COOPERATIVA DE VIVIENDA CREDITO Y CONSUMO PARA EL DESARROLLO LIMITADA"/>
        <s v="LW GROUP SRL"/>
        <s v="INTERTEXTIL SRL"/>
        <s v="CE.BE.CO."/>
        <s v="V Y V ALIMENTOS S.A."/>
        <s v="SES SA"/>
        <s v="A M F A Y S ASOCIACION MUTUAL"/>
        <s v="LINEA PUNTO CERO SRL"/>
        <s v="FILOSHEN SA"/>
        <s v="VELVET COMFORT &amp; DESIGN S.R.L."/>
        <s v="CASSAB HNOS S.R.L."/>
        <s v="HARJUICE SRL"/>
        <s v="QUILMES"/>
        <s v="DEMAGRO SRL"/>
        <s v="BSP LARTI SA"/>
        <s v="COOPERATIVA DE TABACALEROS DE JUJUY LTDA"/>
        <s v="POOL SEIS S.A"/>
        <s v="CELULOSA CAMPANA SA"/>
        <s v="LINAL SA"/>
        <s v="MDL SRL"/>
        <s v="DRACONIS S.A."/>
        <s v="LOS INCAS DESARROLLOS"/>
        <s v="IMPRENTA SANTA ROSA S R L"/>
        <s v="AGROPECUARIA EL 16 SA"/>
        <s v="S.E.S. S.A. - CONSTRUERE INGENIERIA S.A."/>
        <s v="BROADBANDTECH SA"/>
        <s v="PAMPA VIDA S.R.L."/>
        <s v="MENENDEZ Y ARTICA SA"/>
        <s v="AGROPECUARIA SAN IGNACIO SA"/>
        <s v="INDUSTRIAS ERCA S A"/>
        <s v="CONSTRUCCIONES S&amp;C SAS"/>
        <s v="PETROLEOS SUDAMERICANOS SA"/>
        <s v="WHITE SUN TECNOLOGIA SRL"/>
        <s v="INC SOCIEDAD ANONIMA"/>
        <s v="TEVECOA SRL"/>
        <s v="SURSEM SOCIEDAD ANONIMA"/>
        <s v="BILOMAT"/>
        <s v="LA EMANCIPACION SOCIEDAD COOPERATIVA MIXTA DE CONSUMO PROVISION TRANSFORMACION Y"/>
        <s v="GUARROCHENA FRANCISCO JOSE"/>
        <s v="DIA ARGENTINA S.A"/>
        <s v="LE SYVAN S R L"/>
        <s v="E VIDAURRETA SAIC"/>
        <s v="LAMA GRAFICA SA"/>
        <s v="LITTLE BLUE SRL"/>
        <s v="LAROCCA NEUMATICOS S A"/>
        <s v="GOBIERNO DE LA CUIDAD DE BUENOS AIRES"/>
        <s v="COM &amp; LOG SA"/>
        <s v="NESTOR TRIVISONNO SRL"/>
        <s v="VITALCAN S.A."/>
        <s v="METALFOR SA"/>
        <s v="MA SEOANE RIERA SRL"/>
        <s v="VICTORIO PODESTA Y CIA S.A."/>
        <s v="MADECO SACI"/>
        <s v="CASA REIG S.A."/>
        <s v="EMPRESA DIST SUR S.A. EDESUR S.A."/>
        <s v="ALLIANCE ONE TOBACCO ARGENTINA"/>
        <s v="MINIGRAF SRL"/>
        <s v="FGF TRAPANI"/>
        <s v="HARTMANN SA"/>
        <s v="C P S COMUNICACIONES S.A.U."/>
        <s v="EL AUDITOR SA"/>
        <s v="TORO DIGITAL SA"/>
        <s v="DON JOSE HOGAR SA"/>
        <s v="Casa Hutton SA"/>
        <s v="POLIMEROS EXPRESS SA"/>
        <s v="GPV SA"/>
        <s v="Vinculos S.G.R."/>
        <s v="YUHMAK S A"/>
        <s v="TRADICION HOGAR SA"/>
        <s v="TITO GONZALEZ AUTOMOTORES SA"/>
        <s v="LIPSA SRL"/>
        <s v="MACER SA"/>
        <s v="PAPEZOPP S.A.S."/>
        <s v="BED COLLECTION SA"/>
        <s v="BELONA PRIETTO S.R.L."/>
        <s v="GRUPO REPUNTE GRAFICA SA"/>
        <s v="EL CIPRES HOGAR SRL"/>
        <s v="F P IMPRESORA SA"/>
        <s v="JOSE MORETTA S.A."/>
        <s v="RECIWORLD SRL"/>
        <s v="MONDELEZ ARG SA"/>
        <s v="ALMACEN DE SUEÑOS SAS"/>
        <s v="ALVEZ CLAUDIO FABIAN"/>
        <s v="MERCADO DE LOS COLCHONES SA"/>
        <s v="MOBEL SOCIEDAD ANONIMA"/>
        <s v="INSMYS SAS"/>
        <s v="VITALI CAROLINA Y TOSSO MELISA NADIA SOC SIMPLE"/>
        <s v="ZUÑIGA PAOLA KARINA"/>
        <s v="LA AGRICOLA REGIONAL COOPERATIVA LIMITADA"/>
        <s v="TOYOS CASIMIRO FELIX E HIJOS"/>
        <s v="JURY &amp; ASOCIADOS SA"/>
        <s v="GRUPO VIJOSA S.R.L."/>
        <s v="EDICIONES URANO S A"/>
        <s v="TRANSPORTE ZAVIOLA"/>
        <s v="COAMA SUD AMERICA SA"/>
        <s v="BAZURCO FACILITY SERVICES SRL"/>
        <s v="TERRASPORT SAS"/>
        <s v="NAVIC SRL"/>
        <s v="CAMPUZANO ANDREA CAROLINA"/>
        <s v="BUROMAHTIK SA"/>
        <s v="EDITAR SRL"/>
        <s v="CUATRO ASES SA"/>
        <s v="MARCHETTI MARCELO DAMIAN"/>
        <s v="NOVA OLLIARI DISTRIBUIDORA SRL"/>
        <s v="HENDEL HOGAR SA"/>
        <s v="HERA SRL"/>
        <s v="CONTIMEDIOS S R L"/>
        <s v="SORBA S.R.L."/>
        <s v="GENERAC TECHNOLOGY MANAGEMENT"/>
        <s v="MSVMUEBLERIA SAS"/>
        <s v="GABRIELLI CARLOS MATIAS"/>
        <s v="FALABELLA S A "/>
        <s v="GRUPO PEÑAFLOR"/>
        <s v="TECNOGRAFIC"/>
        <s v="GO SERVICIOS DIGITALES SAS SAS"/>
        <s v="GRUPO PETBA SA."/>
        <s v="COMERCIALIZADORA MARA SA"/>
        <s v="WORK PROJECT GROUP SA"/>
        <s v="ALFA LACTEA SRL"/>
        <s v="GASMERAGRO SA"/>
        <s v="SOLUCIONES TECNOLOGICAS SA"/>
        <s v="BAYIT EMPRESA CONSTRUCTORA SRL"/>
        <s v="APEXAR TECHNOLOGIES SA"/>
        <s v="ALPARGATAS SAIC"/>
        <s v="Mm Teamwork S. R. L."/>
        <s v="FIDEICOMISO IMPRESORES"/>
        <s v="SERVILLETAS PALLMAR S.R.L."/>
        <s v="VAZQUEZ SACII"/>
        <s v="TIENDA LA LUNA SEMACENDI SRL"/>
        <s v="ISIDORA SRL"/>
        <s v="MARANSI SA"/>
        <s v="SAKE SOCIEDAD DE RESPONSABILIDAD LIMITADA"/>
        <s v="REGCEN S.R.L."/>
        <s v="DILCAR SA"/>
        <s v="MUEBLERIA TORCA SA"/>
        <s v="ESPERT SA"/>
        <s v="BODEGAS Y VIÑEDOS SANTA ELENA SRL"/>
        <s v="LOGISVET S.R.L."/>
        <s v="TRANS BOX SRL"/>
        <s v="GRUB SA"/>
        <s v="Grupo Grafico del Norte SA"/>
        <s v="HORIZON TRADING SA"/>
        <s v="SUPERMERCADOS LA ECONOMIA SA"/>
        <s v="PVP INTEGRAL S. R. L."/>
        <s v="CAMPOS ORGANICOS S.A"/>
        <s v="ECOSUR BAHIA SOCIEDAD ANONIMA"/>
        <s v="CEMEYKA SRL"/>
        <s v="ETCHEVEHERE RURAL S. R. L."/>
        <s v="FERTIL FINANZAS S.A."/>
        <s v="SES SA CONSTRUERE INGENIERIA SA SARMIENTO - UTE"/>
        <s v="LAGAVULIN S.A."/>
        <s v="AMARANTE DAMARIS LUCIA"/>
        <s v="LATINI EMILIANO Y LATINI RUBEN SH"/>
        <s v="SECUAZ SRL"/>
        <s v="EDUCACION POPULAR ASOCIACION CIVIL"/>
        <s v="ENTRENUTS SRL"/>
        <s v="JACK CARS S.A"/>
        <s v="MANGIATERRA JUANA MARIA"/>
        <s v="ABRIL AMOBLAMIENTOS SRL"/>
        <s v="CLADAN SA"/>
        <s v="AVAL AR SGR"/>
        <s v="CEFAC LUCEMA SRL"/>
        <s v="FRISVA SOCIEDAD ANONIMA"/>
        <s v="LA MANTOVANA DE SERVICIOS GENERALES SA"/>
        <s v="CONSTRUCTORA SAN JOSE SRL"/>
        <s v="AMOROSO COPELLO MARCOS"/>
        <s v="CHACRAS GREENS S. A."/>
        <s v="CASA SILVIA SA"/>
        <s v="WAL MART ARGENTINA SRL"/>
        <s v="NAKU CONSTRUCCIONES SRL ALTOTE RODNEY SAUT"/>
        <s v="GRUPO MATT MDQ DISTRIBUCION Y LOGISTICA SA"/>
        <s v="METALURGICA DEL CENTRO SRL"/>
        <s v="DANBURY S. A"/>
        <s v="FULLCREDIT S.A."/>
        <s v="RANGITATA EXPLOTACIONES SA"/>
        <s v="RHS TECNOLOGIA EN CONSTRUCCIONES S.A."/>
        <s v="PARDO S A"/>
        <s v="KEY TECHNOLOGY SRL"/>
        <s v="ZUBIAT JORGE OMAR"/>
        <s v="POLARIS NETWORK SAS"/>
        <s v="CALIZA CONSTRUCTORA SRL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ARKETVET SA"/>
        <s v="MC LASER SRL"/>
        <s v="JONFER S.R.L."/>
        <s v="AGROPECUARIA LA MOROCHA S. R. L."/>
        <s v="AMAVET HORACIO EDUARDO"/>
        <s v="THE CRAZY COW S.R.L."/>
        <m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869676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708.03" maxValue="1082000000"/>
    </cacheField>
    <cacheField name="Importe Actual" numFmtId="0">
      <sharedItems containsString="0" containsBlank="1" containsNumber="1" minValue="4654.47" maxValue="1040823488.5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838.03" maxValue="1040823488.5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7795817569139688E-6" maxValue="1.703419417195404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5T00:00:00"/>
    <s v="25/08/2026"/>
    <n v="1"/>
    <m/>
    <n v="2200000"/>
    <n v="2200000"/>
    <n v="2200000"/>
    <n v="2200000"/>
    <n v="9792"/>
    <s v="AMOMPY"/>
    <s v="Momentum Capital Investment S.A."/>
    <s v="13/07/2026"/>
    <s v="13/07/2026"/>
    <n v="30"/>
    <s v="No"/>
    <s v=""/>
    <m/>
    <m/>
    <s v="*MAV210801491"/>
    <s v="*MAV210801491"/>
    <n v="3.6005362669425285E-5"/>
  </r>
  <r>
    <x v="1"/>
    <s v="Pesos"/>
    <d v="2026-08-25T00:00:00"/>
    <s v="25/08/2026"/>
    <n v="1"/>
    <m/>
    <n v="15000000"/>
    <n v="15000000"/>
    <n v="15000000"/>
    <n v="15000000"/>
    <n v="29515957"/>
    <s v="AMOMPY"/>
    <s v="Momentum Capital Investment S.A."/>
    <s v="19/06/2026"/>
    <s v="19/06/2026"/>
    <n v="36"/>
    <s v="No"/>
    <s v=""/>
    <m/>
    <m/>
    <s v="*MAV210801298"/>
    <s v="*MAV210801298"/>
    <n v="2.4549110910971787E-4"/>
  </r>
  <r>
    <x v="2"/>
    <s v="Pesos"/>
    <d v="2026-08-25T00:00:00"/>
    <s v="25/08/2026"/>
    <n v="1"/>
    <m/>
    <n v="11957120"/>
    <n v="11957120"/>
    <n v="11957120"/>
    <n v="11957120"/>
    <n v="99486215"/>
    <s v="AMOMPY"/>
    <s v="Momentum Capital Investment S.A."/>
    <s v="07/07/2026"/>
    <s v="07/07/2026"/>
    <n v="31"/>
    <s v="No"/>
    <s v=""/>
    <m/>
    <m/>
    <s v="*MAV210801460"/>
    <s v="*MAV210801460"/>
    <n v="1.956911100371993E-4"/>
  </r>
  <r>
    <x v="3"/>
    <s v="Pesos"/>
    <d v="2026-08-25T00:00:00"/>
    <s v="25/08/2026"/>
    <n v="1"/>
    <m/>
    <n v="10000000"/>
    <n v="10000000"/>
    <n v="10000000"/>
    <n v="10000000"/>
    <n v="29692617"/>
    <s v="AMOMPY"/>
    <s v="Momentum Capital Investment S.A."/>
    <s v="16/07/2026"/>
    <s v="16/07/2026"/>
    <n v="33"/>
    <s v="No"/>
    <s v=""/>
    <m/>
    <m/>
    <s v="*MAV210801547"/>
    <s v="*MAV210801547"/>
    <n v="1.6366073940647858E-4"/>
  </r>
  <r>
    <x v="4"/>
    <s v="Pesos"/>
    <d v="2026-08-25T00:00:00"/>
    <s v="25/08/2026"/>
    <n v="1"/>
    <m/>
    <n v="4486536.05"/>
    <n v="4486536.05"/>
    <n v="4486536.05"/>
    <n v="4486536.05"/>
    <n v="14051794"/>
    <s v="AMOMPY"/>
    <s v="Momentum Capital Investment S.A."/>
    <s v="06/07/2026"/>
    <s v="06/07/2026"/>
    <n v="33"/>
    <s v="No"/>
    <s v=""/>
    <m/>
    <m/>
    <s v="*MAV210801441"/>
    <s v="*MAV210801441"/>
    <n v="7.342698073168217E-5"/>
  </r>
  <r>
    <x v="5"/>
    <s v="Pesos"/>
    <d v="2026-08-25T00:00:00"/>
    <s v="25/08/2026"/>
    <n v="1"/>
    <m/>
    <n v="2000000"/>
    <n v="2000000"/>
    <n v="2000000"/>
    <n v="2000000"/>
    <n v="437"/>
    <s v="AMOMPY"/>
    <s v="Momentum Capital Investment S.A."/>
    <s v="24/06/2026"/>
    <s v="24/06/2026"/>
    <n v="33"/>
    <s v="No"/>
    <s v=""/>
    <m/>
    <m/>
    <s v="*MAV210801326"/>
    <s v="*MAV210801326"/>
    <n v="3.2732147881295714E-5"/>
  </r>
  <r>
    <x v="6"/>
    <s v="Pesos"/>
    <d v="2026-08-25T00:00:00"/>
    <s v="25/08/2026"/>
    <n v="1"/>
    <m/>
    <n v="4000000"/>
    <n v="4000000"/>
    <n v="4000000"/>
    <n v="4000000"/>
    <n v="157690"/>
    <s v="AMOMPY"/>
    <s v="Momentum Capital Investment S.A."/>
    <s v="21/07/2026"/>
    <s v="21/07/2026"/>
    <n v="33"/>
    <s v="No"/>
    <s v=""/>
    <m/>
    <m/>
    <s v="#MAV240860078"/>
    <s v="#MAV240860078"/>
    <n v="6.5464295762591429E-5"/>
  </r>
  <r>
    <x v="7"/>
    <s v="Pesos"/>
    <d v="2026-08-25T00:00:00"/>
    <s v="25/08/2026"/>
    <n v="1"/>
    <m/>
    <n v="3000000"/>
    <n v="3000000"/>
    <n v="3000000"/>
    <n v="3000000"/>
    <n v="90015796"/>
    <s v="AMOMPY"/>
    <s v="Momentum Capital Investment S.A."/>
    <s v="29/05/2026"/>
    <s v="29/05/2026"/>
    <n v="33"/>
    <s v="No"/>
    <s v=""/>
    <m/>
    <m/>
    <s v="*MAV210801180"/>
    <s v="*MAV210801180"/>
    <n v="4.9098221821943575E-5"/>
  </r>
  <r>
    <x v="8"/>
    <s v="Pesos"/>
    <d v="2026-08-25T00:00:00"/>
    <s v="25/08/2026"/>
    <n v="1"/>
    <m/>
    <n v="10000000"/>
    <n v="10000000"/>
    <n v="10000000"/>
    <n v="10000000"/>
    <n v="4533"/>
    <s v="AMOMPY"/>
    <s v="Momentum Capital Investment S.A."/>
    <s v="17/07/2026"/>
    <s v="17/07/2026"/>
    <n v="24"/>
    <s v="No"/>
    <s v=""/>
    <m/>
    <m/>
    <s v="*INP210800046"/>
    <s v="*INP210800046"/>
    <n v="1.6366073940647858E-4"/>
  </r>
  <r>
    <x v="8"/>
    <s v="Pesos"/>
    <d v="2026-08-25T00:00:00"/>
    <s v="25/08/2026"/>
    <n v="1"/>
    <m/>
    <n v="40000000"/>
    <n v="40000000"/>
    <n v="40000000"/>
    <n v="40000000"/>
    <n v="80939847"/>
    <s v="AMOMPY"/>
    <s v="Momentum Capital Investment S.A."/>
    <s v="30/04/2026"/>
    <s v="30/04/2026"/>
    <n v="29"/>
    <s v="No"/>
    <s v=""/>
    <m/>
    <m/>
    <s v="*INP210800035"/>
    <s v="*INP210800035"/>
    <n v="6.5464295762591431E-4"/>
  </r>
  <r>
    <x v="9"/>
    <s v="Pesos"/>
    <d v="2026-08-25T00:00:00"/>
    <s v="25/08/2026"/>
    <n v="1"/>
    <m/>
    <n v="21460269"/>
    <n v="21460269"/>
    <n v="21460269"/>
    <n v="21460269"/>
    <n v="90044530"/>
    <s v="AMOMPY"/>
    <s v="Momentum Capital Investment S.A."/>
    <s v="22/07/2026"/>
    <s v="22/07/2026"/>
    <n v="30"/>
    <s v="No"/>
    <s v=""/>
    <m/>
    <m/>
    <s v="*MAV210801634"/>
    <s v="*MAV210801634"/>
    <n v="3.5122034924019304E-4"/>
  </r>
  <r>
    <x v="10"/>
    <s v="Pesos"/>
    <d v="2026-08-25T00:00:00"/>
    <s v="25/08/2026"/>
    <n v="1"/>
    <m/>
    <n v="10000000"/>
    <n v="10000000"/>
    <n v="10000000"/>
    <n v="10000000"/>
    <n v="2153"/>
    <s v="AMOMPY"/>
    <s v="Momentum Capital Investment S.A."/>
    <s v="27/04/2026"/>
    <s v="27/04/2026"/>
    <n v="29"/>
    <s v="No"/>
    <s v=""/>
    <m/>
    <m/>
    <s v="*MIL210800022"/>
    <s v="*MIL210800022"/>
    <n v="1.6366073940647858E-4"/>
  </r>
  <r>
    <x v="10"/>
    <s v="Pesos"/>
    <d v="2026-08-25T00:00:00"/>
    <s v="25/08/2026"/>
    <n v="1"/>
    <m/>
    <n v="5500000"/>
    <n v="5500000"/>
    <n v="5500000"/>
    <n v="5500000"/>
    <n v="66554072"/>
    <s v="AMOMPY"/>
    <s v="Momentum Capital Investment S.A."/>
    <s v="28/04/2026"/>
    <s v="28/04/2026"/>
    <n v="29"/>
    <s v="No"/>
    <s v=""/>
    <m/>
    <m/>
    <s v="*MIL210800023"/>
    <s v="*MIL210800023"/>
    <n v="9.0013406673563213E-5"/>
  </r>
  <r>
    <x v="10"/>
    <s v="Pesos"/>
    <d v="2026-08-25T00:00:00"/>
    <s v="25/08/2026"/>
    <n v="1"/>
    <m/>
    <n v="12500000"/>
    <n v="12500000"/>
    <n v="12500000"/>
    <n v="12500000"/>
    <n v="4956"/>
    <s v="AMOMPY"/>
    <s v="Momentum Capital Investment S.A."/>
    <s v="24/04/2026"/>
    <s v="24/04/2026"/>
    <n v="29"/>
    <s v="No"/>
    <s v=""/>
    <m/>
    <m/>
    <s v="*MIL210800021"/>
    <s v="*MIL210800021"/>
    <n v="2.0457592425809822E-4"/>
  </r>
  <r>
    <x v="10"/>
    <s v="Pesos"/>
    <d v="2026-08-25T00:00:00"/>
    <s v="25/08/2026"/>
    <n v="1"/>
    <m/>
    <n v="10000000"/>
    <n v="10000000"/>
    <n v="10000000"/>
    <n v="10000000"/>
    <n v="66412351"/>
    <s v="AMOMPY"/>
    <s v="Momentum Capital Investment S.A."/>
    <s v="22/04/2026"/>
    <s v="22/04/2026"/>
    <n v="29"/>
    <s v="No"/>
    <s v=""/>
    <m/>
    <m/>
    <s v="*MIL210800020"/>
    <s v="*MIL210800020"/>
    <n v="1.6366073940647858E-4"/>
  </r>
  <r>
    <x v="11"/>
    <s v="Pesos"/>
    <d v="2026-08-25T00:00:00"/>
    <s v="25/08/2026"/>
    <n v="1"/>
    <m/>
    <n v="2500000"/>
    <n v="2500000"/>
    <n v="2500000"/>
    <n v="2500000"/>
    <n v="6136"/>
    <s v="AMOMPY"/>
    <s v="Momentum Capital Investment S.A."/>
    <s v="29/05/2026"/>
    <s v="29/05/2026"/>
    <n v="20"/>
    <s v="No"/>
    <s v=""/>
    <m/>
    <m/>
    <s v="*ACI210800309"/>
    <s v="*ACI210800309"/>
    <n v="4.0915184851619645E-5"/>
  </r>
  <r>
    <x v="12"/>
    <s v="Pesos"/>
    <d v="2026-08-25T00:00:00"/>
    <s v="25/08/2026"/>
    <n v="1"/>
    <m/>
    <n v="34261895.340000004"/>
    <n v="34261895.340000004"/>
    <n v="34261895.340000004"/>
    <n v="34261895.340000004"/>
    <n v="76337349"/>
    <s v="AMOMPY"/>
    <s v="Momentum Capital Investment S.A."/>
    <s v="13/07/2026"/>
    <s v="13/07/2026"/>
    <n v="24"/>
    <s v="No"/>
    <s v=""/>
    <m/>
    <m/>
    <s v="*PRO210800019"/>
    <s v="*PRO210800019"/>
    <n v="5.6073271248117831E-4"/>
  </r>
  <r>
    <x v="12"/>
    <s v="Pesos"/>
    <d v="2026-08-25T00:00:00"/>
    <s v="25/08/2026"/>
    <n v="1"/>
    <m/>
    <n v="3000000"/>
    <n v="3000000"/>
    <n v="3000000"/>
    <n v="3000000"/>
    <n v="16821010"/>
    <s v="AMOMPY"/>
    <s v="Momentum Capital Investment S.A."/>
    <s v="17/07/2026"/>
    <s v="17/07/2026"/>
    <n v="24"/>
    <s v="No"/>
    <s v=""/>
    <m/>
    <m/>
    <s v="*PRO210800022"/>
    <s v="*PRO210800022"/>
    <n v="4.9098221821943575E-5"/>
  </r>
  <r>
    <x v="12"/>
    <s v="Pesos"/>
    <d v="2026-08-25T00:00:00"/>
    <s v="25/08/2026"/>
    <n v="1"/>
    <m/>
    <n v="6875000"/>
    <n v="6875000"/>
    <n v="6875000"/>
    <n v="6875000"/>
    <n v="50454432"/>
    <s v="AMOMPY"/>
    <s v="Momentum Capital Investment S.A."/>
    <s v="17/07/2026"/>
    <s v="17/07/2026"/>
    <n v="24"/>
    <s v="No"/>
    <s v=""/>
    <m/>
    <m/>
    <s v="*PRO210800021"/>
    <s v="*PRO210800021"/>
    <n v="1.1251675834195402E-4"/>
  </r>
  <r>
    <x v="13"/>
    <s v="Pesos"/>
    <d v="2026-08-25T00:00:00"/>
    <s v="25/08/2026"/>
    <n v="1"/>
    <m/>
    <n v="10000000"/>
    <n v="10000000"/>
    <n v="10000000"/>
    <n v="10000000"/>
    <n v="360532"/>
    <s v="AMOMPY"/>
    <s v="Momentum Capital Investment S.A."/>
    <s v="21/04/2026"/>
    <s v="21/04/2026"/>
    <n v="28"/>
    <s v="No"/>
    <s v=""/>
    <m/>
    <m/>
    <s v="*MOV210800042"/>
    <s v="*MOV210800042"/>
    <n v="1.6366073940647858E-4"/>
  </r>
  <r>
    <x v="10"/>
    <s v="Pesos"/>
    <d v="2026-08-25T00:00:00"/>
    <s v="25/08/2026"/>
    <n v="1"/>
    <m/>
    <n v="40000000"/>
    <n v="40000000"/>
    <n v="40000000"/>
    <n v="40000000"/>
    <n v="1479"/>
    <s v="AMOMPY"/>
    <s v="Momentum Capital Investment S.A."/>
    <s v="07/07/2026"/>
    <s v="07/07/2026"/>
    <n v="26"/>
    <s v="No"/>
    <s v=""/>
    <m/>
    <m/>
    <s v="*MIL210800031"/>
    <s v="*MIL210800031"/>
    <n v="6.5464295762591431E-4"/>
  </r>
  <r>
    <x v="14"/>
    <s v="Pesos"/>
    <d v="2026-08-25T00:00:00"/>
    <s v="25/08/2026"/>
    <n v="1"/>
    <m/>
    <n v="15000000"/>
    <n v="15000000"/>
    <n v="15000000"/>
    <n v="15000000"/>
    <n v="16806006"/>
    <s v="AMOMPY"/>
    <s v="Momentum Capital Investment S.A."/>
    <s v="26/06/2026"/>
    <s v="26/06/2026"/>
    <n v="38"/>
    <s v="No"/>
    <s v=""/>
    <m/>
    <m/>
    <s v="*MAV210801341"/>
    <s v="*MAV210801341"/>
    <n v="2.4549110910971787E-4"/>
  </r>
  <r>
    <x v="15"/>
    <s v="Pesos"/>
    <d v="2026-08-25T00:00:00"/>
    <s v="25/08/2026"/>
    <n v="1"/>
    <m/>
    <n v="50000000"/>
    <n v="50000000"/>
    <n v="50000000"/>
    <n v="50000000"/>
    <n v="2992"/>
    <s v="AMOMPY"/>
    <s v="Momentum Capital Investment S.A."/>
    <s v="02/07/2026"/>
    <s v="02/07/2026"/>
    <n v="35"/>
    <s v="No"/>
    <s v=""/>
    <m/>
    <m/>
    <s v="*MAV210801387"/>
    <s v="*MAV210801387"/>
    <n v="8.1830369703239289E-4"/>
  </r>
  <r>
    <x v="16"/>
    <s v="Pesos"/>
    <d v="2026-08-25T00:00:00"/>
    <s v="25/08/2026"/>
    <n v="1"/>
    <m/>
    <n v="10000000"/>
    <n v="10000000"/>
    <n v="10000000"/>
    <n v="10000000"/>
    <n v="161"/>
    <s v="AMOMPY"/>
    <s v="Momentum Capital Investment S.A."/>
    <s v="23/04/2026"/>
    <s v="23/04/2026"/>
    <n v="35"/>
    <s v="No"/>
    <s v=""/>
    <m/>
    <m/>
    <s v="*MAV210801077"/>
    <s v="*MAV210801077"/>
    <n v="1.6366073940647858E-4"/>
  </r>
  <r>
    <x v="17"/>
    <s v="Pesos"/>
    <d v="2026-08-25T00:00:00"/>
    <s v="25/08/2026"/>
    <n v="1"/>
    <m/>
    <n v="15000000"/>
    <n v="15000000"/>
    <n v="15000000"/>
    <n v="15000000"/>
    <n v="4267"/>
    <s v="AMOMPY"/>
    <s v="Momentum Capital Investment S.A."/>
    <s v="09/06/2026"/>
    <s v="09/06/2026"/>
    <n v="35"/>
    <s v="No"/>
    <s v=""/>
    <m/>
    <m/>
    <s v="*MAV210801237"/>
    <s v="*MAV210801237"/>
    <n v="2.4549110910971787E-4"/>
  </r>
  <r>
    <x v="18"/>
    <s v="Pesos"/>
    <d v="2026-08-25T00:00:00"/>
    <s v="25/08/2026"/>
    <n v="1"/>
    <m/>
    <n v="2200000"/>
    <n v="2200000"/>
    <n v="2200000"/>
    <n v="2200000"/>
    <n v="6194"/>
    <s v="AMOMPY"/>
    <s v="Momentum Capital Investment S.A."/>
    <s v="03/06/2026"/>
    <s v="03/06/2026"/>
    <n v="33"/>
    <s v="No"/>
    <s v=""/>
    <m/>
    <m/>
    <s v="*MAV210801215"/>
    <s v="*MAV210801215"/>
    <n v="3.6005362669425285E-5"/>
  </r>
  <r>
    <x v="19"/>
    <s v="Pesos"/>
    <d v="2026-08-25T00:00:00"/>
    <s v="25/08/2026"/>
    <n v="1"/>
    <m/>
    <n v="50000000"/>
    <n v="50000000"/>
    <n v="50000000"/>
    <n v="50000000"/>
    <n v="29007567"/>
    <s v="AMOMPY"/>
    <s v="Momentum Capital Investment S.A."/>
    <s v="31/03/2026"/>
    <s v="31/03/2026"/>
    <n v="33"/>
    <s v="No"/>
    <s v=""/>
    <m/>
    <m/>
    <s v="*MAV210801063"/>
    <s v="*MAV210801063"/>
    <n v="8.1830369703239289E-4"/>
  </r>
  <r>
    <x v="20"/>
    <s v="Pesos"/>
    <d v="2026-08-25T00:00:00"/>
    <s v="25/08/2026"/>
    <n v="1"/>
    <m/>
    <n v="397611.15"/>
    <n v="397611.15"/>
    <n v="397611.15"/>
    <n v="397611.15"/>
    <n v="2366"/>
    <s v="AMOMPY"/>
    <s v="Momentum Capital Investment S.A."/>
    <s v="04/08/2026"/>
    <s v="04/08/2026"/>
    <n v="30"/>
    <s v="No"/>
    <s v=""/>
    <m/>
    <m/>
    <s v="*MAV210801801"/>
    <s v="*MAV210801801"/>
    <n v="6.5073334805260268E-6"/>
  </r>
  <r>
    <x v="21"/>
    <s v="Pesos"/>
    <d v="2026-08-25T00:00:00"/>
    <s v="25/08/2026"/>
    <n v="1"/>
    <m/>
    <n v="4500000"/>
    <n v="4500000"/>
    <n v="4500000"/>
    <n v="4500000"/>
    <n v="2"/>
    <s v="AMOMPY"/>
    <s v="Momentum Capital Investment S.A."/>
    <s v="04/08/2026"/>
    <s v="04/08/2026"/>
    <n v="30"/>
    <s v="No"/>
    <s v=""/>
    <m/>
    <m/>
    <s v="*MAV210801802"/>
    <s v="*MAV210801802"/>
    <n v="7.3647332732915352E-5"/>
  </r>
  <r>
    <x v="22"/>
    <s v="Pesos"/>
    <d v="2026-08-25T00:00:00"/>
    <s v="25/08/2026"/>
    <n v="1"/>
    <m/>
    <n v="4288857.18"/>
    <n v="4288857.18"/>
    <n v="4288857.18"/>
    <n v="4288857.18"/>
    <n v="86709"/>
    <s v="AMOMPY"/>
    <s v="Momentum Capital Investment S.A."/>
    <s v="12/08/2026"/>
    <s v="12/08/2026"/>
    <n v="29"/>
    <s v="No"/>
    <s v=""/>
    <m/>
    <m/>
    <s v="*MAV210801888"/>
    <s v="*MAV210801888"/>
    <n v="7.0191753728758449E-5"/>
  </r>
  <r>
    <x v="23"/>
    <s v="Pesos"/>
    <d v="2026-08-25T00:00:00"/>
    <s v="25/08/2026"/>
    <n v="1"/>
    <m/>
    <n v="4000000"/>
    <n v="4000000"/>
    <n v="4000000"/>
    <n v="4000000"/>
    <n v="366271"/>
    <s v="AMOMPY"/>
    <s v="Momentum Capital Investment S.A."/>
    <s v="12/08/2026"/>
    <s v="12/08/2026"/>
    <n v="29"/>
    <s v="No"/>
    <s v=""/>
    <m/>
    <m/>
    <s v="*MAV210801886"/>
    <s v="*MAV210801886"/>
    <n v="6.5464295762591429E-5"/>
  </r>
  <r>
    <x v="24"/>
    <s v="Pesos"/>
    <d v="2026-08-25T00:00:00"/>
    <s v="25/08/2026"/>
    <n v="1"/>
    <m/>
    <n v="1000000"/>
    <n v="1000000"/>
    <n v="1000000"/>
    <n v="1000000"/>
    <n v="67277769"/>
    <s v="AMOMPY"/>
    <s v="Momentum Capital Investment S.A."/>
    <s v="04/06/2026"/>
    <s v="04/06/2026"/>
    <n v="32"/>
    <s v="No"/>
    <s v=""/>
    <m/>
    <m/>
    <s v="*MAV210801221"/>
    <s v="*MAV210801221"/>
    <n v="1.6366073940647857E-5"/>
  </r>
  <r>
    <x v="25"/>
    <s v="Pesos"/>
    <d v="2026-08-25T00:00:00"/>
    <s v="25/08/2026"/>
    <n v="1"/>
    <m/>
    <n v="3533450.77"/>
    <n v="3533450.77"/>
    <n v="3533450.77"/>
    <n v="3533450.77"/>
    <n v="9755703"/>
    <s v="AMOMPY"/>
    <s v="Momentum Capital Investment S.A."/>
    <s v="16/06/2026"/>
    <s v="16/06/2026"/>
    <n v="30"/>
    <s v="No"/>
    <s v=""/>
    <m/>
    <m/>
    <s v="*MAV210801275"/>
    <s v="*MAV210801275"/>
    <n v="5.7828716567459106E-5"/>
  </r>
  <r>
    <x v="26"/>
    <s v="Pesos"/>
    <d v="2026-08-25T00:00:00"/>
    <s v="25/08/2026"/>
    <n v="1"/>
    <m/>
    <n v="5519685.5800000001"/>
    <n v="5519685.5800000001"/>
    <n v="5519685.5800000001"/>
    <n v="5519685.5800000001"/>
    <n v="9910339"/>
    <s v="AMOMPY"/>
    <s v="Momentum Capital Investment S.A."/>
    <s v="15/07/2026"/>
    <s v="15/07/2026"/>
    <n v="30"/>
    <s v="No"/>
    <s v=""/>
    <m/>
    <m/>
    <s v="*MAV210801529"/>
    <s v="*MAV210801529"/>
    <n v="9.0335582331407753E-5"/>
  </r>
  <r>
    <x v="27"/>
    <s v="Pesos"/>
    <d v="2026-08-26T00:00:00"/>
    <s v="25/08/2026"/>
    <n v="0.99920611000000004"/>
    <m/>
    <n v="200000000"/>
    <n v="199841222.72"/>
    <n v="200000000"/>
    <n v="199841222.72"/>
    <n v="90003856"/>
    <s v="AMOMPY"/>
    <s v="Momentum Capital Investment S.A."/>
    <s v="24/06/2026"/>
    <s v="24/06/2026"/>
    <n v="29"/>
    <s v="No"/>
    <s v=""/>
    <m/>
    <m/>
    <s v="*MAV240800969"/>
    <s v="*MAV240800969"/>
    <n v="3.2706162274249964E-3"/>
  </r>
  <r>
    <x v="28"/>
    <s v="Pesos"/>
    <d v="2026-08-26T00:00:00"/>
    <s v="25/08/2026"/>
    <n v="0.99909671"/>
    <m/>
    <n v="100000000"/>
    <n v="99909671.370000005"/>
    <n v="100000000"/>
    <n v="99909671.370000005"/>
    <n v="16836839"/>
    <s v="AMOMPY"/>
    <s v="Momentum Capital Investment S.A."/>
    <s v="23/07/2026"/>
    <s v="23/07/2026"/>
    <n v="33"/>
    <s v="No"/>
    <s v=""/>
    <m/>
    <m/>
    <s v="*MAV240801205"/>
    <s v="*MAV240801205"/>
    <n v="1.6351290690272485E-3"/>
  </r>
  <r>
    <x v="29"/>
    <s v="Pesos"/>
    <d v="2026-08-26T00:00:00"/>
    <s v="25/08/2026"/>
    <n v="0.99912405999999998"/>
    <m/>
    <n v="15000000"/>
    <n v="14986860.84"/>
    <n v="15000000"/>
    <n v="14986860.84"/>
    <n v="177"/>
    <s v="AMOMPY"/>
    <s v="Momentum Capital Investment S.A."/>
    <s v="17/04/2026"/>
    <s v="17/04/2026"/>
    <n v="32"/>
    <s v="No"/>
    <s v=""/>
    <m/>
    <m/>
    <s v="*NEU220800025"/>
    <s v="*NEU220800025"/>
    <n v="2.4527607264563983E-4"/>
  </r>
  <r>
    <x v="30"/>
    <s v="Pesos"/>
    <d v="2026-08-26T00:00:00"/>
    <s v="25/08/2026"/>
    <n v="0.99895999000000002"/>
    <m/>
    <n v="4500000"/>
    <n v="4495319.95"/>
    <n v="4500000"/>
    <n v="4495319.95"/>
    <n v="555"/>
    <s v="AMOMPY"/>
    <s v="Momentum Capital Investment S.A."/>
    <s v="22/04/2026"/>
    <s v="22/04/2026"/>
    <n v="38"/>
    <s v="No"/>
    <s v=""/>
    <m/>
    <m/>
    <s v="*MAV230801002"/>
    <s v="*MAV230801002"/>
    <n v="7.3570738688569435E-5"/>
  </r>
  <r>
    <x v="31"/>
    <s v="Pesos"/>
    <d v="2026-08-26T00:00:00"/>
    <s v="25/08/2026"/>
    <n v="0.99895999000000002"/>
    <m/>
    <n v="2398145.2000000002"/>
    <n v="2395651.1"/>
    <n v="2398145.2000000002"/>
    <n v="2395651.1"/>
    <n v="13270645"/>
    <s v="AMOMPY"/>
    <s v="Momentum Capital Investment S.A."/>
    <s v="24/04/2026"/>
    <s v="24/04/2026"/>
    <n v="38"/>
    <s v="No"/>
    <s v=""/>
    <m/>
    <m/>
    <s v="*MAV240800762"/>
    <s v="*MAV240800762"/>
    <n v="3.9207403038594373E-5"/>
  </r>
  <r>
    <x v="32"/>
    <s v="Pesos"/>
    <d v="2026-08-26T00:00:00"/>
    <s v="25/08/2026"/>
    <n v="0.99909671"/>
    <m/>
    <n v="3900000"/>
    <n v="3896477.16"/>
    <n v="3900000"/>
    <n v="3896477.16"/>
    <n v="285"/>
    <s v="AMOMPY"/>
    <s v="Momentum Capital Investment S.A."/>
    <s v="27/05/2026"/>
    <s v="27/05/2026"/>
    <n v="33"/>
    <s v="No"/>
    <s v=""/>
    <m/>
    <m/>
    <s v="*MAV240800853"/>
    <s v="*MAV240800853"/>
    <n v="6.377003330860557E-5"/>
  </r>
  <r>
    <x v="8"/>
    <s v="Pesos"/>
    <d v="2026-08-26T00:00:00"/>
    <s v="25/08/2026"/>
    <n v="0.99934290000000003"/>
    <m/>
    <n v="10000000"/>
    <n v="9993428.9800000004"/>
    <n v="10000000"/>
    <n v="9993428.9800000004"/>
    <n v="4534"/>
    <s v="AMOMPY"/>
    <s v="Momentum Capital Investment S.A."/>
    <s v="17/07/2026"/>
    <s v="17/07/2026"/>
    <n v="24"/>
    <s v="No"/>
    <s v=""/>
    <m/>
    <m/>
    <s v="*INP240800046"/>
    <s v="*INP240800046"/>
    <n v="1.6355319760729312E-4"/>
  </r>
  <r>
    <x v="8"/>
    <s v="Pesos"/>
    <d v="2026-08-26T00:00:00"/>
    <s v="25/08/2026"/>
    <n v="0.99917876000000005"/>
    <m/>
    <n v="1040000"/>
    <n v="1039145.91"/>
    <n v="1040000"/>
    <n v="1039145.91"/>
    <n v="10601549"/>
    <s v="AMOMPY"/>
    <s v="Momentum Capital Investment S.A."/>
    <s v="30/04/2026"/>
    <s v="30/04/2026"/>
    <n v="30"/>
    <s v="No"/>
    <s v=""/>
    <m/>
    <m/>
    <s v="*INP220800066"/>
    <s v="*INP220800066"/>
    <n v="1.7006738798181804E-5"/>
  </r>
  <r>
    <x v="33"/>
    <s v="Pesos"/>
    <d v="2026-08-26T00:00:00"/>
    <s v="25/08/2026"/>
    <n v="0.99917876000000005"/>
    <m/>
    <n v="2700000"/>
    <n v="2697782.66"/>
    <n v="2700000"/>
    <n v="2697782.66"/>
    <n v="6273"/>
    <s v="AMOMPY"/>
    <s v="Momentum Capital Investment S.A."/>
    <s v="17/06/2026"/>
    <s v="17/06/2026"/>
    <n v="30"/>
    <s v="No"/>
    <s v=""/>
    <m/>
    <m/>
    <s v="*MAV220801263"/>
    <s v="*MAV220801263"/>
    <n v="4.415211048935766E-5"/>
  </r>
  <r>
    <x v="34"/>
    <s v="Pesos"/>
    <d v="2026-08-26T00:00:00"/>
    <s v="25/08/2026"/>
    <n v="0.99917876000000005"/>
    <m/>
    <n v="10000000"/>
    <n v="9991787.5899999999"/>
    <n v="10000000"/>
    <n v="9991787.5899999999"/>
    <n v="502"/>
    <s v="AMOMPY"/>
    <s v="Momentum Capital Investment S.A."/>
    <s v="14/05/2026"/>
    <s v="14/05/2026"/>
    <n v="30"/>
    <s v="No"/>
    <s v=""/>
    <m/>
    <m/>
    <s v="*MAV220801199"/>
    <s v="*MAV220801199"/>
    <n v="1.6352633449718764E-4"/>
  </r>
  <r>
    <x v="34"/>
    <s v="Pesos"/>
    <d v="2026-08-26T00:00:00"/>
    <s v="25/08/2026"/>
    <n v="0.99917876000000005"/>
    <m/>
    <n v="10000000"/>
    <n v="9991787.5999999996"/>
    <n v="10000000"/>
    <n v="9991787.5999999996"/>
    <n v="473"/>
    <s v="AMOMPY"/>
    <s v="Momentum Capital Investment S.A."/>
    <s v="12/05/2026"/>
    <s v="12/05/2026"/>
    <n v="30"/>
    <s v="No"/>
    <s v=""/>
    <m/>
    <m/>
    <s v="*MAV220801198"/>
    <s v="*MAV220801198"/>
    <n v="1.635263346608484E-4"/>
  </r>
  <r>
    <x v="10"/>
    <s v="Pesos"/>
    <d v="2026-08-26T00:00:00"/>
    <s v="25/08/2026"/>
    <n v="0.99920611000000004"/>
    <m/>
    <n v="10000000"/>
    <n v="9992061.1199999992"/>
    <n v="10000000"/>
    <n v="9992061.1199999992"/>
    <n v="2154"/>
    <s v="AMOMPY"/>
    <s v="Momentum Capital Investment S.A."/>
    <s v="27/04/2026"/>
    <s v="27/04/2026"/>
    <n v="29"/>
    <s v="No"/>
    <s v=""/>
    <m/>
    <m/>
    <s v="*MIL240800017"/>
    <s v="*MIL240800017"/>
    <n v="1.6353081110939262E-4"/>
  </r>
  <r>
    <x v="10"/>
    <s v="Pesos"/>
    <d v="2026-08-26T00:00:00"/>
    <s v="25/08/2026"/>
    <n v="0.99920611000000004"/>
    <m/>
    <n v="10000000"/>
    <n v="9992061.1199999992"/>
    <n v="10000000"/>
    <n v="9992061.1199999992"/>
    <n v="66412396"/>
    <s v="AMOMPY"/>
    <s v="Momentum Capital Investment S.A."/>
    <s v="22/04/2026"/>
    <s v="22/04/2026"/>
    <n v="29"/>
    <s v="No"/>
    <s v=""/>
    <m/>
    <m/>
    <s v="*MIL240800016"/>
    <s v="*MIL240800016"/>
    <n v="1.6353081110939262E-4"/>
  </r>
  <r>
    <x v="11"/>
    <s v="Pesos"/>
    <d v="2026-08-26T00:00:00"/>
    <s v="25/08/2026"/>
    <n v="0.99945236000000004"/>
    <m/>
    <n v="2500000"/>
    <n v="2498630.89"/>
    <n v="2500000"/>
    <n v="2498630.89"/>
    <n v="6137"/>
    <s v="AMOMPY"/>
    <s v="Momentum Capital Investment S.A."/>
    <s v="29/05/2026"/>
    <s v="29/05/2026"/>
    <n v="20"/>
    <s v="No"/>
    <s v=""/>
    <m/>
    <m/>
    <s v="*ACI240800158"/>
    <s v="*ACI240800158"/>
    <n v="4.0892777896126766E-5"/>
  </r>
  <r>
    <x v="35"/>
    <s v="Pesos"/>
    <d v="2026-08-26T00:00:00"/>
    <s v="25/08/2026"/>
    <n v="0.99923346999999996"/>
    <m/>
    <n v="5000000"/>
    <n v="4996167.33"/>
    <n v="5000000"/>
    <n v="4996167.33"/>
    <n v="29175487"/>
    <s v="AMOMPY"/>
    <s v="Momentum Capital Investment S.A."/>
    <s v="04/05/2026"/>
    <s v="04/05/2026"/>
    <n v="28"/>
    <s v="No"/>
    <s v=""/>
    <m/>
    <m/>
    <s v="*CUY240800027"/>
    <s v="*CUY240800027"/>
    <n v="8.1767643942629191E-5"/>
  </r>
  <r>
    <x v="13"/>
    <s v="Pesos"/>
    <d v="2026-08-26T00:00:00"/>
    <s v="25/08/2026"/>
    <n v="0.99923346999999996"/>
    <m/>
    <n v="10000000"/>
    <n v="9992334.6500000004"/>
    <n v="10000000"/>
    <n v="9992334.6500000004"/>
    <n v="360558"/>
    <s v="AMOMPY"/>
    <s v="Momentum Capital Investment S.A."/>
    <s v="21/04/2026"/>
    <s v="21/04/2026"/>
    <n v="28"/>
    <s v="No"/>
    <s v=""/>
    <m/>
    <m/>
    <s v="*MOV230800052"/>
    <s v="*MOV230800052"/>
    <n v="1.6353528772159763E-4"/>
  </r>
  <r>
    <x v="8"/>
    <s v="Pesos"/>
    <d v="2026-08-26T00:00:00"/>
    <s v="25/08/2026"/>
    <n v="0.99923346999999996"/>
    <m/>
    <n v="16545572.09"/>
    <n v="16532889.359999999"/>
    <n v="16545572.09"/>
    <n v="16532889.359999999"/>
    <n v="7610"/>
    <s v="AMOMPY"/>
    <s v="Momentum Capital Investment S.A."/>
    <s v="05/06/2026"/>
    <s v="05/06/2026"/>
    <n v="28"/>
    <s v="No"/>
    <s v=""/>
    <m/>
    <m/>
    <s v="*INP240800044"/>
    <s v="*INP240800044"/>
    <n v="2.7057848971831023E-4"/>
  </r>
  <r>
    <x v="10"/>
    <s v="Pesos"/>
    <d v="2026-08-26T00:00:00"/>
    <s v="25/08/2026"/>
    <n v="0.99928817999999997"/>
    <m/>
    <n v="100000000"/>
    <n v="99928817.909999996"/>
    <n v="100000000"/>
    <n v="99928817.909999996"/>
    <n v="2830"/>
    <s v="AMOMPY"/>
    <s v="Momentum Capital Investment S.A."/>
    <s v="04/06/2026"/>
    <s v="04/06/2026"/>
    <n v="26"/>
    <s v="No"/>
    <s v=""/>
    <m/>
    <m/>
    <s v="*MIL240800021"/>
    <s v="*MIL240800021"/>
    <n v="1.6354424227165959E-3"/>
  </r>
  <r>
    <x v="34"/>
    <s v="Pesos"/>
    <d v="2026-08-26T00:00:00"/>
    <s v="25/08/2026"/>
    <n v="0.99917876000000005"/>
    <m/>
    <n v="10000000"/>
    <n v="9991787.5899999999"/>
    <n v="10000000"/>
    <n v="9991787.5899999999"/>
    <n v="670"/>
    <s v="AMOMPY"/>
    <s v="Momentum Capital Investment S.A."/>
    <s v="23/06/2026"/>
    <s v="23/06/2026"/>
    <n v="30"/>
    <s v="No"/>
    <s v=""/>
    <m/>
    <m/>
    <s v="*MAV240800956"/>
    <s v="*MAV240800956"/>
    <n v="1.6352633449718764E-4"/>
  </r>
  <r>
    <x v="34"/>
    <s v="Pesos"/>
    <d v="2026-08-26T00:00:00"/>
    <s v="25/08/2026"/>
    <n v="0.99917876000000005"/>
    <m/>
    <n v="10000000"/>
    <n v="9991787.5899999999"/>
    <n v="10000000"/>
    <n v="9991787.5899999999"/>
    <n v="568"/>
    <s v="AMOMPY"/>
    <s v="Momentum Capital Investment S.A."/>
    <s v="01/06/2026"/>
    <s v="01/06/2026"/>
    <n v="30"/>
    <s v="No"/>
    <s v=""/>
    <m/>
    <m/>
    <s v="*MAV240800875"/>
    <s v="*MAV240800875"/>
    <n v="1.6352633449718764E-4"/>
  </r>
  <r>
    <x v="14"/>
    <s v="Pesos"/>
    <d v="2026-08-26T00:00:00"/>
    <s v="25/08/2026"/>
    <n v="0.99895999000000002"/>
    <m/>
    <n v="15000000"/>
    <n v="14984399.810000001"/>
    <n v="15000000"/>
    <n v="14984399.810000001"/>
    <n v="16806010"/>
    <s v="AMOMPY"/>
    <s v="Momentum Capital Investment S.A."/>
    <s v="29/06/2026"/>
    <s v="29/06/2026"/>
    <n v="38"/>
    <s v="No"/>
    <s v=""/>
    <m/>
    <m/>
    <s v="*MAV240800993"/>
    <s v="*MAV240800993"/>
    <n v="2.4523579524668974E-4"/>
  </r>
  <r>
    <x v="36"/>
    <s v="Pesos"/>
    <d v="2026-08-26T00:00:00"/>
    <s v="25/08/2026"/>
    <n v="0.99924714000000003"/>
    <m/>
    <n v="30000000"/>
    <n v="29977414.280000001"/>
    <n v="30000000"/>
    <n v="29977414.280000001"/>
    <n v="487"/>
    <s v="AMOMPY"/>
    <s v="Momentum Capital Investment S.A."/>
    <s v="06/07/2026"/>
    <s v="06/07/2026"/>
    <n v="27.5"/>
    <s v="No"/>
    <s v=""/>
    <m/>
    <m/>
    <s v="*NIO240800024"/>
    <s v="*NIO240800024"/>
    <n v="4.9061257865591298E-4"/>
  </r>
  <r>
    <x v="37"/>
    <s v="Pesos"/>
    <d v="2026-08-26T00:00:00"/>
    <s v="25/08/2026"/>
    <n v="0.99909671"/>
    <m/>
    <n v="2500000"/>
    <n v="2497741.7799999998"/>
    <n v="2500000"/>
    <n v="2497741.7799999998"/>
    <n v="1198"/>
    <s v="AMOMPY"/>
    <s v="Momentum Capital Investment S.A."/>
    <s v="19/05/2026"/>
    <s v="19/05/2026"/>
    <n v="33"/>
    <s v="No"/>
    <s v=""/>
    <m/>
    <m/>
    <s v="*MAV240800820"/>
    <s v="*MAV240800820"/>
    <n v="4.0878226656125391E-5"/>
  </r>
  <r>
    <x v="18"/>
    <s v="Pesos"/>
    <d v="2026-08-26T00:00:00"/>
    <s v="25/08/2026"/>
    <n v="0.99909671"/>
    <m/>
    <n v="2200000"/>
    <n v="2198012.77"/>
    <n v="2200000"/>
    <n v="2198012.77"/>
    <n v="6195"/>
    <s v="AMOMPY"/>
    <s v="Momentum Capital Investment S.A."/>
    <s v="03/06/2026"/>
    <s v="03/06/2026"/>
    <n v="33"/>
    <s v="No"/>
    <s v=""/>
    <m/>
    <m/>
    <s v="*MAV240800885"/>
    <s v="*MAV240800885"/>
    <n v="3.597283951630821E-5"/>
  </r>
  <r>
    <x v="38"/>
    <s v="Pesos"/>
    <d v="2026-08-26T00:00:00"/>
    <s v="25/08/2026"/>
    <n v="0.99934292000000002"/>
    <m/>
    <n v="169949.7"/>
    <n v="169838.03"/>
    <n v="169949.7"/>
    <n v="169838.03"/>
    <n v="612232"/>
    <s v="AMOMPY"/>
    <s v="Momentum Capital Investment S.A."/>
    <s v="29/05/2026"/>
    <s v="29/05/2026"/>
    <n v="24"/>
    <s v="No"/>
    <s v=""/>
    <m/>
    <m/>
    <s v="*MAV240800868"/>
    <s v="*MAV240800868"/>
    <n v="2.7795817569139688E-6"/>
  </r>
  <r>
    <x v="38"/>
    <s v="Pesos"/>
    <d v="2026-08-26T00:00:00"/>
    <s v="25/08/2026"/>
    <n v="0.99934292000000002"/>
    <m/>
    <n v="169949.7"/>
    <n v="169838.03"/>
    <n v="169949.7"/>
    <n v="169838.03"/>
    <n v="612239"/>
    <s v="AMOMPY"/>
    <s v="Momentum Capital Investment S.A."/>
    <s v="29/05/2026"/>
    <s v="29/05/2026"/>
    <n v="24"/>
    <s v="No"/>
    <s v=""/>
    <m/>
    <m/>
    <s v="*MAV240800866"/>
    <s v="*MAV240800866"/>
    <n v="2.7795817569139688E-6"/>
  </r>
  <r>
    <x v="38"/>
    <s v="Pesos"/>
    <d v="2026-08-26T00:00:00"/>
    <s v="25/08/2026"/>
    <n v="0.99934290000000003"/>
    <m/>
    <n v="2382065.5699999998"/>
    <n v="2380500.31"/>
    <n v="2382065.5699999998"/>
    <n v="2380500.31"/>
    <n v="612234"/>
    <s v="AMOMPY"/>
    <s v="Momentum Capital Investment S.A."/>
    <s v="29/05/2026"/>
    <s v="29/05/2026"/>
    <n v="24"/>
    <s v="No"/>
    <s v=""/>
    <m/>
    <m/>
    <s v="*MAV240800867"/>
    <s v="*MAV240800867"/>
    <n v="3.895944408919515E-5"/>
  </r>
  <r>
    <x v="39"/>
    <s v="Pesos"/>
    <d v="2026-08-26T00:00:00"/>
    <s v="25/08/2026"/>
    <n v="0.99909671"/>
    <m/>
    <n v="6372173.0499999998"/>
    <n v="6366417.1200000001"/>
    <n v="6372173.0499999998"/>
    <n v="6366417.1200000001"/>
    <n v="10180811"/>
    <s v="AMOMPY"/>
    <s v="Momentum Capital Investment S.A."/>
    <s v="28/07/2026"/>
    <s v="28/07/2026"/>
    <n v="33"/>
    <s v="No"/>
    <s v=""/>
    <m/>
    <m/>
    <s v="*MAV220801442"/>
    <s v="*MAV220801442"/>
    <n v="1.0419325332292638E-4"/>
  </r>
  <r>
    <x v="40"/>
    <s v="Pesos"/>
    <d v="2026-08-26T00:00:00"/>
    <s v="25/08/2026"/>
    <n v="0.99917876000000005"/>
    <m/>
    <n v="6091357.8200000003"/>
    <n v="6086355.3600000003"/>
    <n v="6091357.8200000003"/>
    <n v="6086355.3600000003"/>
    <n v="286"/>
    <s v="AMOMPY"/>
    <s v="Momentum Capital Investment S.A."/>
    <s v="05/08/2026"/>
    <s v="05/08/2026"/>
    <n v="30"/>
    <s v="No"/>
    <s v=""/>
    <m/>
    <m/>
    <s v="*MAV240801335"/>
    <s v="*MAV240801335"/>
    <n v="9.960974185081842E-5"/>
  </r>
  <r>
    <x v="41"/>
    <s v="Pesos"/>
    <d v="2026-08-26T00:00:00"/>
    <s v="25/08/2026"/>
    <n v="0.99915140999999996"/>
    <m/>
    <n v="70000000"/>
    <n v="69940599.030000001"/>
    <n v="70000000"/>
    <n v="69940599.030000001"/>
    <n v="9756467"/>
    <s v="AMOMPY"/>
    <s v="Momentum Capital Investment S.A."/>
    <s v="24/07/2026"/>
    <s v="24/07/2026"/>
    <n v="31"/>
    <s v="No"/>
    <s v=""/>
    <m/>
    <m/>
    <s v="*MAV230801102"/>
    <s v="*MAV230801102"/>
    <n v="1.1446530151781838E-3"/>
  </r>
  <r>
    <x v="41"/>
    <s v="Pesos"/>
    <d v="2026-08-26T00:00:00"/>
    <s v="25/08/2026"/>
    <n v="0.99893264999999998"/>
    <m/>
    <n v="10800428.970000001"/>
    <n v="10788901.130000001"/>
    <n v="10800428.970000001"/>
    <n v="10788901.130000001"/>
    <n v="53243195"/>
    <s v="AMOMPY"/>
    <s v="Momentum Capital Investment S.A."/>
    <s v="15/05/2026"/>
    <s v="15/05/2026"/>
    <n v="39"/>
    <s v="No"/>
    <s v=""/>
    <m/>
    <m/>
    <s v="*MAV230801012"/>
    <s v="*MAV230801012"/>
    <n v="1.7657195363191924E-4"/>
  </r>
  <r>
    <x v="24"/>
    <s v="Pesos"/>
    <d v="2026-08-26T00:00:00"/>
    <s v="25/08/2026"/>
    <n v="0.99912405000000004"/>
    <m/>
    <n v="1000000"/>
    <n v="999124.05"/>
    <n v="1000000"/>
    <n v="999124.05"/>
    <n v="67381469"/>
    <s v="AMOMPY"/>
    <s v="Momentum Capital Investment S.A."/>
    <s v="04/06/2026"/>
    <s v="04/06/2026"/>
    <n v="32"/>
    <s v="No"/>
    <s v=""/>
    <m/>
    <m/>
    <s v="*MAV240800890"/>
    <s v="*MAV240800890"/>
    <n v="1.6351738078179547E-5"/>
  </r>
  <r>
    <x v="24"/>
    <s v="Pesos"/>
    <d v="2026-08-26T00:00:00"/>
    <s v="25/08/2026"/>
    <n v="0.99912405000000004"/>
    <m/>
    <n v="1000000"/>
    <n v="999124.05"/>
    <n v="1000000"/>
    <n v="999124.05"/>
    <n v="67277847"/>
    <s v="AMOMPY"/>
    <s v="Momentum Capital Investment S.A."/>
    <s v="04/06/2026"/>
    <s v="04/06/2026"/>
    <n v="32"/>
    <s v="No"/>
    <s v=""/>
    <m/>
    <m/>
    <s v="*MAV220801234"/>
    <s v="*MAV220801234"/>
    <n v="1.6351738078179547E-5"/>
  </r>
  <r>
    <x v="42"/>
    <s v="Pesos"/>
    <d v="2026-08-26T00:00:00"/>
    <s v="25/08/2026"/>
    <n v="0.99909671"/>
    <m/>
    <n v="10000000"/>
    <n v="9990967.0800000001"/>
    <n v="10000000"/>
    <n v="9990967.0800000001"/>
    <n v="5743953"/>
    <s v="AMOMPY"/>
    <s v="Momentum Capital Investment S.A."/>
    <s v="03/07/2026"/>
    <s v="03/07/2026"/>
    <n v="33"/>
    <s v="No"/>
    <s v=""/>
    <m/>
    <m/>
    <s v="*MAV240801032"/>
    <s v="*MAV240801032"/>
    <n v="1.6351290596985861E-4"/>
  </r>
  <r>
    <x v="43"/>
    <s v="Pesos"/>
    <d v="2026-08-26T00:00:00"/>
    <s v="25/08/2026"/>
    <n v="0.99917876000000005"/>
    <m/>
    <n v="2219157.79"/>
    <n v="2217335.33"/>
    <n v="2219157.79"/>
    <n v="2217335.33"/>
    <n v="149"/>
    <s v="AMOMPY"/>
    <s v="Momentum Capital Investment S.A."/>
    <s v="13/07/2026"/>
    <s v="13/07/2026"/>
    <n v="30"/>
    <s v="No"/>
    <s v=""/>
    <m/>
    <m/>
    <s v="*MAV230801069"/>
    <s v="*MAV230801069"/>
    <n v="3.628907396199082E-5"/>
  </r>
  <r>
    <x v="43"/>
    <s v="Pesos"/>
    <d v="2026-08-26T00:00:00"/>
    <s v="25/08/2026"/>
    <n v="0.99917876000000005"/>
    <m/>
    <n v="2219157.79"/>
    <n v="2217335.33"/>
    <n v="2219157.79"/>
    <n v="2217335.33"/>
    <n v="150"/>
    <s v="AMOMPY"/>
    <s v="Momentum Capital Investment S.A."/>
    <s v="13/07/2026"/>
    <s v="13/07/2026"/>
    <n v="30"/>
    <s v="No"/>
    <s v=""/>
    <m/>
    <m/>
    <s v="*MAV240801091"/>
    <s v="*MAV240801091"/>
    <n v="3.628907396199082E-5"/>
  </r>
  <r>
    <x v="44"/>
    <s v="Pesos"/>
    <d v="2026-08-26T00:00:00"/>
    <s v="25/08/2026"/>
    <n v="0.99917876000000005"/>
    <m/>
    <n v="5300000"/>
    <n v="5295647.45"/>
    <n v="5300000"/>
    <n v="5295647.45"/>
    <n v="21"/>
    <s v="AMOMPY"/>
    <s v="Momentum Capital Investment S.A."/>
    <s v="13/07/2026"/>
    <s v="13/07/2026"/>
    <n v="30"/>
    <s v="No"/>
    <s v=""/>
    <m/>
    <m/>
    <s v="*MAV230801070"/>
    <s v="*MAV230801070"/>
    <n v="8.6668957730303285E-5"/>
  </r>
  <r>
    <x v="45"/>
    <s v="Pesos"/>
    <d v="2026-08-26T00:00:00"/>
    <s v="25/08/2026"/>
    <n v="0.99917876999999999"/>
    <m/>
    <n v="830000"/>
    <n v="829318.38"/>
    <n v="830000"/>
    <n v="829318.38"/>
    <n v="62"/>
    <s v="AMOMPY"/>
    <s v="Momentum Capital Investment S.A."/>
    <s v="20/07/2026"/>
    <s v="20/07/2026"/>
    <n v="30"/>
    <s v="No"/>
    <s v=""/>
    <m/>
    <m/>
    <s v="*MAV240801148"/>
    <s v="*MAV240801148"/>
    <n v="1.3572685927418297E-5"/>
  </r>
  <r>
    <x v="46"/>
    <s v="Pesos"/>
    <d v="2026-08-26T00:00:00"/>
    <s v="25/08/2026"/>
    <n v="0.99917876000000005"/>
    <m/>
    <n v="969231"/>
    <n v="968435.03"/>
    <n v="969231"/>
    <n v="968435.03"/>
    <n v="1400"/>
    <s v="AMOMPY"/>
    <s v="Momentum Capital Investment S.A."/>
    <s v="15/07/2026"/>
    <s v="15/07/2026"/>
    <n v="30"/>
    <s v="No"/>
    <s v=""/>
    <m/>
    <m/>
    <s v="*MAV230801082"/>
    <s v="*MAV230801082"/>
    <n v="1.5849479307693528E-5"/>
  </r>
  <r>
    <x v="46"/>
    <s v="Pesos"/>
    <d v="2026-08-26T00:00:00"/>
    <s v="25/08/2026"/>
    <n v="0.99917876000000005"/>
    <m/>
    <n v="969231"/>
    <n v="968435.03"/>
    <n v="969231"/>
    <n v="968435.03"/>
    <n v="1401"/>
    <s v="AMOMPY"/>
    <s v="Momentum Capital Investment S.A."/>
    <s v="15/07/2026"/>
    <s v="15/07/2026"/>
    <n v="30"/>
    <s v="No"/>
    <s v=""/>
    <m/>
    <m/>
    <s v="*MAV240801111"/>
    <s v="*MAV240801111"/>
    <n v="1.5849479307693528E-5"/>
  </r>
  <r>
    <x v="27"/>
    <s v="Pesos"/>
    <d v="2026-08-27T00:00:00"/>
    <s v="25/08/2026"/>
    <n v="0.99841347999999996"/>
    <m/>
    <n v="200000000"/>
    <n v="199682696.84"/>
    <n v="200000000"/>
    <n v="199682696.84"/>
    <n v="90003857"/>
    <s v="AMOMPY"/>
    <s v="Momentum Capital Investment S.A."/>
    <s v="24/06/2026"/>
    <s v="24/06/2026"/>
    <n v="29"/>
    <s v="No"/>
    <s v=""/>
    <m/>
    <m/>
    <s v="*MAV250801559"/>
    <s v="*MAV250801559"/>
    <n v="3.2680217811514103E-3"/>
  </r>
  <r>
    <x v="28"/>
    <s v="Pesos"/>
    <d v="2026-08-27T00:00:00"/>
    <s v="25/08/2026"/>
    <n v="0.99819506000000002"/>
    <m/>
    <n v="100000000"/>
    <n v="99819505.780000001"/>
    <n v="100000000"/>
    <n v="99819505.780000001"/>
    <n v="16836840"/>
    <s v="AMOMPY"/>
    <s v="Momentum Capital Investment S.A."/>
    <s v="24/07/2026"/>
    <s v="24/07/2026"/>
    <n v="33"/>
    <s v="No"/>
    <s v=""/>
    <m/>
    <m/>
    <s v="*MAV250801770"/>
    <s v="*MAV250801770"/>
    <n v="1.6336534123144062E-3"/>
  </r>
  <r>
    <x v="47"/>
    <s v="Pesos"/>
    <d v="2026-08-27T00:00:00"/>
    <s v="25/08/2026"/>
    <n v="0.99830426000000005"/>
    <m/>
    <n v="10000000"/>
    <n v="9983042.6400000006"/>
    <n v="10000000"/>
    <n v="9983042.6400000006"/>
    <n v="14004245"/>
    <s v="AMOMPY"/>
    <s v="Momentum Capital Investment S.A."/>
    <s v="31/07/2026"/>
    <s v="31/07/2026"/>
    <n v="31"/>
    <s v="No"/>
    <s v=""/>
    <m/>
    <m/>
    <s v="*MAV250801865"/>
    <s v="*MAV250801865"/>
    <n v="1.633832139988804E-4"/>
  </r>
  <r>
    <x v="5"/>
    <s v="Pesos"/>
    <d v="2026-08-27T00:00:00"/>
    <s v="25/08/2026"/>
    <n v="0.99819504999999997"/>
    <m/>
    <n v="2000000"/>
    <n v="1996390.1"/>
    <n v="2000000"/>
    <n v="1996390.1"/>
    <n v="438"/>
    <s v="AMOMPY"/>
    <s v="Momentum Capital Investment S.A."/>
    <s v="24/06/2026"/>
    <s v="24/06/2026"/>
    <n v="33"/>
    <s v="No"/>
    <s v=""/>
    <m/>
    <m/>
    <s v="*MAV250801558"/>
    <s v="*MAV250801558"/>
    <n v="3.2673067990977374E-5"/>
  </r>
  <r>
    <x v="8"/>
    <s v="Pesos"/>
    <d v="2026-08-27T00:00:00"/>
    <s v="25/08/2026"/>
    <n v="0.99868667"/>
    <m/>
    <n v="10000000"/>
    <n v="9986866.6799999997"/>
    <n v="10000000"/>
    <n v="9986866.6799999997"/>
    <n v="4535"/>
    <s v="AMOMPY"/>
    <s v="Momentum Capital Investment S.A."/>
    <s v="17/07/2026"/>
    <s v="17/07/2026"/>
    <n v="24"/>
    <s v="No"/>
    <s v=""/>
    <m/>
    <m/>
    <s v="*INP250800096"/>
    <s v="*INP250800096"/>
    <n v="1.6344579852027238E-4"/>
  </r>
  <r>
    <x v="8"/>
    <s v="Pesos"/>
    <d v="2026-08-27T00:00:00"/>
    <s v="25/08/2026"/>
    <n v="0.99841347999999996"/>
    <m/>
    <n v="40000000"/>
    <n v="39936539.270000003"/>
    <n v="40000000"/>
    <n v="39936539.270000003"/>
    <n v="80939846"/>
    <s v="AMOMPY"/>
    <s v="Momentum Capital Investment S.A."/>
    <s v="30/04/2026"/>
    <s v="30/04/2026"/>
    <n v="29"/>
    <s v="No"/>
    <s v=""/>
    <m/>
    <m/>
    <s v="*INP250800064"/>
    <s v="*INP250800064"/>
    <n v="6.5360435462640681E-4"/>
  </r>
  <r>
    <x v="48"/>
    <s v="Pesos"/>
    <d v="2026-08-27T00:00:00"/>
    <s v="25/08/2026"/>
    <n v="0.99863201999999995"/>
    <m/>
    <n v="5670695.4100000001"/>
    <n v="5662938.04"/>
    <n v="5670695.4100000001"/>
    <n v="5662938.04"/>
    <n v="10260"/>
    <s v="AMOMPY"/>
    <s v="Momentum Capital Investment S.A."/>
    <s v="04/08/2026"/>
    <s v="04/08/2026"/>
    <n v="25"/>
    <s v="No"/>
    <s v=""/>
    <m/>
    <m/>
    <s v="*FED250800037"/>
    <s v="*FED250800037"/>
    <n v="9.2680062683947456E-5"/>
  </r>
  <r>
    <x v="49"/>
    <s v="Pesos"/>
    <d v="2026-08-27T00:00:00"/>
    <s v="25/08/2026"/>
    <n v="0.99819506999999996"/>
    <m/>
    <n v="5000000"/>
    <n v="4990975.3499999996"/>
    <n v="5000000"/>
    <n v="4990975.3499999996"/>
    <n v="3817582"/>
    <s v="AMOMPY"/>
    <s v="Momentum Capital Investment S.A."/>
    <s v="11/08/2026"/>
    <s v="11/08/2026"/>
    <n v="33"/>
    <s v="No"/>
    <s v=""/>
    <m/>
    <m/>
    <s v="*MAV250801978"/>
    <s v="*MAV250801978"/>
    <n v="8.1682671614050813E-5"/>
  </r>
  <r>
    <x v="10"/>
    <s v="Pesos"/>
    <d v="2026-08-27T00:00:00"/>
    <s v="25/08/2026"/>
    <n v="0.99841347999999996"/>
    <m/>
    <n v="10000000"/>
    <n v="9984134.8300000001"/>
    <n v="10000000"/>
    <n v="9984134.8300000001"/>
    <n v="2155"/>
    <s v="AMOMPY"/>
    <s v="Momentum Capital Investment S.A."/>
    <s v="27/04/2026"/>
    <s v="27/04/2026"/>
    <n v="29"/>
    <s v="No"/>
    <s v=""/>
    <m/>
    <m/>
    <s v="*MIL250800027"/>
    <s v="*MIL250800027"/>
    <n v="1.6340108886117762E-4"/>
  </r>
  <r>
    <x v="10"/>
    <s v="Pesos"/>
    <d v="2026-08-27T00:00:00"/>
    <s v="25/08/2026"/>
    <n v="0.99841347999999996"/>
    <m/>
    <n v="10000000"/>
    <n v="9984134.8100000005"/>
    <n v="10000000"/>
    <n v="9984134.8100000005"/>
    <n v="66412433"/>
    <s v="AMOMPY"/>
    <s v="Momentum Capital Investment S.A."/>
    <s v="22/04/2026"/>
    <s v="22/04/2026"/>
    <n v="29"/>
    <s v="No"/>
    <s v=""/>
    <m/>
    <m/>
    <s v="*MIL250800026"/>
    <s v="*MIL250800026"/>
    <n v="1.6340108853385617E-4"/>
  </r>
  <r>
    <x v="35"/>
    <s v="Pesos"/>
    <d v="2026-08-27T00:00:00"/>
    <s v="25/08/2026"/>
    <n v="0.99846811000000002"/>
    <m/>
    <n v="5000000"/>
    <n v="4992340.53"/>
    <n v="5000000"/>
    <n v="4992340.53"/>
    <n v="29175496"/>
    <s v="AMOMPY"/>
    <s v="Momentum Capital Investment S.A."/>
    <s v="04/05/2026"/>
    <s v="04/05/2026"/>
    <n v="28"/>
    <s v="No"/>
    <s v=""/>
    <m/>
    <m/>
    <s v="*CUY250800056"/>
    <s v="*CUY250800056"/>
    <n v="8.1705014250873123E-5"/>
  </r>
  <r>
    <x v="13"/>
    <s v="Pesos"/>
    <d v="2026-08-27T00:00:00"/>
    <s v="25/08/2026"/>
    <n v="0.99863199999999996"/>
    <m/>
    <n v="456527.78"/>
    <n v="455903.25"/>
    <n v="456527.78"/>
    <n v="455903.25"/>
    <n v="11341119"/>
    <s v="AMOMPY"/>
    <s v="Momentum Capital Investment S.A."/>
    <s v="30/06/2026"/>
    <s v="30/06/2026"/>
    <n v="25"/>
    <s v="No"/>
    <s v=""/>
    <m/>
    <m/>
    <s v="*MOV250800088"/>
    <s v="*MOV250800088"/>
    <n v="7.4613462992816651E-6"/>
  </r>
  <r>
    <x v="50"/>
    <s v="Pesos"/>
    <d v="2026-08-27T00:00:00"/>
    <s v="25/08/2026"/>
    <n v="0.99863201999999995"/>
    <m/>
    <n v="50000000"/>
    <n v="49931600.840000004"/>
    <n v="50000000"/>
    <n v="49931600.840000004"/>
    <n v="4901"/>
    <s v="AMOMPY"/>
    <s v="Momentum Capital Investment S.A."/>
    <s v="25/06/2026"/>
    <s v="25/06/2026"/>
    <n v="25"/>
    <s v="No"/>
    <s v=""/>
    <m/>
    <m/>
    <s v="*BIF250800007"/>
    <s v="*BIF250800007"/>
    <n v="8.1718427132235476E-4"/>
  </r>
  <r>
    <x v="10"/>
    <s v="Pesos"/>
    <d v="2026-08-27T00:00:00"/>
    <s v="25/08/2026"/>
    <n v="0.99857737000000002"/>
    <m/>
    <n v="10000000"/>
    <n v="9985773.6899999995"/>
    <n v="10000000"/>
    <n v="9985773.6899999995"/>
    <n v="68035340"/>
    <s v="AMOMPY"/>
    <s v="Momentum Capital Investment S.A."/>
    <s v="07/07/2026"/>
    <s v="07/07/2026"/>
    <n v="26"/>
    <s v="No"/>
    <s v=""/>
    <m/>
    <m/>
    <s v="*MIL250800035"/>
    <s v="*MIL250800035"/>
    <n v="1.6342791056511599E-4"/>
  </r>
  <r>
    <x v="34"/>
    <s v="Pesos"/>
    <d v="2026-08-27T00:00:00"/>
    <s v="25/08/2026"/>
    <n v="0.99835885999999996"/>
    <m/>
    <n v="5000000"/>
    <n v="4991794.3099999996"/>
    <n v="5000000"/>
    <n v="4991794.3099999996"/>
    <n v="681"/>
    <s v="AMOMPY"/>
    <s v="Momentum Capital Investment S.A."/>
    <s v="26/06/2026"/>
    <s v="26/06/2026"/>
    <n v="30"/>
    <s v="No"/>
    <s v=""/>
    <m/>
    <m/>
    <s v="*MAV250801577"/>
    <s v="*MAV250801577"/>
    <n v="8.1696074773965243E-5"/>
  </r>
  <r>
    <x v="34"/>
    <s v="Pesos"/>
    <d v="2026-08-27T00:00:00"/>
    <s v="25/08/2026"/>
    <n v="0.99835887999999995"/>
    <m/>
    <n v="3300000"/>
    <n v="3294584.32"/>
    <n v="3300000"/>
    <n v="3294584.32"/>
    <n v="915"/>
    <s v="AMOMPY"/>
    <s v="Momentum Capital Investment S.A."/>
    <s v="11/08/2026"/>
    <s v="11/08/2026"/>
    <n v="30"/>
    <s v="No"/>
    <s v=""/>
    <m/>
    <m/>
    <s v="*MAV250801976"/>
    <s v="*MAV250801976"/>
    <n v="5.3919410584819036E-5"/>
  </r>
  <r>
    <x v="34"/>
    <s v="Pesos"/>
    <d v="2026-08-27T00:00:00"/>
    <s v="25/08/2026"/>
    <n v="0.99835885999999996"/>
    <m/>
    <n v="8750000"/>
    <n v="8735640.0500000007"/>
    <n v="8750000"/>
    <n v="8735640.0500000007"/>
    <n v="634"/>
    <s v="AMOMPY"/>
    <s v="Momentum Capital Investment S.A."/>
    <s v="12/06/2026"/>
    <s v="12/06/2026"/>
    <n v="30"/>
    <s v="No"/>
    <s v=""/>
    <m/>
    <m/>
    <s v="*MAV250801495"/>
    <s v="*MAV250801495"/>
    <n v="1.4296813097718476E-4"/>
  </r>
  <r>
    <x v="34"/>
    <s v="Pesos"/>
    <d v="2026-08-27T00:00:00"/>
    <s v="25/08/2026"/>
    <n v="0.99835885999999996"/>
    <m/>
    <n v="10000000"/>
    <n v="9983588.6400000006"/>
    <n v="10000000"/>
    <n v="9983588.6400000006"/>
    <n v="636"/>
    <s v="AMOMPY"/>
    <s v="Momentum Capital Investment S.A."/>
    <s v="16/06/2026"/>
    <s v="16/06/2026"/>
    <n v="30"/>
    <s v="No"/>
    <s v=""/>
    <m/>
    <m/>
    <s v="*MAV250801499"/>
    <s v="*MAV250801499"/>
    <n v="1.6339214987525199E-4"/>
  </r>
  <r>
    <x v="34"/>
    <s v="Pesos"/>
    <d v="2026-08-27T00:00:00"/>
    <s v="25/08/2026"/>
    <n v="0.99835885999999996"/>
    <m/>
    <n v="5000000"/>
    <n v="4991794.32"/>
    <n v="5000000"/>
    <n v="4991794.32"/>
    <n v="641"/>
    <s v="AMOMPY"/>
    <s v="Momentum Capital Investment S.A."/>
    <s v="16/06/2026"/>
    <s v="16/06/2026"/>
    <n v="30"/>
    <s v="No"/>
    <s v=""/>
    <m/>
    <m/>
    <s v="*MAV250801500"/>
    <s v="*MAV250801500"/>
    <n v="8.1696074937625995E-5"/>
  </r>
  <r>
    <x v="17"/>
    <s v="Pesos"/>
    <d v="2026-08-27T00:00:00"/>
    <s v="25/08/2026"/>
    <n v="0.99808587000000004"/>
    <m/>
    <n v="15000000"/>
    <n v="14971287.99"/>
    <n v="15000000"/>
    <n v="14971287.99"/>
    <n v="4268"/>
    <s v="AMOMPY"/>
    <s v="Momentum Capital Investment S.A."/>
    <s v="09/06/2026"/>
    <s v="09/06/2026"/>
    <n v="35"/>
    <s v="No"/>
    <s v=""/>
    <m/>
    <m/>
    <s v="*MAV250801479"/>
    <s v="*MAV250801479"/>
    <n v="2.4502120623107323E-4"/>
  </r>
  <r>
    <x v="18"/>
    <s v="Pesos"/>
    <d v="2026-08-27T00:00:00"/>
    <s v="25/08/2026"/>
    <n v="0.99819504999999997"/>
    <m/>
    <n v="2200000"/>
    <n v="2196029.11"/>
    <n v="2200000"/>
    <n v="2196029.11"/>
    <n v="6196"/>
    <s v="AMOMPY"/>
    <s v="Momentum Capital Investment S.A."/>
    <s v="03/06/2026"/>
    <s v="03/06/2026"/>
    <n v="33"/>
    <s v="No"/>
    <s v=""/>
    <m/>
    <m/>
    <s v="*MAV250801460"/>
    <s v="*MAV250801460"/>
    <n v="3.5940374790075106E-5"/>
  </r>
  <r>
    <x v="51"/>
    <s v="Pesos"/>
    <d v="2026-08-27T00:00:00"/>
    <s v="25/08/2026"/>
    <n v="0.99819506000000002"/>
    <m/>
    <n v="5000000"/>
    <n v="4990975.28"/>
    <n v="5000000"/>
    <n v="4990975.28"/>
    <n v="832"/>
    <s v="AMOMPY"/>
    <s v="Momentum Capital Investment S.A."/>
    <s v="27/07/2026"/>
    <s v="27/07/2026"/>
    <n v="33"/>
    <s v="No"/>
    <s v=""/>
    <m/>
    <m/>
    <s v="*MAV250801772"/>
    <s v="*MAV250801772"/>
    <n v="8.1682670468425647E-5"/>
  </r>
  <r>
    <x v="51"/>
    <s v="Pesos"/>
    <d v="2026-08-27T00:00:00"/>
    <s v="25/08/2026"/>
    <n v="0.99819506000000002"/>
    <m/>
    <n v="4000000"/>
    <n v="3992780.22"/>
    <n v="4000000"/>
    <n v="3992780.22"/>
    <n v="751"/>
    <s v="AMOMPY"/>
    <s v="Momentum Capital Investment S.A."/>
    <s v="27/07/2026"/>
    <s v="27/07/2026"/>
    <n v="33"/>
    <s v="No"/>
    <s v=""/>
    <m/>
    <m/>
    <s v="*MAV250801773"/>
    <s v="*MAV250801773"/>
    <n v="6.5346136309276225E-5"/>
  </r>
  <r>
    <x v="51"/>
    <s v="Pesos"/>
    <d v="2026-08-27T00:00:00"/>
    <s v="25/08/2026"/>
    <n v="0.99819504999999997"/>
    <m/>
    <n v="7500000"/>
    <n v="7486462.9100000001"/>
    <n v="7500000"/>
    <n v="7486462.9100000001"/>
    <n v="887"/>
    <s v="AMOMPY"/>
    <s v="Momentum Capital Investment S.A."/>
    <s v="27/07/2026"/>
    <s v="27/07/2026"/>
    <n v="33"/>
    <s v="No"/>
    <s v=""/>
    <m/>
    <m/>
    <s v="*MAV250801774"/>
    <s v="*MAV250801774"/>
    <n v="1.2252400553897772E-4"/>
  </r>
  <r>
    <x v="52"/>
    <s v="Pesos"/>
    <d v="2026-08-27T00:00:00"/>
    <s v="25/08/2026"/>
    <n v="0.99819504999999997"/>
    <m/>
    <n v="12500000"/>
    <n v="12477438.07"/>
    <n v="12500000"/>
    <n v="12477438.07"/>
    <n v="1355"/>
    <s v="AMOMPY"/>
    <s v="Momentum Capital Investment S.A."/>
    <s v="21/05/2026"/>
    <s v="21/05/2026"/>
    <n v="33"/>
    <s v="No"/>
    <s v=""/>
    <m/>
    <m/>
    <s v="*MAV250801412"/>
    <s v="*MAV250801412"/>
    <n v="2.0420667404347451E-4"/>
  </r>
  <r>
    <x v="53"/>
    <s v="Pesos"/>
    <d v="2026-08-27T00:00:00"/>
    <s v="25/08/2026"/>
    <n v="0.99814051999999998"/>
    <m/>
    <n v="5986158.2300000004"/>
    <n v="5975027.0800000001"/>
    <n v="5986158.2300000004"/>
    <n v="5975027.0800000001"/>
    <n v="2580"/>
    <s v="AMOMPY"/>
    <s v="Momentum Capital Investment S.A."/>
    <s v="19/08/2026"/>
    <s v="19/08/2026"/>
    <n v="34"/>
    <s v="No"/>
    <s v=""/>
    <m/>
    <m/>
    <s v="*MAV250802024"/>
    <s v="*MAV250802024"/>
    <n v="9.7787734988653263E-5"/>
  </r>
  <r>
    <x v="54"/>
    <s v="Pesos"/>
    <d v="2026-08-27T00:00:00"/>
    <s v="25/08/2026"/>
    <n v="0.99835885999999996"/>
    <m/>
    <n v="1770042.53"/>
    <n v="1767137.65"/>
    <n v="1770042.53"/>
    <n v="1767137.65"/>
    <n v="250"/>
    <s v="AMOMPY"/>
    <s v="Momentum Capital Investment S.A."/>
    <s v="16/06/2026"/>
    <s v="16/06/2026"/>
    <n v="30"/>
    <s v="No"/>
    <s v=""/>
    <m/>
    <m/>
    <s v="*MAV250801497"/>
    <s v="*MAV250801497"/>
    <n v="2.8921105443202692E-5"/>
  </r>
  <r>
    <x v="42"/>
    <s v="Pesos"/>
    <d v="2026-08-27T00:00:00"/>
    <s v="25/08/2026"/>
    <n v="0.99819506000000002"/>
    <m/>
    <n v="10000000"/>
    <n v="9981950.5600000005"/>
    <n v="10000000"/>
    <n v="9981950.5600000005"/>
    <n v="5743951"/>
    <s v="AMOMPY"/>
    <s v="Momentum Capital Investment S.A."/>
    <s v="03/07/2026"/>
    <s v="03/07/2026"/>
    <n v="33"/>
    <s v="No"/>
    <s v=""/>
    <m/>
    <m/>
    <s v="*MAV250801622"/>
    <s v="*MAV250801622"/>
    <n v="1.6336534093685129E-4"/>
  </r>
  <r>
    <x v="46"/>
    <s v="Pesos"/>
    <d v="2026-08-27T00:00:00"/>
    <s v="25/08/2026"/>
    <n v="0.99835885999999996"/>
    <m/>
    <n v="969231.48"/>
    <n v="967640.84"/>
    <n v="969231.48"/>
    <n v="967640.84"/>
    <n v="1402"/>
    <s v="AMOMPY"/>
    <s v="Momentum Capital Investment S.A."/>
    <s v="15/07/2026"/>
    <s v="15/07/2026"/>
    <n v="30"/>
    <s v="No"/>
    <s v=""/>
    <m/>
    <m/>
    <s v="*MAV250801690"/>
    <s v="*MAV250801690"/>
    <n v="1.5836481535430601E-5"/>
  </r>
  <r>
    <x v="55"/>
    <s v="Pesos"/>
    <d v="2026-08-27T00:00:00"/>
    <s v="25/08/2026"/>
    <n v="0.99819504999999997"/>
    <m/>
    <n v="6690591.5999999996"/>
    <n v="6678515.4299999997"/>
    <n v="6690591.5999999996"/>
    <n v="6678515.4299999997"/>
    <n v="80217409"/>
    <s v="AMOMPY"/>
    <s v="Momentum Capital Investment S.A."/>
    <s v="16/07/2026"/>
    <s v="16/07/2026"/>
    <n v="33"/>
    <s v="No"/>
    <s v=""/>
    <m/>
    <m/>
    <s v="*MAV250801700"/>
    <s v="*MAV250801700"/>
    <n v="1.0930107734113762E-4"/>
  </r>
  <r>
    <x v="56"/>
    <s v="Pesos"/>
    <d v="2026-08-27T00:00:00"/>
    <s v="25/08/2026"/>
    <n v="0.99835887000000001"/>
    <m/>
    <n v="2870567.11"/>
    <n v="2865856.15"/>
    <n v="2870567.11"/>
    <n v="2865856.15"/>
    <n v="98"/>
    <s v="AMOMPY"/>
    <s v="Momentum Capital Investment S.A."/>
    <s v="20/07/2026"/>
    <s v="20/07/2026"/>
    <n v="30"/>
    <s v="No"/>
    <s v=""/>
    <m/>
    <m/>
    <s v="*MAV250801717"/>
    <s v="*MAV250801717"/>
    <n v="4.6902813654160397E-5"/>
  </r>
  <r>
    <x v="27"/>
    <s v="Pesos"/>
    <d v="2026-08-28T00:00:00"/>
    <s v="25/08/2026"/>
    <n v="0.99762211000000001"/>
    <m/>
    <n v="200000000"/>
    <n v="199524421.74000001"/>
    <n v="200000000"/>
    <n v="199524421.74000001"/>
    <n v="90003858"/>
    <s v="AMOMPY"/>
    <s v="Momentum Capital Investment S.A."/>
    <s v="24/06/2026"/>
    <s v="24/06/2026"/>
    <n v="29"/>
    <s v="No"/>
    <s v=""/>
    <m/>
    <m/>
    <s v="*MAV260801308"/>
    <s v="*MAV260801308"/>
    <n v="3.2654314391618471E-3"/>
  </r>
  <r>
    <x v="29"/>
    <s v="Pesos"/>
    <d v="2026-08-28T00:00:00"/>
    <s v="25/08/2026"/>
    <n v="0.99737677000000002"/>
    <m/>
    <n v="15000000"/>
    <n v="14960651.5"/>
    <n v="15000000"/>
    <n v="14960651.5"/>
    <n v="178"/>
    <s v="AMOMPY"/>
    <s v="Momentum Capital Investment S.A."/>
    <s v="17/04/2026"/>
    <s v="17/04/2026"/>
    <n v="32"/>
    <s v="No"/>
    <s v=""/>
    <m/>
    <m/>
    <s v="*NEU260800027"/>
    <s v="*NEU260800027"/>
    <n v="2.4484712864926428E-4"/>
  </r>
  <r>
    <x v="8"/>
    <s v="Pesos"/>
    <d v="2026-08-28T00:00:00"/>
    <s v="25/08/2026"/>
    <n v="0.99803129000000002"/>
    <m/>
    <n v="10000000"/>
    <n v="9980312.8900000006"/>
    <n v="10000000"/>
    <n v="9980312.8900000006"/>
    <n v="4536"/>
    <s v="AMOMPY"/>
    <s v="Momentum Capital Investment S.A."/>
    <s v="17/07/2026"/>
    <s v="17/07/2026"/>
    <n v="24"/>
    <s v="No"/>
    <s v=""/>
    <m/>
    <m/>
    <s v="*INP260800074"/>
    <s v="*INP260800074"/>
    <n v="1.6333853870854092E-4"/>
  </r>
  <r>
    <x v="8"/>
    <s v="Pesos"/>
    <d v="2026-08-28T00:00:00"/>
    <s v="25/08/2026"/>
    <n v="0.99762211000000001"/>
    <m/>
    <n v="40000000"/>
    <n v="39904884.280000001"/>
    <n v="40000000"/>
    <n v="39904884.280000001"/>
    <n v="80939845"/>
    <s v="AMOMPY"/>
    <s v="Momentum Capital Investment S.A."/>
    <s v="30/04/2026"/>
    <s v="30/04/2026"/>
    <n v="29"/>
    <s v="No"/>
    <s v=""/>
    <m/>
    <m/>
    <s v="*INP260800068"/>
    <s v="*INP260800068"/>
    <n v="6.5308628671947638E-4"/>
  </r>
  <r>
    <x v="57"/>
    <s v="Pesos"/>
    <d v="2026-08-28T00:00:00"/>
    <s v="25/08/2026"/>
    <n v="0.99737677000000002"/>
    <m/>
    <n v="65000000"/>
    <n v="64829490.280000001"/>
    <n v="65000000"/>
    <n v="64829490.280000001"/>
    <n v="335"/>
    <s v="AMOMPY"/>
    <s v="Momentum Capital Investment S.A."/>
    <s v="26/06/2026"/>
    <s v="26/06/2026"/>
    <n v="32"/>
    <s v="No"/>
    <s v=""/>
    <m/>
    <m/>
    <s v="*MAV260801320"/>
    <s v="*MAV260801320"/>
    <n v="1.0610042314569915E-3"/>
  </r>
  <r>
    <x v="10"/>
    <s v="Pesos"/>
    <d v="2026-08-28T00:00:00"/>
    <s v="25/08/2026"/>
    <n v="0.99762211000000001"/>
    <m/>
    <n v="10000000"/>
    <n v="9976221.0800000001"/>
    <n v="10000000"/>
    <n v="9976221.0800000001"/>
    <n v="2156"/>
    <s v="AMOMPY"/>
    <s v="Momentum Capital Investment S.A."/>
    <s v="27/04/2026"/>
    <s v="27/04/2026"/>
    <n v="29"/>
    <s v="No"/>
    <s v=""/>
    <m/>
    <m/>
    <s v="*MIL260800030"/>
    <s v="*MIL260800030"/>
    <n v="1.6327157184352982E-4"/>
  </r>
  <r>
    <x v="10"/>
    <s v="Pesos"/>
    <d v="2026-08-28T00:00:00"/>
    <s v="25/08/2026"/>
    <n v="0.99762211000000001"/>
    <m/>
    <n v="10000000"/>
    <n v="9976221.1300000008"/>
    <n v="10000000"/>
    <n v="9976221.1300000008"/>
    <n v="66412455"/>
    <s v="AMOMPY"/>
    <s v="Momentum Capital Investment S.A."/>
    <s v="22/04/2026"/>
    <s v="22/04/2026"/>
    <n v="29"/>
    <s v="No"/>
    <s v=""/>
    <m/>
    <m/>
    <s v="*MIL260800029"/>
    <s v="*MIL260800029"/>
    <n v="1.6327157266183352E-4"/>
  </r>
  <r>
    <x v="13"/>
    <s v="Pesos"/>
    <d v="2026-08-28T00:00:00"/>
    <s v="25/08/2026"/>
    <n v="0.99770391999999997"/>
    <m/>
    <n v="10000000"/>
    <n v="9977039.1899999995"/>
    <n v="10000000"/>
    <n v="9977039.1899999995"/>
    <n v="360559"/>
    <s v="AMOMPY"/>
    <s v="Momentum Capital Investment S.A."/>
    <s v="21/04/2026"/>
    <s v="21/04/2026"/>
    <n v="28"/>
    <s v="No"/>
    <s v=""/>
    <m/>
    <m/>
    <s v="*MOV260800071"/>
    <s v="*MOV260800071"/>
    <n v="1.6328496109228139E-4"/>
  </r>
  <r>
    <x v="34"/>
    <s v="Pesos"/>
    <d v="2026-08-28T00:00:00"/>
    <s v="25/08/2026"/>
    <n v="0.99754032999999998"/>
    <m/>
    <n v="3300000"/>
    <n v="3291883.09"/>
    <n v="3300000"/>
    <n v="3291883.09"/>
    <n v="916"/>
    <s v="AMOMPY"/>
    <s v="Momentum Capital Investment S.A."/>
    <s v="11/08/2026"/>
    <s v="11/08/2026"/>
    <n v="30"/>
    <s v="No"/>
    <s v=""/>
    <m/>
    <m/>
    <s v="*MAV260801598"/>
    <s v="*MAV260801598"/>
    <n v="5.3875202054908343E-5"/>
  </r>
  <r>
    <x v="58"/>
    <s v="Dolar Link"/>
    <d v="2026-08-28T00:00:00"/>
    <s v="25/08/2026"/>
    <n v="0.99835903999999998"/>
    <s v="1 BNA = 1529,9999326800 $"/>
    <n v="51518.54"/>
    <n v="51434"/>
    <n v="78823362.730000004"/>
    <n v="78694016.540000007"/>
    <n v="67"/>
    <s v="AMOMPY"/>
    <s v="Momentum Capital Investment S.A."/>
    <s v="12/08/2026"/>
    <s v="12/08/2026"/>
    <n v="20"/>
    <s v="No"/>
    <s v=""/>
    <m/>
    <m/>
    <s v="%UZV270800001"/>
    <s v="%UZV270800001"/>
    <n v="1.2879120933802055E-3"/>
  </r>
  <r>
    <x v="34"/>
    <s v="Pesos"/>
    <d v="2026-08-28T00:00:00"/>
    <s v="25/08/2026"/>
    <n v="0.99754032000000004"/>
    <m/>
    <n v="10000000"/>
    <n v="9975403.2200000007"/>
    <n v="10000000"/>
    <n v="9975403.2200000007"/>
    <n v="610"/>
    <s v="AMOMPY"/>
    <s v="Momentum Capital Investment S.A."/>
    <s v="05/06/2026"/>
    <s v="05/06/2026"/>
    <n v="30"/>
    <s v="No"/>
    <s v=""/>
    <m/>
    <m/>
    <s v="*MAV260801238"/>
    <s v="*MAV260801238"/>
    <n v="1.6325818668629674E-4"/>
  </r>
  <r>
    <x v="34"/>
    <s v="Pesos"/>
    <d v="2026-08-28T00:00:00"/>
    <s v="25/08/2026"/>
    <n v="0.99754030999999999"/>
    <m/>
    <n v="10000000"/>
    <n v="9975403.1400000006"/>
    <n v="10000000"/>
    <n v="9975403.1400000006"/>
    <n v="577"/>
    <s v="AMOMPY"/>
    <s v="Momentum Capital Investment S.A."/>
    <s v="02/06/2026"/>
    <s v="02/06/2026"/>
    <n v="30"/>
    <s v="No"/>
    <s v=""/>
    <m/>
    <m/>
    <s v="*MAV260801222"/>
    <s v="*MAV260801222"/>
    <n v="1.6325818537701081E-4"/>
  </r>
  <r>
    <x v="34"/>
    <s v="Pesos"/>
    <d v="2026-08-28T00:00:00"/>
    <s v="25/08/2026"/>
    <n v="0.99754032000000004"/>
    <m/>
    <n v="10000000"/>
    <n v="9975403.2100000009"/>
    <n v="10000000"/>
    <n v="9975403.2100000009"/>
    <n v="700"/>
    <s v="AMOMPY"/>
    <s v="Momentum Capital Investment S.A."/>
    <s v="29/06/2026"/>
    <s v="29/06/2026"/>
    <n v="30"/>
    <s v="No"/>
    <s v=""/>
    <m/>
    <m/>
    <s v="*MAV260801328"/>
    <s v="*MAV260801328"/>
    <n v="1.6325818652263599E-4"/>
  </r>
  <r>
    <x v="18"/>
    <s v="Pesos"/>
    <d v="2026-08-28T00:00:00"/>
    <s v="25/08/2026"/>
    <n v="0.99729500999999998"/>
    <m/>
    <n v="2200000"/>
    <n v="2194049.0299999998"/>
    <n v="2200000"/>
    <n v="2194049.0299999998"/>
    <n v="6197"/>
    <s v="AMOMPY"/>
    <s v="Momentum Capital Investment S.A."/>
    <s v="03/06/2026"/>
    <s v="03/06/2026"/>
    <n v="33"/>
    <s v="No"/>
    <s v=""/>
    <m/>
    <m/>
    <s v="*MAV260801235"/>
    <s v="*MAV260801235"/>
    <n v="3.5907968654386703E-5"/>
  </r>
  <r>
    <x v="51"/>
    <s v="Pesos"/>
    <d v="2026-08-28T00:00:00"/>
    <s v="25/08/2026"/>
    <n v="0.99729500999999998"/>
    <m/>
    <n v="7500000"/>
    <n v="7479712.6100000003"/>
    <n v="7500000"/>
    <n v="7479712.6100000003"/>
    <n v="888"/>
    <s v="AMOMPY"/>
    <s v="Momentum Capital Investment S.A."/>
    <s v="27/07/2026"/>
    <s v="27/07/2026"/>
    <n v="33"/>
    <s v="No"/>
    <s v=""/>
    <m/>
    <m/>
    <s v="*MAV260801490"/>
    <s v="*MAV260801490"/>
    <n v="1.2241352963005618E-4"/>
  </r>
  <r>
    <x v="51"/>
    <s v="Pesos"/>
    <d v="2026-08-28T00:00:00"/>
    <s v="25/08/2026"/>
    <n v="0.99729500999999998"/>
    <m/>
    <n v="5350000"/>
    <n v="5335528.33"/>
    <n v="5350000"/>
    <n v="5335528.33"/>
    <n v="796"/>
    <s v="AMOMPY"/>
    <s v="Momentum Capital Investment S.A."/>
    <s v="27/07/2026"/>
    <s v="27/07/2026"/>
    <n v="33"/>
    <s v="No"/>
    <s v=""/>
    <m/>
    <m/>
    <s v="*MAV260801491"/>
    <s v="*MAV260801491"/>
    <n v="8.7321651161201389E-5"/>
  </r>
  <r>
    <x v="52"/>
    <s v="Pesos"/>
    <d v="2026-08-28T00:00:00"/>
    <s v="25/08/2026"/>
    <n v="0.99713154999999998"/>
    <m/>
    <n v="16600000"/>
    <n v="16552383.65"/>
    <n v="16600000"/>
    <n v="16552383.65"/>
    <n v="29088025"/>
    <s v="AMOMPY"/>
    <s v="Momentum Capital Investment S.A."/>
    <s v="14/04/2026"/>
    <s v="14/04/2026"/>
    <n v="35"/>
    <s v="No"/>
    <s v=""/>
    <m/>
    <m/>
    <s v="*MAV260801138"/>
    <s v="*MAV260801138"/>
    <n v="2.7089753470987065E-4"/>
  </r>
  <r>
    <x v="42"/>
    <s v="Pesos"/>
    <d v="2026-08-28T00:00:00"/>
    <s v="25/08/2026"/>
    <n v="0.99729502000000003"/>
    <m/>
    <n v="9000000"/>
    <n v="8975655.1799999997"/>
    <n v="9000000"/>
    <n v="8975655.1799999997"/>
    <n v="5743952"/>
    <s v="AMOMPY"/>
    <s v="Momentum Capital Investment S.A."/>
    <s v="03/07/2026"/>
    <s v="03/07/2026"/>
    <n v="33"/>
    <s v="No"/>
    <s v=""/>
    <m/>
    <m/>
    <s v="*MAV260801362"/>
    <s v="*MAV260801362"/>
    <n v="1.4689623634163895E-4"/>
  </r>
  <r>
    <x v="59"/>
    <s v="Pesos"/>
    <d v="2026-08-28T00:00:00"/>
    <s v="25/08/2026"/>
    <n v="0.99754032000000004"/>
    <m/>
    <n v="5628483"/>
    <n v="5614638.7300000004"/>
    <n v="5628483"/>
    <n v="5614638.7300000004"/>
    <n v="68199745"/>
    <s v="AMOMPY"/>
    <s v="Momentum Capital Investment S.A."/>
    <s v="13/07/2026"/>
    <s v="13/07/2026"/>
    <n v="30"/>
    <s v="No"/>
    <s v=""/>
    <m/>
    <m/>
    <s v="*MAV260801395"/>
    <s v="*MAV260801395"/>
    <n v="9.1889592605205183E-5"/>
  </r>
  <r>
    <x v="60"/>
    <s v="Pesos"/>
    <d v="2026-08-31T00:00:00"/>
    <s v="25/08/2026"/>
    <n v="0.99509270000000005"/>
    <m/>
    <n v="1606134"/>
    <n v="1598252.22"/>
    <n v="1606134"/>
    <n v="1598252.22"/>
    <n v="67237112"/>
    <s v="AMOMPY"/>
    <s v="Momentum Capital Investment S.A."/>
    <s v="16/06/2026"/>
    <s v="16/06/2026"/>
    <n v="30"/>
    <s v="No"/>
    <s v=""/>
    <m/>
    <m/>
    <s v="*MAV270801078"/>
    <s v="*MAV270801078"/>
    <n v="2.6157114008324585E-5"/>
  </r>
  <r>
    <x v="61"/>
    <s v="Pesos"/>
    <d v="2026-08-31T00:00:00"/>
    <s v="25/08/2026"/>
    <n v="0.99460462000000005"/>
    <m/>
    <n v="10000000"/>
    <n v="9946046.2400000002"/>
    <n v="10000000"/>
    <n v="9946046.2400000002"/>
    <n v="3222"/>
    <s v="AMOMPY"/>
    <s v="Momentum Capital Investment S.A."/>
    <s v="03/06/2026"/>
    <s v="03/06/2026"/>
    <n v="33"/>
    <s v="No"/>
    <s v=""/>
    <m/>
    <m/>
    <s v="*MAV270801044"/>
    <s v="*MAV270801044"/>
    <n v="1.6277772818094262E-4"/>
  </r>
  <r>
    <x v="8"/>
    <s v="Pesos"/>
    <d v="2026-08-31T00:00:00"/>
    <s v="25/08/2026"/>
    <n v="0.99607031999999995"/>
    <m/>
    <n v="10000000"/>
    <n v="9960703.1899999995"/>
    <n v="10000000"/>
    <n v="9960703.1899999995"/>
    <n v="4537"/>
    <s v="AMOMPY"/>
    <s v="Momentum Capital Investment S.A."/>
    <s v="17/07/2026"/>
    <s v="17/07/2026"/>
    <n v="24"/>
    <s v="No"/>
    <s v=""/>
    <m/>
    <m/>
    <s v="*INP270800045"/>
    <s v="*INP270800045"/>
    <n v="1.6301760490838697E-4"/>
  </r>
  <r>
    <x v="62"/>
    <s v="Pesos"/>
    <d v="2026-08-31T00:00:00"/>
    <s v="25/08/2026"/>
    <n v="0.99541835000000001"/>
    <m/>
    <n v="35000000"/>
    <n v="34839642.340000004"/>
    <n v="35000000"/>
    <n v="34839642.340000004"/>
    <n v="3329632"/>
    <s v="AMOMPY"/>
    <s v="Momentum Capital Investment S.A."/>
    <s v="30/04/2026"/>
    <s v="30/04/2026"/>
    <n v="28"/>
    <s v="No"/>
    <s v=""/>
    <m/>
    <m/>
    <s v="*FID270800026"/>
    <s v="*FID270800026"/>
    <n v="5.7018816260216579E-4"/>
  </r>
  <r>
    <x v="48"/>
    <s v="Pesos"/>
    <d v="2026-08-31T00:00:00"/>
    <s v="25/08/2026"/>
    <n v="0.99590725999999996"/>
    <m/>
    <n v="629302.72"/>
    <n v="626727.15"/>
    <n v="629302.72"/>
    <n v="626727.15"/>
    <n v="608"/>
    <s v="AMOMPY"/>
    <s v="Momentum Capital Investment S.A."/>
    <s v="04/08/2026"/>
    <s v="04/08/2026"/>
    <n v="25"/>
    <s v="No"/>
    <s v=""/>
    <m/>
    <m/>
    <s v="*FED270800032"/>
    <s v="*FED270800032"/>
    <n v="1.0257062877511502E-5"/>
  </r>
  <r>
    <x v="33"/>
    <s v="Pesos"/>
    <d v="2026-08-31T00:00:00"/>
    <s v="25/08/2026"/>
    <n v="0.99509270999999999"/>
    <m/>
    <n v="2700000"/>
    <n v="2686750.31"/>
    <n v="2700000"/>
    <n v="2686750.31"/>
    <n v="6274"/>
    <s v="AMOMPY"/>
    <s v="Momentum Capital Investment S.A."/>
    <s v="17/06/2026"/>
    <s v="17/06/2026"/>
    <n v="30"/>
    <s v="No"/>
    <s v=""/>
    <m/>
    <m/>
    <s v="*MAV270801084"/>
    <s v="*MAV270801084"/>
    <n v="4.3971554233518552E-5"/>
  </r>
  <r>
    <x v="34"/>
    <s v="Pesos"/>
    <d v="2026-08-31T00:00:00"/>
    <s v="25/08/2026"/>
    <n v="0.99509270000000005"/>
    <m/>
    <n v="7500000"/>
    <n v="7463195.2300000004"/>
    <n v="7500000"/>
    <n v="7463195.2300000004"/>
    <n v="511"/>
    <s v="AMOMPY"/>
    <s v="Momentum Capital Investment S.A."/>
    <s v="18/05/2026"/>
    <s v="18/05/2026"/>
    <n v="30"/>
    <s v="No"/>
    <s v=""/>
    <m/>
    <m/>
    <s v="*MAV270800997"/>
    <s v="*MAV270800997"/>
    <n v="1.221432049676704E-4"/>
  </r>
  <r>
    <x v="49"/>
    <s v="Pesos"/>
    <d v="2026-08-31T00:00:00"/>
    <s v="25/08/2026"/>
    <n v="0.99509270000000005"/>
    <m/>
    <n v="5000000"/>
    <n v="4975463.51"/>
    <n v="5000000"/>
    <n v="4975463.51"/>
    <n v="3495447"/>
    <s v="AMOMPY"/>
    <s v="Momentum Capital Investment S.A."/>
    <s v="17/04/2026"/>
    <s v="17/04/2026"/>
    <n v="30"/>
    <s v="No"/>
    <s v=""/>
    <m/>
    <m/>
    <s v="*MAV270800957"/>
    <s v="*MAV270800957"/>
    <n v="8.1428803693655322E-5"/>
  </r>
  <r>
    <x v="49"/>
    <s v="Pesos"/>
    <d v="2026-08-31T00:00:00"/>
    <s v="25/08/2026"/>
    <n v="0.99460462000000005"/>
    <m/>
    <n v="5600000"/>
    <n v="5569785.8700000001"/>
    <n v="5600000"/>
    <n v="5569785.8700000001"/>
    <n v="3501252"/>
    <s v="AMOMPY"/>
    <s v="Momentum Capital Investment S.A."/>
    <s v="24/04/2026"/>
    <s v="24/04/2026"/>
    <n v="33"/>
    <s v="No"/>
    <s v=""/>
    <m/>
    <m/>
    <s v="*MAV270800960"/>
    <s v="*MAV270800960"/>
    <n v="9.1155527381995663E-5"/>
  </r>
  <r>
    <x v="10"/>
    <s v="Pesos"/>
    <d v="2026-08-31T00:00:00"/>
    <s v="25/08/2026"/>
    <n v="0.99525549999999996"/>
    <m/>
    <n v="10000000"/>
    <n v="9952555.0199999996"/>
    <n v="10000000"/>
    <n v="9952555.0199999996"/>
    <n v="2157"/>
    <s v="AMOMPY"/>
    <s v="Momentum Capital Investment S.A."/>
    <s v="27/04/2026"/>
    <s v="27/04/2026"/>
    <n v="29"/>
    <s v="No"/>
    <s v=""/>
    <m/>
    <m/>
    <s v="*MIL270800028"/>
    <s v="*MIL270800028"/>
    <n v="1.6288425135568602E-4"/>
  </r>
  <r>
    <x v="10"/>
    <s v="Pesos"/>
    <d v="2026-08-31T00:00:00"/>
    <s v="25/08/2026"/>
    <n v="0.99525549999999996"/>
    <m/>
    <n v="10000000"/>
    <n v="9952554.9600000009"/>
    <n v="10000000"/>
    <n v="9952554.9600000009"/>
    <n v="66412480"/>
    <s v="AMOMPY"/>
    <s v="Momentum Capital Investment S.A."/>
    <s v="22/04/2026"/>
    <s v="22/04/2026"/>
    <n v="29"/>
    <s v="No"/>
    <s v=""/>
    <m/>
    <m/>
    <s v="*MIL270800027"/>
    <s v="*MIL270800027"/>
    <n v="1.6288425037372159E-4"/>
  </r>
  <r>
    <x v="50"/>
    <s v="Pesos"/>
    <d v="2026-08-31T00:00:00"/>
    <s v="25/08/2026"/>
    <n v="0.99558128000000001"/>
    <m/>
    <n v="200000000"/>
    <n v="199116255.62"/>
    <n v="200000000"/>
    <n v="199116255.62"/>
    <n v="90003876"/>
    <s v="AMOMPY"/>
    <s v="Momentum Capital Investment S.A."/>
    <s v="26/06/2026"/>
    <s v="26/06/2026"/>
    <n v="27"/>
    <s v="No"/>
    <s v=""/>
    <m/>
    <m/>
    <s v="*BIF270800005"/>
    <s v="*BIF270800005"/>
    <n v="3.2587513622618597E-3"/>
  </r>
  <r>
    <x v="10"/>
    <s v="Pesos"/>
    <d v="2026-08-31T00:00:00"/>
    <s v="25/08/2026"/>
    <n v="0.99574423000000001"/>
    <m/>
    <n v="27000000"/>
    <n v="26885094.280000001"/>
    <n v="27000000"/>
    <n v="26885094.280000001"/>
    <n v="1416"/>
    <s v="AMOMPY"/>
    <s v="Momentum Capital Investment S.A."/>
    <s v="04/06/2026"/>
    <s v="04/06/2026"/>
    <n v="26"/>
    <s v="No"/>
    <s v=""/>
    <m/>
    <m/>
    <s v="*MIL270800031"/>
    <s v="*MIL270800031"/>
    <n v="4.4000344088776879E-4"/>
  </r>
  <r>
    <x v="10"/>
    <s v="Pesos"/>
    <d v="2026-08-31T00:00:00"/>
    <s v="25/08/2026"/>
    <n v="0.99574423999999995"/>
    <m/>
    <n v="10000000"/>
    <n v="9957442.4299999997"/>
    <n v="10000000"/>
    <n v="9957442.4299999997"/>
    <n v="68035342"/>
    <s v="AMOMPY"/>
    <s v="Momentum Capital Investment S.A."/>
    <s v="07/07/2026"/>
    <s v="07/07/2026"/>
    <n v="26"/>
    <s v="No"/>
    <s v=""/>
    <m/>
    <m/>
    <s v="*MIL270800035"/>
    <s v="*MIL270800035"/>
    <n v="1.6296423906912426E-4"/>
  </r>
  <r>
    <x v="34"/>
    <s v="Pesos"/>
    <d v="2026-08-31T00:00:00"/>
    <s v="25/08/2026"/>
    <n v="0.99509270000000005"/>
    <m/>
    <n v="10000000"/>
    <n v="9950926.9600000009"/>
    <n v="10000000"/>
    <n v="9950926.9600000009"/>
    <n v="671"/>
    <s v="AMOMPY"/>
    <s v="Momentum Capital Investment S.A."/>
    <s v="23/06/2026"/>
    <s v="23/06/2026"/>
    <n v="30"/>
    <s v="No"/>
    <s v=""/>
    <m/>
    <m/>
    <s v="*MAV270801108"/>
    <s v="*MAV270801108"/>
    <n v="1.6285760640534621E-4"/>
  </r>
  <r>
    <x v="63"/>
    <s v="Pesos"/>
    <d v="2026-08-31T00:00:00"/>
    <s v="25/08/2026"/>
    <n v="0.99460464999999998"/>
    <m/>
    <n v="700000000"/>
    <n v="696223253.03999996"/>
    <n v="700000000"/>
    <n v="696223253.03999996"/>
    <n v="68387365"/>
    <s v="AMOMPY"/>
    <s v="Momentum Capital Investment S.A."/>
    <s v="21/07/2026"/>
    <s v="21/07/2026"/>
    <n v="33"/>
    <s v="No"/>
    <s v=""/>
    <m/>
    <m/>
    <s v="*MAV270801276"/>
    <s v="*MAV270801276"/>
    <n v="1.1394441238451023E-2"/>
  </r>
  <r>
    <x v="16"/>
    <s v="Pesos"/>
    <d v="2026-08-31T00:00:00"/>
    <s v="25/08/2026"/>
    <n v="0.99427949000000004"/>
    <m/>
    <n v="10000000"/>
    <n v="9942794.9299999997"/>
    <n v="10000000"/>
    <n v="9942794.9299999997"/>
    <n v="255"/>
    <s v="AMOMPY"/>
    <s v="Momentum Capital Investment S.A."/>
    <s v="30/04/2026"/>
    <s v="30/04/2026"/>
    <n v="35"/>
    <s v="No"/>
    <s v=""/>
    <m/>
    <m/>
    <s v="*MAV270800969"/>
    <s v="*MAV270800969"/>
    <n v="1.6272451700107864E-4"/>
  </r>
  <r>
    <x v="18"/>
    <s v="Pesos"/>
    <d v="2026-08-31T00:00:00"/>
    <s v="25/08/2026"/>
    <n v="0.99460462000000005"/>
    <m/>
    <n v="2200000"/>
    <n v="2188130.16"/>
    <n v="2200000"/>
    <n v="2188130.16"/>
    <n v="6198"/>
    <s v="AMOMPY"/>
    <s v="Momentum Capital Investment S.A."/>
    <s v="03/06/2026"/>
    <s v="03/06/2026"/>
    <n v="33"/>
    <s v="No"/>
    <s v=""/>
    <m/>
    <m/>
    <s v="*MAV270801053"/>
    <s v="*MAV270801053"/>
    <n v="3.5811099990321632E-5"/>
  </r>
  <r>
    <x v="51"/>
    <s v="Pesos"/>
    <d v="2026-08-31T00:00:00"/>
    <s v="25/08/2026"/>
    <n v="0.99460462999999999"/>
    <m/>
    <n v="7500000"/>
    <n v="7459534.7000000002"/>
    <n v="7500000"/>
    <n v="7459534.7000000002"/>
    <n v="889"/>
    <s v="AMOMPY"/>
    <s v="Momentum Capital Investment S.A."/>
    <s v="23/07/2026"/>
    <s v="23/07/2026"/>
    <n v="33"/>
    <s v="No"/>
    <s v=""/>
    <m/>
    <m/>
    <s v="*MAV270801299"/>
    <s v="*MAV270801299"/>
    <n v="1.2208329646302843E-4"/>
  </r>
  <r>
    <x v="56"/>
    <s v="Pesos"/>
    <d v="2026-08-31T00:00:00"/>
    <s v="25/08/2026"/>
    <n v="0.99509272000000004"/>
    <m/>
    <n v="2870567.11"/>
    <n v="2856480.42"/>
    <n v="2870567.11"/>
    <n v="2856480.42"/>
    <n v="99"/>
    <s v="AMOMPY"/>
    <s v="Momentum Capital Investment S.A."/>
    <s v="20/07/2026"/>
    <s v="20/07/2026"/>
    <n v="30"/>
    <s v="No"/>
    <s v=""/>
    <m/>
    <m/>
    <s v="*MAV270801255"/>
    <s v="*MAV270801255"/>
    <n v="4.6749369763732846E-5"/>
  </r>
  <r>
    <x v="64"/>
    <s v="Pesos"/>
    <d v="2026-09-01T00:00:00"/>
    <s v="25/08/2026"/>
    <n v="0.99333245000000003"/>
    <m/>
    <n v="10053554.939999999"/>
    <n v="9986522.4100000001"/>
    <n v="10053554.939999999"/>
    <n v="9986522.4100000001"/>
    <n v="93"/>
    <s v="AMOMPY"/>
    <s v="Momentum Capital Investment S.A."/>
    <s v="25/08/2026"/>
    <s v="25/08/2026"/>
    <n v="35"/>
    <s v="No"/>
    <s v=""/>
    <m/>
    <m/>
    <s v="%PEP310800001"/>
    <s v="%PEP310800001"/>
    <n v="1.6344016417199685E-4"/>
  </r>
  <r>
    <x v="29"/>
    <s v="Pesos"/>
    <d v="2026-09-01T00:00:00"/>
    <s v="25/08/2026"/>
    <n v="0.99371103999999999"/>
    <m/>
    <n v="21395750"/>
    <n v="21261192.960000001"/>
    <n v="21395750"/>
    <n v="21261192.960000001"/>
    <n v="3233102"/>
    <s v="AMOMPY"/>
    <s v="Momentum Capital Investment S.A."/>
    <s v="20/04/2026"/>
    <s v="20/04/2026"/>
    <n v="33"/>
    <s v="No"/>
    <s v=""/>
    <m/>
    <m/>
    <s v="*NEU280800014"/>
    <s v="*NEU280800014"/>
    <n v="3.4796225604974168E-4"/>
  </r>
  <r>
    <x v="30"/>
    <s v="Pesos"/>
    <d v="2026-09-01T00:00:00"/>
    <s v="25/08/2026"/>
    <n v="0.99276507000000003"/>
    <m/>
    <n v="4500000"/>
    <n v="4467442.82"/>
    <n v="4500000"/>
    <n v="4467442.82"/>
    <n v="556"/>
    <s v="AMOMPY"/>
    <s v="Momentum Capital Investment S.A."/>
    <s v="22/04/2026"/>
    <s v="22/04/2026"/>
    <n v="38"/>
    <s v="No"/>
    <s v=""/>
    <m/>
    <m/>
    <s v="*MAV280801009"/>
    <s v="*MAV280801009"/>
    <n v="7.3114499517736383E-5"/>
  </r>
  <r>
    <x v="3"/>
    <s v="Pesos"/>
    <d v="2026-09-01T00:00:00"/>
    <s v="25/08/2026"/>
    <n v="0.99371103999999999"/>
    <m/>
    <n v="10000000"/>
    <n v="9937110.4000000004"/>
    <n v="10000000"/>
    <n v="9937110.4000000004"/>
    <n v="29692614"/>
    <s v="AMOMPY"/>
    <s v="Momentum Capital Investment S.A."/>
    <s v="16/07/2026"/>
    <s v="16/07/2026"/>
    <n v="33"/>
    <s v="No"/>
    <s v=""/>
    <m/>
    <m/>
    <s v="*MAV280801422"/>
    <s v="*MAV280801422"/>
    <n v="1.6263148356278082E-4"/>
  </r>
  <r>
    <x v="7"/>
    <s v="Pesos"/>
    <d v="2026-09-01T00:00:00"/>
    <s v="25/08/2026"/>
    <n v="0.99371105999999998"/>
    <m/>
    <n v="3000000"/>
    <n v="2981133.17"/>
    <n v="3000000"/>
    <n v="2981133.17"/>
    <n v="90015797"/>
    <s v="AMOMPY"/>
    <s v="Momentum Capital Investment S.A."/>
    <s v="29/05/2026"/>
    <s v="29/05/2026"/>
    <n v="33"/>
    <s v="No"/>
    <s v=""/>
    <m/>
    <m/>
    <s v="*MAV280801098"/>
    <s v="*MAV280801098"/>
    <n v="4.8789445887137939E-5"/>
  </r>
  <r>
    <x v="8"/>
    <s v="Pesos"/>
    <d v="2026-09-01T00:00:00"/>
    <s v="25/08/2026"/>
    <n v="0.99541835999999995"/>
    <m/>
    <n v="10000000"/>
    <n v="9954183.6300000008"/>
    <n v="10000000"/>
    <n v="9954183.6300000008"/>
    <n v="4538"/>
    <s v="AMOMPY"/>
    <s v="Momentum Capital Investment S.A."/>
    <s v="17/07/2026"/>
    <s v="17/07/2026"/>
    <n v="24"/>
    <s v="No"/>
    <s v=""/>
    <m/>
    <m/>
    <s v="*INP280800058"/>
    <s v="*INP280800058"/>
    <n v="1.629109053073665E-4"/>
  </r>
  <r>
    <x v="65"/>
    <s v="Pesos"/>
    <d v="2026-09-01T00:00:00"/>
    <s v="25/08/2026"/>
    <n v="0.99427949999999998"/>
    <m/>
    <n v="25000000"/>
    <n v="24856987.379999999"/>
    <n v="25000000"/>
    <n v="24856987.379999999"/>
    <n v="718978"/>
    <s v="AMOMPY"/>
    <s v="Momentum Capital Investment S.A."/>
    <s v="17/04/2026"/>
    <s v="17/04/2026"/>
    <n v="30"/>
    <s v="No"/>
    <s v=""/>
    <m/>
    <m/>
    <s v="*CVA280800007"/>
    <s v="*CVA280800007"/>
    <n v="4.0681129340283066E-4"/>
  </r>
  <r>
    <x v="48"/>
    <s v="Pesos"/>
    <d v="2026-09-01T00:00:00"/>
    <s v="25/08/2026"/>
    <n v="0.99522838000000002"/>
    <m/>
    <n v="1800000"/>
    <n v="1791411.09"/>
    <n v="1800000"/>
    <n v="1791411.09"/>
    <n v="1236"/>
    <s v="AMOMPY"/>
    <s v="Momentum Capital Investment S.A."/>
    <s v="04/08/2026"/>
    <s v="04/08/2026"/>
    <n v="25"/>
    <s v="No"/>
    <s v=""/>
    <m/>
    <m/>
    <s v="*FED280800039"/>
    <s v="*FED280800039"/>
    <n v="2.9318366357036575E-5"/>
  </r>
  <r>
    <x v="48"/>
    <s v="Pesos"/>
    <d v="2026-09-01T00:00:00"/>
    <s v="25/08/2026"/>
    <n v="0.99522836000000003"/>
    <m/>
    <n v="408136.6"/>
    <n v="406189.12"/>
    <n v="408136.6"/>
    <n v="406189.12"/>
    <n v="2226"/>
    <s v="AMOMPY"/>
    <s v="Momentum Capital Investment S.A."/>
    <s v="04/08/2026"/>
    <s v="04/08/2026"/>
    <n v="25"/>
    <s v="No"/>
    <s v=""/>
    <m/>
    <m/>
    <s v="*FED280800040"/>
    <s v="*FED280800040"/>
    <n v="6.6477211718066851E-6"/>
  </r>
  <r>
    <x v="66"/>
    <s v="Pesos"/>
    <d v="2026-09-01T00:00:00"/>
    <s v="25/08/2026"/>
    <n v="0.99371105999999998"/>
    <m/>
    <n v="20000000"/>
    <n v="19874221.23"/>
    <n v="20000000"/>
    <n v="19874221.23"/>
    <n v="156669"/>
    <s v="AMOMPY"/>
    <s v="Momentum Capital Investment S.A."/>
    <s v="14/07/2026"/>
    <s v="14/07/2026"/>
    <n v="33"/>
    <s v="No"/>
    <s v=""/>
    <m/>
    <m/>
    <s v="#MAV310860061"/>
    <s v="#MAV310860061"/>
    <n v="3.2526297416297342E-4"/>
  </r>
  <r>
    <x v="67"/>
    <s v="Pesos"/>
    <d v="2026-09-01T00:00:00"/>
    <s v="25/08/2026"/>
    <n v="0.99276505999999998"/>
    <m/>
    <n v="5450000"/>
    <n v="5410569.5499999998"/>
    <n v="5450000"/>
    <n v="5410569.5499999998"/>
    <n v="28518"/>
    <s v="AMOMPY"/>
    <s v="Momentum Capital Investment S.A."/>
    <s v="08/04/2026"/>
    <s v="08/04/2026"/>
    <n v="38"/>
    <s v="No"/>
    <s v=""/>
    <m/>
    <m/>
    <s v="*MAV280801000"/>
    <s v="*MAV280801000"/>
    <n v="8.8549781316317805E-5"/>
  </r>
  <r>
    <x v="68"/>
    <s v="Pesos"/>
    <d v="2026-09-01T00:00:00"/>
    <s v="25/08/2026"/>
    <n v="0.99238716999999999"/>
    <m/>
    <n v="9972860.4499999993"/>
    <n v="9896938.7599999998"/>
    <n v="9972860.4499999993"/>
    <n v="9896938.7599999998"/>
    <n v="1179204"/>
    <s v="AMOMPY"/>
    <s v="Momentum Capital Investment S.A."/>
    <s v="16/04/2026"/>
    <s v="16/04/2026"/>
    <n v="40"/>
    <s v="No"/>
    <s v=""/>
    <m/>
    <m/>
    <s v="*MAV280801005"/>
    <s v="*MAV280801005"/>
    <n v="1.6197403153222372E-4"/>
  </r>
  <r>
    <x v="10"/>
    <s v="Pesos"/>
    <d v="2026-09-01T00:00:00"/>
    <s v="25/08/2026"/>
    <n v="0.99446911999999998"/>
    <m/>
    <n v="10000000"/>
    <n v="9944691.2200000007"/>
    <n v="10000000"/>
    <n v="9944691.2200000007"/>
    <n v="2158"/>
    <s v="AMOMPY"/>
    <s v="Momentum Capital Investment S.A."/>
    <s v="27/04/2026"/>
    <s v="27/04/2026"/>
    <n v="29"/>
    <s v="No"/>
    <s v=""/>
    <m/>
    <m/>
    <s v="*MIL280800030"/>
    <s v="*MIL280800030"/>
    <n v="1.6275555182343156E-4"/>
  </r>
  <r>
    <x v="10"/>
    <s v="Pesos"/>
    <d v="2026-09-01T00:00:00"/>
    <s v="25/08/2026"/>
    <n v="0.99446913000000003"/>
    <m/>
    <n v="10000000"/>
    <n v="9944691.3000000007"/>
    <n v="10000000"/>
    <n v="9944691.3000000007"/>
    <n v="66412510"/>
    <s v="AMOMPY"/>
    <s v="Momentum Capital Investment S.A."/>
    <s v="22/04/2026"/>
    <s v="22/04/2026"/>
    <n v="29"/>
    <s v="No"/>
    <s v=""/>
    <m/>
    <m/>
    <s v="*MIL280800029"/>
    <s v="*MIL280800029"/>
    <n v="1.6275555313271747E-4"/>
  </r>
  <r>
    <x v="11"/>
    <s v="Pesos"/>
    <d v="2026-09-01T00:00:00"/>
    <s v="25/08/2026"/>
    <n v="0.99617904999999995"/>
    <m/>
    <n v="2500000"/>
    <n v="2490447.63"/>
    <n v="2500000"/>
    <n v="2490447.63"/>
    <n v="6138"/>
    <s v="AMOMPY"/>
    <s v="Momentum Capital Investment S.A."/>
    <s v="29/05/2026"/>
    <s v="29/05/2026"/>
    <n v="20"/>
    <s v="No"/>
    <s v=""/>
    <m/>
    <m/>
    <s v="*ACI280800203"/>
    <s v="*ACI280800203"/>
    <n v="4.0758850057891216E-5"/>
  </r>
  <r>
    <x v="13"/>
    <s v="Pesos"/>
    <d v="2026-09-01T00:00:00"/>
    <s v="25/08/2026"/>
    <n v="0.99446911999999998"/>
    <m/>
    <n v="2500000"/>
    <n v="2486172.81"/>
    <n v="2500000"/>
    <n v="2486172.81"/>
    <n v="367"/>
    <s v="AMOMPY"/>
    <s v="Momentum Capital Investment S.A."/>
    <s v="17/04/2026"/>
    <s v="17/04/2026"/>
    <n v="29"/>
    <s v="No"/>
    <s v=""/>
    <m/>
    <m/>
    <s v="*MOV280800055"/>
    <s v="*MOV280800055"/>
    <n v="4.068888803768826E-5"/>
  </r>
  <r>
    <x v="13"/>
    <s v="Pesos"/>
    <d v="2026-09-01T00:00:00"/>
    <s v="25/08/2026"/>
    <n v="0.99465882999999999"/>
    <m/>
    <n v="10000000"/>
    <n v="9946588.2699999996"/>
    <n v="10000000"/>
    <n v="9946588.2699999996"/>
    <n v="360560"/>
    <s v="AMOMPY"/>
    <s v="Momentum Capital Investment S.A."/>
    <s v="21/04/2026"/>
    <s v="21/04/2026"/>
    <n v="28"/>
    <s v="No"/>
    <s v=""/>
    <m/>
    <m/>
    <s v="*MOV280800056"/>
    <s v="*MOV280800056"/>
    <n v="1.6278659908400064E-4"/>
  </r>
  <r>
    <x v="50"/>
    <s v="Pesos"/>
    <d v="2026-09-01T00:00:00"/>
    <s v="25/08/2026"/>
    <n v="0.99484861000000002"/>
    <m/>
    <n v="200000000"/>
    <n v="198969722.06"/>
    <n v="200000000"/>
    <n v="198969722.06"/>
    <n v="90003877"/>
    <s v="AMOMPY"/>
    <s v="Momentum Capital Investment S.A."/>
    <s v="26/06/2026"/>
    <s v="26/06/2026"/>
    <n v="27"/>
    <s v="No"/>
    <s v=""/>
    <m/>
    <m/>
    <s v="*BIF280800005"/>
    <s v="*BIF280800005"/>
    <n v="3.2563531831841133E-3"/>
  </r>
  <r>
    <x v="10"/>
    <s v="Pesos"/>
    <d v="2026-09-01T00:00:00"/>
    <s v="25/08/2026"/>
    <n v="0.99503845000000002"/>
    <m/>
    <n v="120000000"/>
    <n v="119404614.12"/>
    <n v="120000000"/>
    <n v="119404614.12"/>
    <n v="344"/>
    <s v="AMOMPY"/>
    <s v="Momentum Capital Investment S.A."/>
    <s v="04/06/2026"/>
    <s v="04/06/2026"/>
    <n v="26"/>
    <s v="No"/>
    <s v=""/>
    <m/>
    <m/>
    <s v="*MIL280800034"/>
    <s v="*MIL280800034"/>
    <n v="1.9541847435424454E-3"/>
  </r>
  <r>
    <x v="10"/>
    <s v="Pesos"/>
    <d v="2026-09-01T00:00:00"/>
    <s v="25/08/2026"/>
    <n v="0.99503845999999996"/>
    <m/>
    <n v="2500000"/>
    <n v="2487596.14"/>
    <n v="2500000"/>
    <n v="2487596.14"/>
    <n v="3838"/>
    <s v="AMOMPY"/>
    <s v="Momentum Capital Investment S.A."/>
    <s v="07/07/2026"/>
    <s v="07/07/2026"/>
    <n v="26"/>
    <s v="No"/>
    <s v=""/>
    <m/>
    <m/>
    <s v="*MIL280800037"/>
    <s v="*MIL280800037"/>
    <n v="4.0712182361710204E-5"/>
  </r>
  <r>
    <x v="34"/>
    <s v="Pesos"/>
    <d v="2026-09-01T00:00:00"/>
    <s v="25/08/2026"/>
    <n v="0.99371105000000004"/>
    <m/>
    <n v="10000000"/>
    <n v="9937110.5199999996"/>
    <n v="10000000"/>
    <n v="9937110.5199999996"/>
    <n v="665"/>
    <s v="AMOMPY"/>
    <s v="Momentum Capital Investment S.A."/>
    <s v="22/06/2026"/>
    <s v="22/06/2026"/>
    <n v="33"/>
    <s v="No"/>
    <s v=""/>
    <m/>
    <m/>
    <s v="*MAV280801208"/>
    <s v="*MAV280801208"/>
    <n v="1.6263148552670968E-4"/>
  </r>
  <r>
    <x v="36"/>
    <s v="Pesos"/>
    <d v="2026-09-01T00:00:00"/>
    <s v="25/08/2026"/>
    <n v="0.99484859000000003"/>
    <m/>
    <n v="52602739.240000002"/>
    <n v="52331761.090000004"/>
    <n v="52602739.240000002"/>
    <n v="52331761.090000004"/>
    <n v="287"/>
    <s v="AMOMPY"/>
    <s v="Momentum Capital Investment S.A."/>
    <s v="01/07/2026"/>
    <s v="01/07/2026"/>
    <n v="27"/>
    <s v="No"/>
    <s v=""/>
    <m/>
    <m/>
    <s v="*NIO280800031"/>
    <s v="*NIO280800031"/>
    <n v="8.5646547144325861E-4"/>
  </r>
  <r>
    <x v="69"/>
    <s v="Pesos"/>
    <d v="2026-09-01T00:00:00"/>
    <s v="25/08/2026"/>
    <n v="0.98526157000000003"/>
    <m/>
    <n v="10000000"/>
    <n v="9852615.75"/>
    <n v="10000000"/>
    <n v="9852615.75"/>
    <n v="3937"/>
    <s v="AMOMPY"/>
    <s v="Momentum Capital Investment S.A."/>
    <s v="03/09/2025"/>
    <s v="03/09/2025"/>
    <n v="78"/>
    <s v="No"/>
    <s v=""/>
    <m/>
    <m/>
    <s v="*MAV280800986"/>
    <s v="*MAV280800986"/>
    <n v="1.6124863787329163E-4"/>
  </r>
  <r>
    <x v="70"/>
    <s v="Pesos"/>
    <d v="2026-09-01T00:00:00"/>
    <s v="25/08/2026"/>
    <n v="0.99390047000000004"/>
    <m/>
    <n v="22266654.899999999"/>
    <n v="22130838.739999998"/>
    <n v="22266654.899999999"/>
    <n v="22130838.739999998"/>
    <n v="8292016"/>
    <s v="AMOMPY"/>
    <s v="Momentum Capital Investment S.A."/>
    <s v="12/06/2026"/>
    <s v="12/06/2026"/>
    <n v="32"/>
    <s v="No"/>
    <s v=""/>
    <m/>
    <m/>
    <s v="*MAV280801153"/>
    <s v="*MAV280801153"/>
    <n v="3.6219494318739405E-4"/>
  </r>
  <r>
    <x v="17"/>
    <s v="Pesos"/>
    <d v="2026-09-01T00:00:00"/>
    <s v="25/08/2026"/>
    <n v="0.99333245000000003"/>
    <m/>
    <n v="20000000"/>
    <n v="19866649.07"/>
    <n v="20000000"/>
    <n v="19866649.07"/>
    <n v="4269"/>
    <s v="AMOMPY"/>
    <s v="Momentum Capital Investment S.A."/>
    <s v="09/06/2026"/>
    <s v="09/06/2026"/>
    <n v="35"/>
    <s v="No"/>
    <s v=""/>
    <m/>
    <m/>
    <s v="*MAV280801141"/>
    <s v="*MAV280801141"/>
    <n v="3.2513904763252299E-4"/>
  </r>
  <r>
    <x v="18"/>
    <s v="Pesos"/>
    <d v="2026-09-01T00:00:00"/>
    <s v="25/08/2026"/>
    <n v="0.99371103999999999"/>
    <m/>
    <n v="2200000"/>
    <n v="2186164.29"/>
    <n v="2200000"/>
    <n v="2186164.29"/>
    <n v="6199"/>
    <s v="AMOMPY"/>
    <s v="Momentum Capital Investment S.A."/>
    <s v="03/06/2026"/>
    <s v="03/06/2026"/>
    <n v="33"/>
    <s v="No"/>
    <s v=""/>
    <m/>
    <m/>
    <s v="*MAV280801125"/>
    <s v="*MAV280801125"/>
    <n v="3.5778926416543924E-5"/>
  </r>
  <r>
    <x v="19"/>
    <s v="Pesos"/>
    <d v="2026-09-01T00:00:00"/>
    <s v="25/08/2026"/>
    <n v="0.99371103999999999"/>
    <m/>
    <n v="50000000"/>
    <n v="49685552.079999998"/>
    <n v="50000000"/>
    <n v="49685552.079999998"/>
    <n v="29030847"/>
    <s v="AMOMPY"/>
    <s v="Momentum Capital Investment S.A."/>
    <s v="06/04/2026"/>
    <s v="06/04/2026"/>
    <n v="33"/>
    <s v="No"/>
    <s v=""/>
    <m/>
    <m/>
    <s v="*MAV280800998"/>
    <s v="*MAV280800998"/>
    <n v="8.1315741912318994E-4"/>
  </r>
  <r>
    <x v="71"/>
    <s v="Pesos"/>
    <d v="2026-09-01T00:00:00"/>
    <s v="25/08/2026"/>
    <n v="0.99427951000000003"/>
    <m/>
    <n v="751008.82"/>
    <n v="746712.68"/>
    <n v="751008.82"/>
    <n v="746712.68"/>
    <n v="29454561"/>
    <s v="AMOMPY"/>
    <s v="Momentum Capital Investment S.A."/>
    <s v="24/07/2026"/>
    <s v="24/07/2026"/>
    <n v="30"/>
    <s v="No"/>
    <s v=""/>
    <m/>
    <m/>
    <s v="*MAV280801539"/>
    <s v="*MAV280801539"/>
    <n v="1.2220754933299323E-5"/>
  </r>
  <r>
    <x v="72"/>
    <s v="Pesos"/>
    <d v="2026-09-01T00:00:00"/>
    <s v="25/08/2026"/>
    <n v="0.99427953999999996"/>
    <m/>
    <n v="425289.41"/>
    <n v="422856.56"/>
    <n v="425289.41"/>
    <n v="422856.56"/>
    <n v="11312857"/>
    <s v="AMOMPY"/>
    <s v="Momentum Capital Investment S.A."/>
    <s v="04/08/2026"/>
    <s v="04/08/2026"/>
    <n v="30"/>
    <s v="No"/>
    <s v=""/>
    <m/>
    <m/>
    <s v="*MAV280801671"/>
    <s v="*MAV280801671"/>
    <n v="6.9205017272479969E-6"/>
  </r>
  <r>
    <x v="73"/>
    <s v="Pesos"/>
    <d v="2026-09-01T00:00:00"/>
    <s v="25/08/2026"/>
    <n v="0.99333251"/>
    <m/>
    <n v="350000"/>
    <n v="347666.38"/>
    <n v="350000"/>
    <n v="347666.38"/>
    <n v="88191369"/>
    <s v="AMOMPY"/>
    <s v="Momentum Capital Investment S.A."/>
    <s v="19/08/2026"/>
    <s v="19/08/2026"/>
    <n v="35"/>
    <s v="No"/>
    <s v=""/>
    <m/>
    <m/>
    <s v="*MAV280801801"/>
    <s v="*MAV280801801"/>
    <n v="5.6899336817573754E-6"/>
  </r>
  <r>
    <x v="29"/>
    <s v="Pesos"/>
    <d v="2026-09-01T00:00:00"/>
    <s v="25/08/2026"/>
    <n v="0.99371103999999999"/>
    <m/>
    <n v="21395750"/>
    <n v="21261192.960000001"/>
    <n v="21395750"/>
    <n v="21261192.960000001"/>
    <n v="3233103"/>
    <s v="AMOMPY"/>
    <s v="Momentum Capital Investment S.A."/>
    <s v="20/04/2026"/>
    <s v="20/04/2026"/>
    <n v="33"/>
    <s v="No"/>
    <s v=""/>
    <m/>
    <m/>
    <s v="*NEU280800013"/>
    <s v="*NEU280800013"/>
    <n v="3.4796225604974168E-4"/>
  </r>
  <r>
    <x v="24"/>
    <s v="Pesos"/>
    <d v="2026-09-01T00:00:00"/>
    <s v="25/08/2026"/>
    <n v="0.99390045999999999"/>
    <m/>
    <n v="1000000"/>
    <n v="993900.46"/>
    <n v="1000000"/>
    <n v="993900.46"/>
    <n v="67381500"/>
    <s v="AMOMPY"/>
    <s v="Momentum Capital Investment S.A."/>
    <s v="04/06/2026"/>
    <s v="04/06/2026"/>
    <n v="32"/>
    <s v="No"/>
    <s v=""/>
    <m/>
    <m/>
    <s v="*MAV280801128"/>
    <s v="*MAV280801128"/>
    <n v="1.6266248418003917E-5"/>
  </r>
  <r>
    <x v="74"/>
    <s v="Pesos"/>
    <d v="2026-09-01T00:00:00"/>
    <s v="25/08/2026"/>
    <n v="0.99427951999999997"/>
    <m/>
    <n v="2500000"/>
    <n v="2485698.81"/>
    <n v="2500000"/>
    <n v="2485698.81"/>
    <n v="344"/>
    <s v="AMOMPY"/>
    <s v="Momentum Capital Investment S.A."/>
    <s v="15/07/2026"/>
    <s v="15/07/2026"/>
    <n v="30"/>
    <s v="No"/>
    <s v=""/>
    <m/>
    <m/>
    <s v="*MAV280801400"/>
    <s v="*MAV280801400"/>
    <n v="4.0681130518640389E-5"/>
  </r>
  <r>
    <x v="75"/>
    <s v="Pesos"/>
    <d v="2026-09-01T00:00:00"/>
    <s v="25/08/2026"/>
    <n v="0.99371103999999999"/>
    <m/>
    <n v="2000000"/>
    <n v="1987422.08"/>
    <n v="2000000"/>
    <n v="1987422.08"/>
    <n v="13669238"/>
    <s v="AMOMPY"/>
    <s v="Momentum Capital Investment S.A."/>
    <s v="23/07/2026"/>
    <s v="23/07/2026"/>
    <n v="33"/>
    <s v="No"/>
    <s v=""/>
    <m/>
    <m/>
    <s v="*MAV280801480"/>
    <s v="*MAV280801480"/>
    <n v="3.2526296712556163E-5"/>
  </r>
  <r>
    <x v="76"/>
    <s v="Pesos"/>
    <d v="2026-09-01T00:00:00"/>
    <s v="25/08/2026"/>
    <n v="0.99427949000000004"/>
    <m/>
    <n v="1064203.17"/>
    <n v="1058115.3899999999"/>
    <n v="1064203.17"/>
    <n v="1058115.3899999999"/>
    <n v="1247"/>
    <s v="AMOMPY"/>
    <s v="Momentum Capital Investment S.A."/>
    <s v="13/07/2026"/>
    <s v="13/07/2026"/>
    <n v="30"/>
    <s v="No"/>
    <s v=""/>
    <m/>
    <m/>
    <s v="*MAV280801373"/>
    <s v="*MAV280801373"/>
    <n v="1.7317194710477444E-5"/>
  </r>
  <r>
    <x v="77"/>
    <s v="Pesos"/>
    <d v="2026-09-01T00:00:00"/>
    <s v="25/08/2026"/>
    <n v="0.99371103999999999"/>
    <m/>
    <n v="224380.5"/>
    <n v="222969.38"/>
    <n v="224380.5"/>
    <n v="222969.38"/>
    <n v="9894"/>
    <s v="AMOMPY"/>
    <s v="Momentum Capital Investment S.A."/>
    <s v="11/08/2026"/>
    <s v="11/08/2026"/>
    <n v="33"/>
    <s v="No"/>
    <s v=""/>
    <m/>
    <m/>
    <s v="*MAV280801742"/>
    <s v="*MAV280801742"/>
    <n v="3.6491333595804098E-6"/>
  </r>
  <r>
    <x v="78"/>
    <s v="Pesos"/>
    <d v="2026-09-01T00:00:00"/>
    <s v="25/08/2026"/>
    <n v="0.99427949999999998"/>
    <m/>
    <n v="1768326.86"/>
    <n v="1758211.15"/>
    <n v="1768326.86"/>
    <n v="1758211.15"/>
    <n v="11347809"/>
    <s v="AMOMPY"/>
    <s v="Momentum Capital Investment S.A."/>
    <s v="20/07/2026"/>
    <s v="20/07/2026"/>
    <n v="30"/>
    <s v="No"/>
    <s v=""/>
    <m/>
    <m/>
    <s v="*MAV280801436"/>
    <s v="*MAV280801436"/>
    <n v="2.87750136841715E-5"/>
  </r>
  <r>
    <x v="0"/>
    <s v="Pesos"/>
    <d v="2026-09-02T00:00:00"/>
    <s v="25/08/2026"/>
    <n v="0.99346760999999995"/>
    <m/>
    <n v="2200000"/>
    <n v="2185628.7400000002"/>
    <n v="2200000"/>
    <n v="2185628.7400000002"/>
    <n v="9791"/>
    <s v="AMOMPY"/>
    <s v="Momentum Capital Investment S.A."/>
    <s v="13/07/2026"/>
    <s v="13/07/2026"/>
    <n v="30"/>
    <s v="No"/>
    <s v=""/>
    <m/>
    <m/>
    <s v="*MAV300801432"/>
    <s v="*MAV300801432"/>
    <n v="3.5770161565645016E-5"/>
  </r>
  <r>
    <x v="29"/>
    <s v="Pesos"/>
    <d v="2026-09-02T00:00:00"/>
    <s v="25/08/2026"/>
    <n v="0.99303514999999998"/>
    <m/>
    <n v="15000000"/>
    <n v="14895527.32"/>
    <n v="15000000"/>
    <n v="14895527.32"/>
    <n v="179"/>
    <s v="AMOMPY"/>
    <s v="Momentum Capital Investment S.A."/>
    <s v="17/04/2026"/>
    <s v="17/04/2026"/>
    <n v="32"/>
    <s v="No"/>
    <s v=""/>
    <m/>
    <m/>
    <s v="*NEU290800019"/>
    <s v="*NEU290800019"/>
    <n v="2.4378130150406023E-4"/>
  </r>
  <r>
    <x v="29"/>
    <s v="Pesos"/>
    <d v="2026-09-02T00:00:00"/>
    <s v="25/08/2026"/>
    <n v="0.99346760999999995"/>
    <m/>
    <n v="6000000"/>
    <n v="5960805.6600000001"/>
    <n v="6000000"/>
    <n v="5960805.6600000001"/>
    <n v="10926495"/>
    <s v="AMOMPY"/>
    <s v="Momentum Capital Investment S.A."/>
    <s v="20/04/2026"/>
    <s v="20/04/2026"/>
    <n v="30"/>
    <s v="No"/>
    <s v=""/>
    <m/>
    <m/>
    <s v="*NEU310800017"/>
    <s v="*NEU310800017"/>
    <n v="9.7554986177392252E-5"/>
  </r>
  <r>
    <x v="47"/>
    <s v="Pesos"/>
    <d v="2026-09-02T00:00:00"/>
    <s v="25/08/2026"/>
    <n v="0.99325140000000001"/>
    <m/>
    <n v="10000000"/>
    <n v="9932514.0399999991"/>
    <n v="10000000"/>
    <n v="9932514.0399999991"/>
    <n v="14004246"/>
    <s v="AMOMPY"/>
    <s v="Momentum Capital Investment S.A."/>
    <s v="31/07/2026"/>
    <s v="31/07/2026"/>
    <n v="31"/>
    <s v="No"/>
    <s v=""/>
    <m/>
    <m/>
    <s v="*MAV310801755"/>
    <s v="*MAV310801755"/>
    <n v="1.6255625919516295E-4"/>
  </r>
  <r>
    <x v="79"/>
    <s v="Pesos"/>
    <d v="2026-09-02T00:00:00"/>
    <s v="25/08/2026"/>
    <n v="0.99238716999999999"/>
    <m/>
    <n v="19999999"/>
    <n v="19847742.350000001"/>
    <n v="19999999"/>
    <n v="19847742.350000001"/>
    <n v="43"/>
    <s v="AMOMPY"/>
    <s v="Momentum Capital Investment S.A."/>
    <s v="20/04/2026"/>
    <s v="20/04/2026"/>
    <n v="35"/>
    <s v="No"/>
    <s v=""/>
    <m/>
    <m/>
    <s v="*MAV310801103"/>
    <s v="*MAV310801103"/>
    <n v="3.2482961885502788E-4"/>
  </r>
  <r>
    <x v="80"/>
    <s v="Pesos"/>
    <d v="2026-09-02T00:00:00"/>
    <s v="25/08/2026"/>
    <n v="0.99346763000000005"/>
    <m/>
    <n v="50000000"/>
    <n v="49673381.350000001"/>
    <n v="50000000"/>
    <n v="49673381.350000001"/>
    <n v="5491"/>
    <s v="AMOMPY"/>
    <s v="Momentum Capital Investment S.A."/>
    <s v="04/05/2026"/>
    <s v="04/05/2026"/>
    <n v="30"/>
    <s v="No"/>
    <s v=""/>
    <m/>
    <m/>
    <s v="*MAV310801112"/>
    <s v="*MAV310801112"/>
    <n v="8.1295823205609831E-4"/>
  </r>
  <r>
    <x v="80"/>
    <s v="Pesos"/>
    <d v="2026-09-02T00:00:00"/>
    <s v="25/08/2026"/>
    <n v="0.99346763000000005"/>
    <m/>
    <n v="50000000"/>
    <n v="49673381.350000001"/>
    <n v="50000000"/>
    <n v="49673381.350000001"/>
    <n v="5490"/>
    <s v="AMOMPY"/>
    <s v="Momentum Capital Investment S.A."/>
    <s v="04/05/2026"/>
    <s v="04/05/2026"/>
    <n v="30"/>
    <s v="No"/>
    <s v=""/>
    <m/>
    <m/>
    <s v="*MAV310801113"/>
    <s v="*MAV310801113"/>
    <n v="8.1295823205609831E-4"/>
  </r>
  <r>
    <x v="5"/>
    <s v="Pesos"/>
    <d v="2026-09-02T00:00:00"/>
    <s v="25/08/2026"/>
    <n v="0.99281907000000003"/>
    <m/>
    <n v="1000000"/>
    <n v="992819.07"/>
    <n v="1000000"/>
    <n v="992819.07"/>
    <n v="458"/>
    <s v="AMOMPY"/>
    <s v="Momentum Capital Investment S.A."/>
    <s v="06/07/2026"/>
    <s v="06/07/2026"/>
    <n v="33"/>
    <s v="No"/>
    <s v=""/>
    <m/>
    <m/>
    <s v="*MAV310801442"/>
    <s v="*MAV310801442"/>
    <n v="1.624855030930524E-5"/>
  </r>
  <r>
    <x v="5"/>
    <s v="Pesos"/>
    <d v="2026-09-02T00:00:00"/>
    <s v="25/08/2026"/>
    <n v="0.99281907000000003"/>
    <m/>
    <n v="2000000"/>
    <n v="1985638.14"/>
    <n v="2000000"/>
    <n v="1985638.14"/>
    <n v="457"/>
    <s v="AMOMPY"/>
    <s v="Momentum Capital Investment S.A."/>
    <s v="06/07/2026"/>
    <s v="06/07/2026"/>
    <n v="33"/>
    <s v="No"/>
    <s v=""/>
    <m/>
    <m/>
    <s v="*MAV300801419"/>
    <s v="*MAV300801419"/>
    <n v="3.249710061861048E-5"/>
  </r>
  <r>
    <x v="5"/>
    <s v="Pesos"/>
    <d v="2026-09-02T00:00:00"/>
    <s v="25/08/2026"/>
    <n v="0.99281907000000003"/>
    <m/>
    <n v="2000000"/>
    <n v="1985638.14"/>
    <n v="2000000"/>
    <n v="1985638.14"/>
    <n v="456"/>
    <s v="AMOMPY"/>
    <s v="Momentum Capital Investment S.A."/>
    <s v="06/07/2026"/>
    <s v="06/07/2026"/>
    <n v="33"/>
    <s v="No"/>
    <s v=""/>
    <m/>
    <m/>
    <s v="*MAV290801294"/>
    <s v="*MAV290801294"/>
    <n v="3.249710061861048E-5"/>
  </r>
  <r>
    <x v="81"/>
    <s v="Pesos"/>
    <d v="2026-09-02T00:00:00"/>
    <s v="25/08/2026"/>
    <n v="0.99174008999999996"/>
    <m/>
    <n v="750000000"/>
    <n v="743805069.38"/>
    <n v="750000000"/>
    <n v="743805069.38"/>
    <n v="156378"/>
    <s v="AMOMPY"/>
    <s v="Momentum Capital Investment S.A."/>
    <s v="20/07/2026"/>
    <s v="20/07/2026"/>
    <n v="38"/>
    <s v="No"/>
    <s v=""/>
    <m/>
    <m/>
    <s v="#MAV010960065"/>
    <s v="#MAV010960065"/>
    <n v="1.217316876290179E-2"/>
  </r>
  <r>
    <x v="32"/>
    <s v="Pesos"/>
    <d v="2026-09-02T00:00:00"/>
    <s v="25/08/2026"/>
    <n v="0.99281905999999998"/>
    <m/>
    <n v="3812810.4"/>
    <n v="3785430.85"/>
    <n v="3812810.4"/>
    <n v="3785430.85"/>
    <n v="286"/>
    <s v="AMOMPY"/>
    <s v="Momentum Capital Investment S.A."/>
    <s v="27/05/2026"/>
    <s v="27/05/2026"/>
    <n v="33"/>
    <s v="No"/>
    <s v=""/>
    <m/>
    <m/>
    <s v="*MAV310801202"/>
    <s v="*MAV310801202"/>
    <n v="6.1952641188309471E-5"/>
  </r>
  <r>
    <x v="8"/>
    <s v="Pesos"/>
    <d v="2026-09-02T00:00:00"/>
    <s v="25/08/2026"/>
    <n v="0.99476726000000004"/>
    <m/>
    <n v="10000000"/>
    <n v="9947672.5800000001"/>
    <n v="10000000"/>
    <n v="9947672.5800000001"/>
    <n v="4539"/>
    <s v="AMOMPY"/>
    <s v="Momentum Capital Investment S.A."/>
    <s v="17/07/2026"/>
    <s v="17/07/2026"/>
    <n v="24"/>
    <s v="No"/>
    <s v=""/>
    <m/>
    <m/>
    <s v="*INP310800079"/>
    <s v="*INP310800079"/>
    <n v="1.6280434498163523E-4"/>
  </r>
  <r>
    <x v="65"/>
    <s v="Pesos"/>
    <d v="2026-09-02T00:00:00"/>
    <s v="25/08/2026"/>
    <n v="0.99346760999999995"/>
    <m/>
    <n v="25000000"/>
    <n v="24836690.34"/>
    <n v="25000000"/>
    <n v="24836690.34"/>
    <n v="718979"/>
    <s v="AMOMPY"/>
    <s v="Momentum Capital Investment S.A."/>
    <s v="17/04/2026"/>
    <s v="17/04/2026"/>
    <n v="30"/>
    <s v="No"/>
    <s v=""/>
    <m/>
    <m/>
    <s v="*CVA310800024"/>
    <s v="*CVA310800024"/>
    <n v="4.0647911054541436E-4"/>
  </r>
  <r>
    <x v="48"/>
    <s v="Pesos"/>
    <d v="2026-09-02T00:00:00"/>
    <s v="25/08/2026"/>
    <n v="0.99455042000000005"/>
    <m/>
    <n v="1369282.92"/>
    <n v="1361820.9"/>
    <n v="1369282.92"/>
    <n v="1361820.9"/>
    <n v="10237004"/>
    <s v="AMOMPY"/>
    <s v="Momentum Capital Investment S.A."/>
    <s v="04/08/2026"/>
    <s v="04/08/2026"/>
    <n v="25"/>
    <s v="No"/>
    <s v=""/>
    <m/>
    <m/>
    <s v="*FED310800034"/>
    <s v="*FED310800034"/>
    <n v="2.2287661543319611E-5"/>
  </r>
  <r>
    <x v="9"/>
    <s v="Pesos"/>
    <d v="2026-09-02T00:00:00"/>
    <s v="25/08/2026"/>
    <n v="0.99346762"/>
    <m/>
    <n v="5721178"/>
    <n v="5683805.0899999999"/>
    <n v="5721178"/>
    <n v="5683805.0899999999"/>
    <n v="90044687"/>
    <s v="AMOMPY"/>
    <s v="Momentum Capital Investment S.A."/>
    <s v="28/07/2026"/>
    <s v="28/07/2026"/>
    <n v="30"/>
    <s v="No"/>
    <s v=""/>
    <m/>
    <m/>
    <s v="*MAV310801654"/>
    <s v="*MAV310801654"/>
    <n v="9.3021574367170649E-5"/>
  </r>
  <r>
    <x v="34"/>
    <s v="Pesos"/>
    <d v="2026-09-02T00:00:00"/>
    <s v="25/08/2026"/>
    <n v="0.99346762"/>
    <m/>
    <n v="10000000"/>
    <n v="9934676.2300000004"/>
    <n v="10000000"/>
    <n v="9934676.2300000004"/>
    <n v="503"/>
    <s v="AMOMPY"/>
    <s v="Momentum Capital Investment S.A."/>
    <s v="14/05/2026"/>
    <s v="14/05/2026"/>
    <n v="30"/>
    <s v="No"/>
    <s v=""/>
    <m/>
    <m/>
    <s v="*MAV290801184"/>
    <s v="*MAV290801184"/>
    <n v="1.625916457565767E-4"/>
  </r>
  <r>
    <x v="34"/>
    <s v="Pesos"/>
    <d v="2026-09-02T00:00:00"/>
    <s v="25/08/2026"/>
    <n v="0.99346762"/>
    <m/>
    <n v="10000000"/>
    <n v="9934676.1699999999"/>
    <n v="10000000"/>
    <n v="9934676.1699999999"/>
    <n v="493"/>
    <s v="AMOMPY"/>
    <s v="Momentum Capital Investment S.A."/>
    <s v="13/05/2026"/>
    <s v="13/05/2026"/>
    <n v="30"/>
    <s v="No"/>
    <s v=""/>
    <m/>
    <m/>
    <s v="*MAV310801141"/>
    <s v="*MAV310801141"/>
    <n v="1.6259164477461227E-4"/>
  </r>
  <r>
    <x v="82"/>
    <s v="Pesos"/>
    <d v="2026-09-02T00:00:00"/>
    <s v="25/08/2026"/>
    <n v="0.99174002999999999"/>
    <m/>
    <n v="15000000"/>
    <n v="14876100.43"/>
    <n v="15000000"/>
    <n v="14876100.43"/>
    <n v="70219552"/>
    <s v="AMOMPY"/>
    <s v="Momentum Capital Investment S.A."/>
    <s v="02/07/2026"/>
    <s v="02/07/2026"/>
    <n v="38"/>
    <s v="No"/>
    <s v=""/>
    <m/>
    <m/>
    <s v="*MAV310801408"/>
    <s v="*MAV310801408"/>
    <n v="2.4346335958588339E-4"/>
  </r>
  <r>
    <x v="82"/>
    <s v="Pesos"/>
    <d v="2026-09-02T00:00:00"/>
    <s v="25/08/2026"/>
    <n v="0.99174002999999999"/>
    <m/>
    <n v="25000000"/>
    <n v="24793500.719999999"/>
    <n v="25000000"/>
    <n v="24793500.719999999"/>
    <n v="70219551"/>
    <s v="AMOMPY"/>
    <s v="Momentum Capital Investment S.A."/>
    <s v="02/07/2026"/>
    <s v="02/07/2026"/>
    <n v="38"/>
    <s v="No"/>
    <s v=""/>
    <m/>
    <m/>
    <s v="*MAV310801407"/>
    <s v="*MAV310801407"/>
    <n v="4.0577226603102587E-4"/>
  </r>
  <r>
    <x v="83"/>
    <s v="Pesos"/>
    <d v="2026-09-02T00:00:00"/>
    <s v="25/08/2026"/>
    <n v="0.99130907999999995"/>
    <m/>
    <n v="2000000"/>
    <n v="1982618.15"/>
    <n v="2000000"/>
    <n v="1982618.15"/>
    <n v="39"/>
    <s v="AMOMPY"/>
    <s v="Momentum Capital Investment S.A."/>
    <s v="30/03/2026"/>
    <s v="30/03/2026"/>
    <n v="40"/>
    <s v="No"/>
    <s v=""/>
    <m/>
    <m/>
    <s v="*MAV300801312"/>
    <s v="*MAV300801312"/>
    <n v="3.244767523897046E-5"/>
  </r>
  <r>
    <x v="68"/>
    <s v="Pesos"/>
    <d v="2026-09-02T00:00:00"/>
    <s v="25/08/2026"/>
    <n v="0.99130909"/>
    <m/>
    <n v="9972570.8200000003"/>
    <n v="9885900.1199999992"/>
    <n v="9972570.8200000003"/>
    <n v="9885900.1199999992"/>
    <n v="1179207"/>
    <s v="AMOMPY"/>
    <s v="Momentum Capital Investment S.A."/>
    <s v="16/04/2026"/>
    <s v="16/04/2026"/>
    <n v="40"/>
    <s v="No"/>
    <s v=""/>
    <m/>
    <m/>
    <s v="*MAV310801101"/>
    <s v="*MAV310801101"/>
    <n v="1.617933723337795E-4"/>
  </r>
  <r>
    <x v="68"/>
    <s v="Pesos"/>
    <d v="2026-09-02T00:00:00"/>
    <s v="25/08/2026"/>
    <n v="0.99130909"/>
    <m/>
    <n v="9972350.7799999993"/>
    <n v="9885682"/>
    <n v="9972350.7799999993"/>
    <n v="9885682"/>
    <n v="1179206"/>
    <s v="AMOMPY"/>
    <s v="Momentum Capital Investment S.A."/>
    <s v="16/04/2026"/>
    <s v="16/04/2026"/>
    <n v="40"/>
    <s v="No"/>
    <s v=""/>
    <m/>
    <m/>
    <s v="*MAV300801317"/>
    <s v="*MAV300801317"/>
    <n v="1.6178980256573158E-4"/>
  </r>
  <r>
    <x v="68"/>
    <s v="Pesos"/>
    <d v="2026-09-02T00:00:00"/>
    <s v="25/08/2026"/>
    <n v="0.99130909"/>
    <m/>
    <n v="9973200"/>
    <n v="9886523.8399999999"/>
    <n v="9973200"/>
    <n v="9886523.8399999999"/>
    <n v="1179205"/>
    <s v="AMOMPY"/>
    <s v="Momentum Capital Investment S.A."/>
    <s v="16/04/2026"/>
    <s v="16/04/2026"/>
    <n v="40"/>
    <s v="No"/>
    <s v=""/>
    <m/>
    <m/>
    <s v="*MAV290801169"/>
    <s v="*MAV290801169"/>
    <n v="1.618035801814178E-4"/>
  </r>
  <r>
    <x v="84"/>
    <s v="Pesos"/>
    <d v="2026-09-02T00:00:00"/>
    <s v="25/08/2026"/>
    <n v="0.99346760999999995"/>
    <m/>
    <n v="10000000"/>
    <n v="9934676.1400000006"/>
    <n v="10000000"/>
    <n v="9934676.1400000006"/>
    <n v="3463103"/>
    <s v="AMOMPY"/>
    <s v="Momentum Capital Investment S.A."/>
    <s v="17/04/2026"/>
    <s v="17/04/2026"/>
    <n v="30"/>
    <s v="No"/>
    <s v=""/>
    <m/>
    <m/>
    <s v="*MAV300801320"/>
    <s v="*MAV300801320"/>
    <n v="1.6259164428363004E-4"/>
  </r>
  <r>
    <x v="47"/>
    <s v="Pesos"/>
    <d v="2026-09-02T00:00:00"/>
    <s v="25/08/2026"/>
    <n v="0.99325140000000001"/>
    <m/>
    <n v="10000000"/>
    <n v="9932514.0399999991"/>
    <n v="10000000"/>
    <n v="9932514.0399999991"/>
    <n v="14004249"/>
    <s v="AMOMPY"/>
    <s v="Momentum Capital Investment S.A."/>
    <s v="31/07/2026"/>
    <s v="31/07/2026"/>
    <n v="31"/>
    <s v="No"/>
    <s v=""/>
    <m/>
    <m/>
    <s v="*MAV300801513"/>
    <s v="*MAV300801513"/>
    <n v="1.6255625919516295E-4"/>
  </r>
  <r>
    <x v="13"/>
    <s v="Pesos"/>
    <d v="2026-09-02T00:00:00"/>
    <s v="25/08/2026"/>
    <n v="0.99390045000000005"/>
    <m/>
    <n v="10000000"/>
    <n v="9939004.5099999998"/>
    <n v="10000000"/>
    <n v="9939004.5099999998"/>
    <n v="360561"/>
    <s v="AMOMPY"/>
    <s v="Momentum Capital Investment S.A."/>
    <s v="21/04/2026"/>
    <s v="21/04/2026"/>
    <n v="28"/>
    <s v="No"/>
    <s v=""/>
    <m/>
    <m/>
    <s v="*MOV310800090"/>
    <s v="*MOV310800090"/>
    <n v="1.6266248270709253E-4"/>
  </r>
  <r>
    <x v="50"/>
    <s v="Pesos"/>
    <d v="2026-09-02T00:00:00"/>
    <s v="25/08/2026"/>
    <n v="0.99411702000000002"/>
    <m/>
    <n v="200000000"/>
    <n v="198823403.58000001"/>
    <n v="200000000"/>
    <n v="198823403.58000001"/>
    <n v="90003878"/>
    <s v="AMOMPY"/>
    <s v="Momentum Capital Investment S.A."/>
    <s v="26/06/2026"/>
    <s v="26/06/2026"/>
    <n v="27"/>
    <s v="No"/>
    <s v=""/>
    <m/>
    <m/>
    <s v="*BIF310800004"/>
    <s v="*BIF310800004"/>
    <n v="3.2539585241215499E-3"/>
  </r>
  <r>
    <x v="10"/>
    <s v="Pesos"/>
    <d v="2026-09-02T00:00:00"/>
    <s v="25/08/2026"/>
    <n v="0.99411700999999997"/>
    <m/>
    <n v="6250000"/>
    <n v="6213231.3099999996"/>
    <n v="6250000"/>
    <n v="6213231.3099999996"/>
    <n v="1382"/>
    <s v="AMOMPY"/>
    <s v="Momentum Capital Investment S.A."/>
    <s v="25/06/2026"/>
    <s v="25/06/2026"/>
    <n v="27"/>
    <s v="No"/>
    <s v=""/>
    <m/>
    <m/>
    <s v="*MIL290800030"/>
    <s v="*MIL290800030"/>
    <n v="1.0168620302980834E-4"/>
  </r>
  <r>
    <x v="10"/>
    <s v="Pesos"/>
    <d v="2026-09-02T00:00:00"/>
    <s v="25/08/2026"/>
    <n v="0.99411700999999997"/>
    <m/>
    <n v="6250000"/>
    <n v="6213231.3099999996"/>
    <n v="6250000"/>
    <n v="6213231.3099999996"/>
    <n v="1379"/>
    <s v="AMOMPY"/>
    <s v="Momentum Capital Investment S.A."/>
    <s v="25/06/2026"/>
    <s v="25/06/2026"/>
    <n v="27"/>
    <s v="No"/>
    <s v=""/>
    <m/>
    <m/>
    <s v="*MIL290800031"/>
    <s v="*MIL290800031"/>
    <n v="1.0168620302980834E-4"/>
  </r>
  <r>
    <x v="10"/>
    <s v="Pesos"/>
    <d v="2026-09-02T00:00:00"/>
    <s v="25/08/2026"/>
    <n v="0.99411700999999997"/>
    <m/>
    <n v="6250000"/>
    <n v="6213231.3099999996"/>
    <n v="6250000"/>
    <n v="6213231.3099999996"/>
    <n v="1381"/>
    <s v="AMOMPY"/>
    <s v="Momentum Capital Investment S.A."/>
    <s v="25/06/2026"/>
    <s v="25/06/2026"/>
    <n v="27"/>
    <s v="No"/>
    <s v=""/>
    <m/>
    <m/>
    <s v="*MIL290800032"/>
    <s v="*MIL290800032"/>
    <n v="1.0168620302980834E-4"/>
  </r>
  <r>
    <x v="10"/>
    <s v="Pesos"/>
    <d v="2026-09-02T00:00:00"/>
    <s v="25/08/2026"/>
    <n v="0.99411700999999997"/>
    <m/>
    <n v="6250000"/>
    <n v="6213231.3099999996"/>
    <n v="6250000"/>
    <n v="6213231.3099999996"/>
    <n v="1380"/>
    <s v="AMOMPY"/>
    <s v="Momentum Capital Investment S.A."/>
    <s v="25/06/2026"/>
    <s v="25/06/2026"/>
    <n v="27"/>
    <s v="No"/>
    <s v=""/>
    <m/>
    <m/>
    <s v="*MIL290800033"/>
    <s v="*MIL290800033"/>
    <n v="1.0168620302980834E-4"/>
  </r>
  <r>
    <x v="10"/>
    <s v="Pesos"/>
    <d v="2026-09-02T00:00:00"/>
    <s v="25/08/2026"/>
    <n v="0.99433366999999995"/>
    <m/>
    <n v="10000000"/>
    <n v="9943336.7400000002"/>
    <n v="10000000"/>
    <n v="9943336.7400000002"/>
    <n v="68035343"/>
    <s v="AMOMPY"/>
    <s v="Momentum Capital Investment S.A."/>
    <s v="07/07/2026"/>
    <s v="07/07/2026"/>
    <n v="26"/>
    <s v="No"/>
    <s v=""/>
    <m/>
    <m/>
    <s v="*MIL310800022"/>
    <s v="*MIL310800022"/>
    <n v="1.6273338430360042E-4"/>
  </r>
  <r>
    <x v="10"/>
    <s v="Pesos"/>
    <d v="2026-09-02T00:00:00"/>
    <s v="25/08/2026"/>
    <n v="0.99433366999999995"/>
    <m/>
    <n v="25000000"/>
    <n v="24858341.850000001"/>
    <n v="25000000"/>
    <n v="24858341.850000001"/>
    <n v="2844"/>
    <s v="AMOMPY"/>
    <s v="Momentum Capital Investment S.A."/>
    <s v="07/07/2026"/>
    <s v="07/07/2026"/>
    <n v="26"/>
    <s v="No"/>
    <s v=""/>
    <m/>
    <m/>
    <s v="*MIL290800034"/>
    <s v="*MIL290800034"/>
    <n v="4.0683346075900105E-4"/>
  </r>
  <r>
    <x v="10"/>
    <s v="Pesos"/>
    <d v="2026-09-02T00:00:00"/>
    <s v="25/08/2026"/>
    <n v="0.99433368"/>
    <m/>
    <n v="12500000"/>
    <n v="12429170.939999999"/>
    <n v="12500000"/>
    <n v="12429170.939999999"/>
    <n v="189"/>
    <s v="AMOMPY"/>
    <s v="Momentum Capital Investment S.A."/>
    <s v="07/07/2026"/>
    <s v="07/07/2026"/>
    <n v="26"/>
    <s v="No"/>
    <s v=""/>
    <m/>
    <m/>
    <s v="*MIL290800035"/>
    <s v="*MIL290800035"/>
    <n v="2.0341673062499162E-4"/>
  </r>
  <r>
    <x v="34"/>
    <s v="Pesos"/>
    <d v="2026-09-02T00:00:00"/>
    <s v="25/08/2026"/>
    <n v="0.99346763000000005"/>
    <m/>
    <n v="10000000"/>
    <n v="9934676.3100000005"/>
    <n v="10000000"/>
    <n v="9934676.3100000005"/>
    <n v="578"/>
    <s v="AMOMPY"/>
    <s v="Momentum Capital Investment S.A."/>
    <s v="02/06/2026"/>
    <s v="02/06/2026"/>
    <n v="30"/>
    <s v="No"/>
    <s v=""/>
    <m/>
    <m/>
    <s v="*MAV300801345"/>
    <s v="*MAV300801345"/>
    <n v="1.6259164706586263E-4"/>
  </r>
  <r>
    <x v="15"/>
    <s v="Pesos"/>
    <d v="2026-09-02T00:00:00"/>
    <s v="25/08/2026"/>
    <n v="0.99281905999999998"/>
    <m/>
    <n v="50000000"/>
    <n v="49640953.219999999"/>
    <n v="50000000"/>
    <n v="49640953.219999999"/>
    <n v="2834"/>
    <s v="AMOMPY"/>
    <s v="Momentum Capital Investment S.A."/>
    <s v="03/06/2026"/>
    <s v="03/06/2026"/>
    <n v="33"/>
    <s v="No"/>
    <s v=""/>
    <m/>
    <m/>
    <s v="*MAV310801247"/>
    <s v="*MAV310801247"/>
    <n v="8.1242751088276134E-4"/>
  </r>
  <r>
    <x v="16"/>
    <s v="Pesos"/>
    <d v="2026-09-02T00:00:00"/>
    <s v="25/08/2026"/>
    <n v="0.99238718999999997"/>
    <m/>
    <n v="10000000"/>
    <n v="9923871.8499999996"/>
    <n v="10000000"/>
    <n v="9923871.8499999996"/>
    <n v="162"/>
    <s v="AMOMPY"/>
    <s v="Momentum Capital Investment S.A."/>
    <s v="23/04/2026"/>
    <s v="23/04/2026"/>
    <n v="35"/>
    <s v="No"/>
    <s v=""/>
    <m/>
    <m/>
    <s v="*MAV310801104"/>
    <s v="*MAV310801104"/>
    <n v="1.6241482047461383E-4"/>
  </r>
  <r>
    <x v="37"/>
    <s v="Pesos"/>
    <d v="2026-09-02T00:00:00"/>
    <s v="25/08/2026"/>
    <n v="0.99281909000000002"/>
    <m/>
    <n v="2500000"/>
    <n v="2482047.7200000002"/>
    <n v="2500000"/>
    <n v="2482047.7200000002"/>
    <n v="1199"/>
    <s v="AMOMPY"/>
    <s v="Momentum Capital Investment S.A."/>
    <s v="19/05/2026"/>
    <s v="19/05/2026"/>
    <n v="33"/>
    <s v="No"/>
    <s v=""/>
    <m/>
    <m/>
    <s v="*MAV310801175"/>
    <s v="*MAV310801175"/>
    <n v="4.062137650973643E-5"/>
  </r>
  <r>
    <x v="18"/>
    <s v="Pesos"/>
    <d v="2026-09-02T00:00:00"/>
    <s v="25/08/2026"/>
    <n v="0.99281905999999998"/>
    <m/>
    <n v="2200000"/>
    <n v="2184201.94"/>
    <n v="2200000"/>
    <n v="2184201.94"/>
    <n v="6200"/>
    <s v="AMOMPY"/>
    <s v="Momentum Capital Investment S.A."/>
    <s v="03/06/2026"/>
    <s v="03/06/2026"/>
    <n v="33"/>
    <s v="No"/>
    <s v=""/>
    <m/>
    <m/>
    <s v="*MAV310801249"/>
    <s v="*MAV310801249"/>
    <n v="3.5746810451346495E-5"/>
  </r>
  <r>
    <x v="85"/>
    <s v="Pesos"/>
    <d v="2026-09-02T00:00:00"/>
    <s v="25/08/2026"/>
    <n v="0.99346762"/>
    <m/>
    <n v="4957748.6399999997"/>
    <n v="4925362.72"/>
    <n v="4957748.6399999997"/>
    <n v="4925362.72"/>
    <n v="68735076"/>
    <s v="AMOMPY"/>
    <s v="Momentum Capital Investment S.A."/>
    <s v="04/08/2026"/>
    <s v="04/08/2026"/>
    <n v="30"/>
    <s v="No"/>
    <s v=""/>
    <m/>
    <m/>
    <s v="*MAV300801525"/>
    <s v="*MAV300801525"/>
    <n v="8.0608850460030441E-5"/>
  </r>
  <r>
    <x v="73"/>
    <s v="Pesos"/>
    <d v="2026-09-02T00:00:00"/>
    <s v="25/08/2026"/>
    <n v="0.99238720999999996"/>
    <m/>
    <n v="624000"/>
    <n v="619249.62"/>
    <n v="624000"/>
    <n v="619249.62"/>
    <n v="88186692"/>
    <s v="AMOMPY"/>
    <s v="Momentum Capital Investment S.A."/>
    <s v="19/08/2026"/>
    <s v="19/08/2026"/>
    <n v="35"/>
    <s v="No"/>
    <s v=""/>
    <m/>
    <m/>
    <s v="*MAV290801480"/>
    <s v="*MAV290801480"/>
    <n v="1.0134685068638089E-5"/>
  </r>
  <r>
    <x v="86"/>
    <s v="Pesos"/>
    <d v="2026-09-02T00:00:00"/>
    <s v="25/08/2026"/>
    <n v="0.99217137"/>
    <m/>
    <n v="5000000"/>
    <n v="4960856.8600000003"/>
    <n v="5000000"/>
    <n v="4960856.8600000003"/>
    <n v="67542727"/>
    <s v="AMOMPY"/>
    <s v="Momentum Capital Investment S.A."/>
    <s v="11/06/2026"/>
    <s v="11/06/2026"/>
    <n v="36"/>
    <s v="No"/>
    <s v=""/>
    <m/>
    <m/>
    <s v="*MAV310801293"/>
    <s v="*MAV310801293"/>
    <n v="8.1189750179730156E-5"/>
  </r>
  <r>
    <x v="87"/>
    <s v="Pesos"/>
    <d v="2026-09-02T00:00:00"/>
    <s v="25/08/2026"/>
    <n v="0.99281911"/>
    <m/>
    <n v="145500000"/>
    <n v="144455180.22999999"/>
    <n v="145500000"/>
    <n v="144455180.22999999"/>
    <n v="70390800"/>
    <s v="AMOMPY"/>
    <s v="Momentum Capital Investment S.A."/>
    <s v="16/07/2026"/>
    <s v="16/07/2026"/>
    <n v="33"/>
    <s v="No"/>
    <s v=""/>
    <m/>
    <m/>
    <s v="*MAV310801540"/>
    <s v="*MAV310801540"/>
    <n v="2.3641641607537924E-3"/>
  </r>
  <r>
    <x v="88"/>
    <s v="Pesos"/>
    <d v="2026-09-02T00:00:00"/>
    <s v="25/08/2026"/>
    <n v="0.99174004000000004"/>
    <m/>
    <n v="40000000"/>
    <n v="39669601.590000004"/>
    <n v="40000000"/>
    <n v="39669601.590000004"/>
    <n v="70379073"/>
    <s v="AMOMPY"/>
    <s v="Momentum Capital Investment S.A."/>
    <s v="22/06/2026"/>
    <s v="22/06/2026"/>
    <n v="38"/>
    <s v="No"/>
    <s v=""/>
    <m/>
    <m/>
    <s v="*MAV310801326"/>
    <s v="*MAV310801326"/>
    <n v="6.4923563281798189E-4"/>
  </r>
  <r>
    <x v="89"/>
    <s v="Pesos"/>
    <d v="2026-09-02T00:00:00"/>
    <s v="25/08/2026"/>
    <n v="0.99303516000000003"/>
    <m/>
    <n v="13000000"/>
    <n v="12909457.08"/>
    <n v="13000000"/>
    <n v="12909457.08"/>
    <n v="546"/>
    <s v="AMOMPY"/>
    <s v="Momentum Capital Investment S.A."/>
    <s v="04/06/2026"/>
    <s v="04/06/2026"/>
    <n v="32"/>
    <s v="No"/>
    <s v=""/>
    <m/>
    <m/>
    <s v="*MAV290801216"/>
    <s v="*MAV290801216"/>
    <n v="2.1127712910489998E-4"/>
  </r>
  <r>
    <x v="24"/>
    <s v="Pesos"/>
    <d v="2026-09-02T00:00:00"/>
    <s v="25/08/2026"/>
    <n v="0.99303516000000003"/>
    <m/>
    <n v="1000000"/>
    <n v="993035.16"/>
    <n v="1000000"/>
    <n v="993035.16"/>
    <n v="67277956"/>
    <s v="AMOMPY"/>
    <s v="Momentum Capital Investment S.A."/>
    <s v="04/06/2026"/>
    <s v="04/06/2026"/>
    <n v="32"/>
    <s v="No"/>
    <s v=""/>
    <m/>
    <m/>
    <s v="*MAV300801351"/>
    <s v="*MAV300801351"/>
    <n v="1.6252086854223076E-5"/>
  </r>
  <r>
    <x v="90"/>
    <s v="Pesos"/>
    <d v="2026-09-02T00:00:00"/>
    <s v="25/08/2026"/>
    <n v="0.99368403000000005"/>
    <m/>
    <n v="7169405.0599999996"/>
    <n v="7124123.29"/>
    <n v="7169405.0599999996"/>
    <n v="7124123.29"/>
    <n v="274"/>
    <s v="AMOMPY"/>
    <s v="Momentum Capital Investment S.A."/>
    <s v="30/07/2026"/>
    <s v="30/07/2026"/>
    <n v="29"/>
    <s v="No"/>
    <s v=""/>
    <m/>
    <m/>
    <s v="*MAV290801396"/>
    <s v="*MAV290801396"/>
    <n v="1.1659392852643148E-4"/>
  </r>
  <r>
    <x v="45"/>
    <s v="Pesos"/>
    <d v="2026-09-02T00:00:00"/>
    <s v="25/08/2026"/>
    <n v="0.99346763999999999"/>
    <m/>
    <n v="830000"/>
    <n v="824578.14"/>
    <n v="830000"/>
    <n v="824578.14"/>
    <n v="63"/>
    <s v="AMOMPY"/>
    <s v="Momentum Capital Investment S.A."/>
    <s v="15/07/2026"/>
    <s v="15/07/2026"/>
    <n v="30"/>
    <s v="No"/>
    <s v=""/>
    <m/>
    <m/>
    <s v="*MAV310801512"/>
    <s v="*MAV310801512"/>
    <n v="1.349510680908188E-5"/>
  </r>
  <r>
    <x v="91"/>
    <s v="Pesos"/>
    <d v="2026-09-02T00:00:00"/>
    <s v="25/08/2026"/>
    <n v="0.99346763999999999"/>
    <m/>
    <n v="2500000"/>
    <n v="2483669.09"/>
    <n v="2500000"/>
    <n v="2483669.09"/>
    <n v="381"/>
    <s v="AMOMPY"/>
    <s v="Momentum Capital Investment S.A."/>
    <s v="15/07/2026"/>
    <s v="15/07/2026"/>
    <n v="30"/>
    <s v="No"/>
    <s v=""/>
    <m/>
    <m/>
    <s v="*MAV310801513"/>
    <s v="*MAV310801513"/>
    <n v="4.0647911971041577E-5"/>
  </r>
  <r>
    <x v="92"/>
    <s v="Pesos"/>
    <d v="2026-09-03T00:00:00"/>
    <s v="25/08/2026"/>
    <n v="0.99023333999999996"/>
    <m/>
    <n v="12166667"/>
    <n v="12047839.279999999"/>
    <n v="12166667"/>
    <n v="12047839.279999999"/>
    <n v="90020550"/>
    <s v="AMOMPY"/>
    <s v="Momentum Capital Investment S.A."/>
    <s v="12/05/2026"/>
    <s v="12/05/2026"/>
    <n v="40"/>
    <s v="No"/>
    <s v=""/>
    <m/>
    <m/>
    <s v="*MAV010901143"/>
    <s v="*MAV010901143"/>
    <n v="1.9717582848152162E-4"/>
  </r>
  <r>
    <x v="93"/>
    <s v="Pesos"/>
    <d v="2026-09-03T00:00:00"/>
    <s v="25/08/2026"/>
    <n v="0.99120142"/>
    <m/>
    <n v="2067824.35"/>
    <n v="2049630.43"/>
    <n v="2067824.35"/>
    <n v="2049630.43"/>
    <n v="2201"/>
    <s v="AMOMPY"/>
    <s v="Momentum Capital Investment S.A."/>
    <s v="27/05/2026"/>
    <s v="27/05/2026"/>
    <n v="36"/>
    <s v="No"/>
    <s v=""/>
    <m/>
    <m/>
    <s v="*MAV010901183"/>
    <s v="*MAV010901183"/>
    <n v="3.3544403168381861E-5"/>
  </r>
  <r>
    <x v="8"/>
    <s v="Pesos"/>
    <d v="2026-09-03T00:00:00"/>
    <s v="25/08/2026"/>
    <n v="0.99411704999999995"/>
    <m/>
    <n v="10000000"/>
    <n v="9941170.4499999993"/>
    <n v="10000000"/>
    <n v="9941170.4499999993"/>
    <n v="4540"/>
    <s v="AMOMPY"/>
    <s v="Momentum Capital Investment S.A."/>
    <s v="17/07/2026"/>
    <s v="17/07/2026"/>
    <n v="24"/>
    <s v="No"/>
    <s v=""/>
    <m/>
    <m/>
    <s v="*INP010900047"/>
    <s v="*INP010900047"/>
    <n v="1.6269793064128352E-4"/>
  </r>
  <r>
    <x v="94"/>
    <s v="Pesos"/>
    <d v="2026-09-03T00:00:00"/>
    <s v="25/08/2026"/>
    <n v="0.99411706"/>
    <m/>
    <n v="450232.73"/>
    <n v="447584.04"/>
    <n v="450232.73"/>
    <n v="447584.04"/>
    <n v="40014070"/>
    <s v="AMOMPY"/>
    <s v="Momentum Capital Investment S.A."/>
    <s v="28/07/2026"/>
    <s v="28/07/2026"/>
    <n v="24"/>
    <s v="No"/>
    <s v=""/>
    <m/>
    <m/>
    <s v="*MAV010901513"/>
    <s v="*MAV010901513"/>
    <n v="7.325193493293888E-6"/>
  </r>
  <r>
    <x v="94"/>
    <s v="Pesos"/>
    <d v="2026-09-03T00:00:00"/>
    <s v="25/08/2026"/>
    <n v="0.99497066999999995"/>
    <m/>
    <n v="248941.88"/>
    <n v="247689.87"/>
    <n v="248941.88"/>
    <n v="247689.87"/>
    <n v="40013131"/>
    <s v="AMOMPY"/>
    <s v="Momentum Capital Investment S.A."/>
    <s v="24/06/2026"/>
    <s v="24/06/2026"/>
    <n v="20.5"/>
    <s v="No"/>
    <s v=""/>
    <m/>
    <m/>
    <s v="*MAV010901282"/>
    <s v="*MAV010901282"/>
    <n v="4.0537107267694557E-6"/>
  </r>
  <r>
    <x v="94"/>
    <s v="Pesos"/>
    <d v="2026-09-03T00:00:00"/>
    <s v="25/08/2026"/>
    <n v="0.99497064000000002"/>
    <m/>
    <n v="1236587.72"/>
    <n v="1230368.48"/>
    <n v="1236587.72"/>
    <n v="1230368.48"/>
    <n v="40013042"/>
    <s v="AMOMPY"/>
    <s v="Momentum Capital Investment S.A."/>
    <s v="24/06/2026"/>
    <s v="24/06/2026"/>
    <n v="20.5"/>
    <s v="No"/>
    <s v=""/>
    <m/>
    <m/>
    <s v="*MAV010901283"/>
    <s v="*MAV010901283"/>
    <n v="2.0136301517922516E-5"/>
  </r>
  <r>
    <x v="95"/>
    <s v="Dolar 3500"/>
    <d v="2026-09-03T00:00:00"/>
    <s v="25/08/2026"/>
    <n v="0.99754050000000005"/>
    <s v="1 US3 = 1511,5325398191 $"/>
    <n v="40000"/>
    <n v="39901.620000000003"/>
    <n v="60461301.590000004"/>
    <n v="60312597.020000003"/>
    <n v="151967"/>
    <s v="AMOMPY"/>
    <s v="Momentum Capital Investment S.A."/>
    <s v="01/06/2026"/>
    <s v="01/06/2026"/>
    <n v="10"/>
    <s v="No"/>
    <s v=""/>
    <m/>
    <m/>
    <s v="#UMV010960019"/>
    <s v="#UMV010960019"/>
    <n v="9.8708042238181766E-4"/>
  </r>
  <r>
    <x v="33"/>
    <s v="Pesos"/>
    <d v="2026-09-03T00:00:00"/>
    <s v="25/08/2026"/>
    <n v="0.99265709000000002"/>
    <m/>
    <n v="2700000"/>
    <n v="2680174.13"/>
    <n v="2700000"/>
    <n v="2680174.13"/>
    <n v="6275"/>
    <s v="AMOMPY"/>
    <s v="Momentum Capital Investment S.A."/>
    <s v="17/06/2026"/>
    <s v="17/06/2026"/>
    <n v="30"/>
    <s v="No"/>
    <s v=""/>
    <m/>
    <m/>
    <s v="*MAV010901263"/>
    <s v="*MAV010901263"/>
    <n v="4.3863927985391543E-5"/>
  </r>
  <r>
    <x v="96"/>
    <s v="Dolar 3500"/>
    <d v="2026-09-03T00:00:00"/>
    <s v="25/08/2026"/>
    <n v="0.99827699999999997"/>
    <s v="1 US3 = 1511,5325398191 $"/>
    <n v="70000"/>
    <n v="69879.39"/>
    <n v="105807277.79000001"/>
    <n v="105624971.84999999"/>
    <n v="153854"/>
    <s v="AMOMPY"/>
    <s v="Momentum Capital Investment S.A."/>
    <s v="18/06/2026"/>
    <s v="18/06/2026"/>
    <n v="7"/>
    <s v="No"/>
    <s v=""/>
    <m/>
    <m/>
    <s v="#UMV010960024"/>
    <s v="#UMV010960024"/>
    <n v="1.7286660992759484E-3"/>
  </r>
  <r>
    <x v="97"/>
    <s v="Dolar 3500"/>
    <d v="2026-09-03T00:00:00"/>
    <s v="25/08/2026"/>
    <n v="0.99827690000000002"/>
    <s v="1 US3 = 1511,5325398191 $"/>
    <n v="100000"/>
    <n v="99827.69"/>
    <n v="151153253.97999999"/>
    <n v="150892801.81"/>
    <n v="147170"/>
    <s v="AMOMPY"/>
    <s v="Momentum Capital Investment S.A."/>
    <s v="23/04/2026"/>
    <s v="23/04/2026"/>
    <n v="7"/>
    <s v="No"/>
    <s v=""/>
    <m/>
    <m/>
    <s v="#UMV010960009"/>
    <s v="#UMV010960009"/>
    <n v="2.4695227515339831E-3"/>
  </r>
  <r>
    <x v="97"/>
    <s v="Dolar 3500"/>
    <d v="2026-09-03T00:00:00"/>
    <s v="25/08/2026"/>
    <n v="0.99778599999999995"/>
    <s v="1 US3 = 1511,5325398191 $"/>
    <n v="25000"/>
    <n v="24944.65"/>
    <n v="37788313.5"/>
    <n v="37704650.170000002"/>
    <n v="150612"/>
    <s v="AMOMPY"/>
    <s v="Momentum Capital Investment S.A."/>
    <s v="19/05/2026"/>
    <s v="19/05/2026"/>
    <n v="9"/>
    <s v="No"/>
    <s v=""/>
    <m/>
    <m/>
    <s v="#UMV010960013"/>
    <s v="#UMV010960013"/>
    <n v="6.1707709258848088E-4"/>
  </r>
  <r>
    <x v="82"/>
    <s v="Pesos"/>
    <d v="2026-09-03T00:00:00"/>
    <s v="25/08/2026"/>
    <n v="0.99071715999999999"/>
    <m/>
    <n v="43500000"/>
    <n v="43096196.280000001"/>
    <n v="43500000"/>
    <n v="43096196.280000001"/>
    <n v="155472"/>
    <s v="AMOMPY"/>
    <s v="Momentum Capital Investment S.A."/>
    <s v="02/07/2026"/>
    <s v="02/07/2026"/>
    <n v="38"/>
    <s v="No"/>
    <s v=""/>
    <m/>
    <m/>
    <s v="#MAV020960040"/>
    <s v="#MAV020960040"/>
    <n v="7.053155348791531E-4"/>
  </r>
  <r>
    <x v="68"/>
    <s v="Pesos"/>
    <d v="2026-09-03T00:00:00"/>
    <s v="25/08/2026"/>
    <n v="0.99023333000000002"/>
    <m/>
    <n v="9972890.5500000007"/>
    <n v="9875488.6300000008"/>
    <n v="9972890.5500000007"/>
    <n v="9875488.6300000008"/>
    <n v="1179208"/>
    <s v="AMOMPY"/>
    <s v="Momentum Capital Investment S.A."/>
    <s v="16/04/2026"/>
    <s v="16/04/2026"/>
    <n v="40"/>
    <s v="No"/>
    <s v=""/>
    <m/>
    <m/>
    <s v="*MAV010901130"/>
    <s v="*MAV010901130"/>
    <n v="1.6162297711860724E-4"/>
  </r>
  <r>
    <x v="10"/>
    <s v="Pesos"/>
    <d v="2026-09-03T00:00:00"/>
    <s v="25/08/2026"/>
    <n v="0.99362987999999997"/>
    <m/>
    <n v="2500000"/>
    <n v="2484074.71"/>
    <n v="2500000"/>
    <n v="2484074.71"/>
    <n v="3837"/>
    <s v="AMOMPY"/>
    <s v="Momentum Capital Investment S.A."/>
    <s v="07/07/2026"/>
    <s v="07/07/2026"/>
    <n v="26"/>
    <s v="No"/>
    <s v=""/>
    <m/>
    <m/>
    <s v="*MIL010900032"/>
    <s v="*MIL010900032"/>
    <n v="4.0654550377953384E-5"/>
  </r>
  <r>
    <x v="34"/>
    <s v="Pesos"/>
    <d v="2026-09-03T00:00:00"/>
    <s v="25/08/2026"/>
    <n v="0.99265705999999998"/>
    <m/>
    <n v="4000000"/>
    <n v="3970628.25"/>
    <n v="4000000"/>
    <n v="3970628.25"/>
    <n v="857"/>
    <s v="AMOMPY"/>
    <s v="Momentum Capital Investment S.A."/>
    <s v="05/08/2026"/>
    <s v="05/08/2026"/>
    <n v="30"/>
    <s v="No"/>
    <s v=""/>
    <m/>
    <m/>
    <s v="*MAV010901617"/>
    <s v="*MAV010901617"/>
    <n v="6.4983595530325206E-5"/>
  </r>
  <r>
    <x v="34"/>
    <s v="Pesos"/>
    <d v="2026-09-03T00:00:00"/>
    <s v="25/08/2026"/>
    <n v="0.99265714000000005"/>
    <m/>
    <n v="3300000"/>
    <n v="3275768.55"/>
    <n v="3300000"/>
    <n v="3275768.55"/>
    <n v="917"/>
    <s v="AMOMPY"/>
    <s v="Momentum Capital Investment S.A."/>
    <s v="11/08/2026"/>
    <s v="11/08/2026"/>
    <n v="30"/>
    <s v="No"/>
    <s v=""/>
    <m/>
    <m/>
    <s v="*MAV010901657"/>
    <s v="*MAV010901657"/>
    <n v="5.3611470301748817E-5"/>
  </r>
  <r>
    <x v="36"/>
    <s v="Pesos"/>
    <d v="2026-09-03T00:00:00"/>
    <s v="25/08/2026"/>
    <n v="0.99338651"/>
    <m/>
    <n v="25088884.329999998"/>
    <n v="24922959.32"/>
    <n v="25088884.329999998"/>
    <n v="24922959.32"/>
    <n v="288"/>
    <s v="AMOMPY"/>
    <s v="Momentum Capital Investment S.A."/>
    <s v="01/07/2026"/>
    <s v="01/07/2026"/>
    <n v="27"/>
    <s v="No"/>
    <s v=""/>
    <m/>
    <m/>
    <s v="*NIO010900019"/>
    <s v="*NIO010900019"/>
    <n v="4.0789099505087866E-4"/>
  </r>
  <r>
    <x v="17"/>
    <s v="Pesos"/>
    <d v="2026-09-03T00:00:00"/>
    <s v="25/08/2026"/>
    <n v="0.99047518000000001"/>
    <m/>
    <n v="20000000"/>
    <n v="19809503.690000001"/>
    <n v="20000000"/>
    <n v="19809503.690000001"/>
    <n v="4318"/>
    <s v="AMOMPY"/>
    <s v="Momentum Capital Investment S.A."/>
    <s v="17/06/2026"/>
    <s v="17/06/2026"/>
    <n v="39"/>
    <s v="No"/>
    <s v=""/>
    <m/>
    <m/>
    <s v="*MAV010901262"/>
    <s v="*MAV010901262"/>
    <n v="3.2420380211807662E-4"/>
  </r>
  <r>
    <x v="18"/>
    <s v="Pesos"/>
    <d v="2026-09-03T00:00:00"/>
    <s v="25/08/2026"/>
    <n v="0.99192871000000005"/>
    <m/>
    <n v="2200000"/>
    <n v="2182243.17"/>
    <n v="2200000"/>
    <n v="2182243.17"/>
    <n v="6201"/>
    <s v="AMOMPY"/>
    <s v="Momentum Capital Investment S.A."/>
    <s v="03/06/2026"/>
    <s v="03/06/2026"/>
    <n v="33"/>
    <s v="No"/>
    <s v=""/>
    <m/>
    <m/>
    <s v="*MAV010901221"/>
    <s v="*MAV010901221"/>
    <n v="3.5714753076693769E-5"/>
  </r>
  <r>
    <x v="98"/>
    <s v="Pesos"/>
    <d v="2026-09-03T00:00:00"/>
    <s v="25/08/2026"/>
    <n v="0.99144388999999999"/>
    <m/>
    <n v="17424000"/>
    <n v="17274918.32"/>
    <n v="17424000"/>
    <n v="17274918.32"/>
    <n v="71982653"/>
    <s v="AMOMPY"/>
    <s v="Momentum Capital Investment S.A."/>
    <s v="25/08/2026"/>
    <s v="25/08/2026"/>
    <n v="35"/>
    <s v="No"/>
    <s v=""/>
    <m/>
    <m/>
    <s v="*MAV010901733"/>
    <s v="*MAV010901733"/>
    <n v="2.8272259054377226E-4"/>
  </r>
  <r>
    <x v="98"/>
    <s v="Pesos"/>
    <d v="2026-09-03T00:00:00"/>
    <s v="25/08/2026"/>
    <n v="0.99144388999999999"/>
    <m/>
    <n v="19847025"/>
    <n v="19677211.649999999"/>
    <n v="19847025"/>
    <n v="19677211.649999999"/>
    <n v="71982654"/>
    <s v="AMOMPY"/>
    <s v="Momentum Capital Investment S.A."/>
    <s v="25/08/2026"/>
    <s v="25/08/2026"/>
    <n v="35"/>
    <s v="No"/>
    <s v=""/>
    <m/>
    <m/>
    <s v="*MAV010901732"/>
    <s v="*MAV010901732"/>
    <n v="3.220387008096774E-4"/>
  </r>
  <r>
    <x v="98"/>
    <s v="Pesos"/>
    <d v="2026-09-03T00:00:00"/>
    <s v="25/08/2026"/>
    <n v="0.99144388999999999"/>
    <m/>
    <n v="22462440"/>
    <n v="22270248.870000001"/>
    <n v="22462440"/>
    <n v="22270248.870000001"/>
    <n v="71982656"/>
    <s v="AMOMPY"/>
    <s v="Momentum Capital Investment S.A."/>
    <s v="25/08/2026"/>
    <s v="25/08/2026"/>
    <n v="35"/>
    <s v="No"/>
    <s v=""/>
    <m/>
    <m/>
    <s v="*MAV010901734"/>
    <s v="*MAV010901734"/>
    <n v="3.6447653968304941E-4"/>
  </r>
  <r>
    <x v="99"/>
    <s v="Pesos"/>
    <d v="2026-09-03T00:00:00"/>
    <s v="25/08/2026"/>
    <n v="0.99192871999999999"/>
    <m/>
    <n v="16005575.67"/>
    <n v="15876390.109999999"/>
    <n v="16005575.67"/>
    <n v="15876390.109999999"/>
    <n v="30712"/>
    <s v="AMOMPY"/>
    <s v="Momentum Capital Investment S.A."/>
    <s v="27/05/2026"/>
    <s v="27/05/2026"/>
    <n v="33"/>
    <s v="No"/>
    <s v=""/>
    <m/>
    <m/>
    <s v="*MAV010901181"/>
    <s v="*MAV010901181"/>
    <n v="2.5983417445083037E-4"/>
  </r>
  <r>
    <x v="99"/>
    <s v="Pesos"/>
    <d v="2026-09-03T00:00:00"/>
    <s v="25/08/2026"/>
    <n v="0.99192871999999999"/>
    <m/>
    <n v="12080215.710000001"/>
    <n v="11982712.859999999"/>
    <n v="12080215.710000001"/>
    <n v="11982712.859999999"/>
    <n v="30702"/>
    <s v="AMOMPY"/>
    <s v="Momentum Capital Investment S.A."/>
    <s v="27/05/2026"/>
    <s v="27/05/2026"/>
    <n v="33"/>
    <s v="No"/>
    <s v=""/>
    <m/>
    <m/>
    <s v="*MAV010901180"/>
    <s v="*MAV010901180"/>
    <n v="1.9610996467631195E-4"/>
  </r>
  <r>
    <x v="99"/>
    <s v="Pesos"/>
    <d v="2026-09-03T00:00:00"/>
    <s v="25/08/2026"/>
    <n v="0.99192871999999999"/>
    <m/>
    <n v="15230335.939999999"/>
    <n v="15107407.57"/>
    <n v="15230335.939999999"/>
    <n v="15107407.57"/>
    <n v="30690"/>
    <s v="AMOMPY"/>
    <s v="Momentum Capital Investment S.A."/>
    <s v="27/05/2026"/>
    <s v="27/05/2026"/>
    <n v="33"/>
    <s v="No"/>
    <s v=""/>
    <m/>
    <m/>
    <s v="*MAV010901182"/>
    <s v="*MAV010901182"/>
    <n v="2.4724894934212318E-4"/>
  </r>
  <r>
    <x v="52"/>
    <s v="Pesos"/>
    <d v="2026-09-03T00:00:00"/>
    <s v="25/08/2026"/>
    <n v="0.9919287"/>
    <m/>
    <n v="12500000"/>
    <n v="12399108.720000001"/>
    <n v="12500000"/>
    <n v="12399108.720000001"/>
    <n v="1357"/>
    <s v="AMOMPY"/>
    <s v="Momentum Capital Investment S.A."/>
    <s v="21/05/2026"/>
    <s v="21/05/2026"/>
    <n v="33"/>
    <s v="No"/>
    <s v=""/>
    <m/>
    <m/>
    <s v="*MAV010901169"/>
    <s v="*MAV010901169"/>
    <n v="2.0292473010965163E-4"/>
  </r>
  <r>
    <x v="100"/>
    <s v="Pesos"/>
    <d v="2026-09-03T00:00:00"/>
    <s v="25/08/2026"/>
    <n v="0.99192868999999995"/>
    <m/>
    <n v="25000000"/>
    <n v="24798217.27"/>
    <n v="25000000"/>
    <n v="24798217.27"/>
    <n v="40"/>
    <s v="AMOMPY"/>
    <s v="Momentum Capital Investment S.A."/>
    <s v="03/07/2026"/>
    <s v="03/07/2026"/>
    <n v="33"/>
    <s v="No"/>
    <s v=""/>
    <m/>
    <m/>
    <s v="*MAV010901339"/>
    <s v="*MAV010901339"/>
    <n v="4.0584945743707065E-4"/>
  </r>
  <r>
    <x v="101"/>
    <s v="Pesos"/>
    <d v="2026-09-03T00:00:00"/>
    <s v="25/08/2026"/>
    <n v="0.99265711000000001"/>
    <m/>
    <n v="1500000"/>
    <n v="1488985.67"/>
    <n v="1500000"/>
    <n v="1488985.67"/>
    <n v="1964"/>
    <s v="AMOMPY"/>
    <s v="Momentum Capital Investment S.A."/>
    <s v="24/07/2026"/>
    <s v="24/07/2026"/>
    <n v="30"/>
    <s v="No"/>
    <s v=""/>
    <m/>
    <m/>
    <s v="*MAV010901500"/>
    <s v="*MAV010901500"/>
    <n v="2.4368849571785088E-5"/>
  </r>
  <r>
    <x v="102"/>
    <s v="Pesos"/>
    <d v="2026-09-04T00:00:00"/>
    <s v="25/08/2026"/>
    <n v="0.99103996999999999"/>
    <m/>
    <n v="80000000"/>
    <n v="79283197.290000007"/>
    <n v="80000000"/>
    <n v="79283197.290000007"/>
    <n v="803"/>
    <s v="AMOMPY"/>
    <s v="Momentum Capital Investment S.A."/>
    <s v="04/08/2026"/>
    <s v="04/08/2026"/>
    <n v="33"/>
    <s v="No"/>
    <s v=""/>
    <m/>
    <m/>
    <s v="*MAV020901496"/>
    <s v="*MAV020901496"/>
    <n v="1.2975546690991119E-3"/>
  </r>
  <r>
    <x v="28"/>
    <s v="Pesos"/>
    <d v="2026-09-04T00:00:00"/>
    <s v="25/08/2026"/>
    <n v="0.99103998999999998"/>
    <m/>
    <n v="200000000"/>
    <n v="198207997.74000001"/>
    <n v="200000000"/>
    <n v="198207997.74000001"/>
    <n v="16836844"/>
    <s v="AMOMPY"/>
    <s v="Momentum Capital Investment S.A."/>
    <s v="29/07/2026"/>
    <s v="29/07/2026"/>
    <n v="33"/>
    <s v="No"/>
    <s v=""/>
    <m/>
    <m/>
    <s v="*MAV020901424"/>
    <s v="*MAV020901424"/>
    <n v="3.2438867466406036E-3"/>
  </r>
  <r>
    <x v="29"/>
    <s v="Pesos"/>
    <d v="2026-09-04T00:00:00"/>
    <s v="25/08/2026"/>
    <n v="0.99292712000000005"/>
    <m/>
    <n v="10000000"/>
    <n v="9929271.1899999995"/>
    <n v="10000000"/>
    <n v="9929271.1899999995"/>
    <n v="9825610"/>
    <s v="AMOMPY"/>
    <s v="Momentum Capital Investment S.A."/>
    <s v="22/06/2026"/>
    <s v="22/06/2026"/>
    <n v="26"/>
    <s v="No"/>
    <s v=""/>
    <m/>
    <m/>
    <s v="*NEU020900019"/>
    <s v="*NEU020900019"/>
    <n v="1.6250318647228454E-4"/>
  </r>
  <r>
    <x v="92"/>
    <s v="Pesos"/>
    <d v="2026-09-04T00:00:00"/>
    <s v="25/08/2026"/>
    <n v="0.98915991000000003"/>
    <m/>
    <n v="15166667"/>
    <n v="15002258.949999999"/>
    <n v="15166667"/>
    <n v="15002258.949999999"/>
    <n v="90020551"/>
    <s v="AMOMPY"/>
    <s v="Momentum Capital Investment S.A."/>
    <s v="12/05/2026"/>
    <s v="12/05/2026"/>
    <n v="40"/>
    <s v="No"/>
    <s v=""/>
    <m/>
    <m/>
    <s v="*MAV020901153"/>
    <s v="*MAV020901153"/>
    <n v="2.4552807925244609E-4"/>
  </r>
  <r>
    <x v="103"/>
    <s v="Pesos"/>
    <d v="2026-09-04T00:00:00"/>
    <s v="25/08/2026"/>
    <n v="0.99023335000000001"/>
    <m/>
    <n v="6000000"/>
    <n v="5941400.0800000001"/>
    <n v="6000000"/>
    <n v="5941400.0800000001"/>
    <n v="160"/>
    <s v="AMOMPY"/>
    <s v="Momentum Capital Investment S.A."/>
    <s v="11/06/2026"/>
    <s v="11/06/2026"/>
    <n v="36"/>
    <s v="No"/>
    <s v=""/>
    <m/>
    <m/>
    <s v="*MAV020901218"/>
    <s v="*MAV020901218"/>
    <n v="9.72373930202511E-5"/>
  </r>
  <r>
    <x v="93"/>
    <s v="Pesos"/>
    <d v="2026-09-04T00:00:00"/>
    <s v="25/08/2026"/>
    <n v="0.99023333999999996"/>
    <m/>
    <n v="2067824.35"/>
    <n v="2047628.61"/>
    <n v="2067824.35"/>
    <n v="2047628.61"/>
    <n v="2202"/>
    <s v="AMOMPY"/>
    <s v="Momentum Capital Investment S.A."/>
    <s v="27/05/2026"/>
    <s v="27/05/2026"/>
    <n v="36"/>
    <s v="No"/>
    <s v=""/>
    <m/>
    <m/>
    <s v="*MAV020901170"/>
    <s v="*MAV020901170"/>
    <n v="3.3511641234245998E-5"/>
  </r>
  <r>
    <x v="8"/>
    <s v="Pesos"/>
    <d v="2026-09-04T00:00:00"/>
    <s v="25/08/2026"/>
    <n v="0.99346763999999999"/>
    <m/>
    <n v="10000000"/>
    <n v="9934676.3800000008"/>
    <n v="10000000"/>
    <n v="9934676.3800000008"/>
    <n v="4541"/>
    <s v="AMOMPY"/>
    <s v="Momentum Capital Investment S.A."/>
    <s v="17/07/2026"/>
    <s v="17/07/2026"/>
    <n v="24"/>
    <s v="No"/>
    <s v=""/>
    <m/>
    <m/>
    <s v="*INP020900049"/>
    <s v="*INP020900049"/>
    <n v="1.6259164821148781E-4"/>
  </r>
  <r>
    <x v="8"/>
    <s v="Pesos"/>
    <d v="2026-09-04T00:00:00"/>
    <s v="25/08/2026"/>
    <n v="0.99184782999999999"/>
    <m/>
    <n v="5000000"/>
    <n v="4959239.16"/>
    <n v="5000000"/>
    <n v="4959239.16"/>
    <n v="58"/>
    <s v="AMOMPY"/>
    <s v="Momentum Capital Investment S.A."/>
    <s v="30/04/2026"/>
    <s v="30/04/2026"/>
    <n v="30"/>
    <s v="No"/>
    <s v=""/>
    <m/>
    <m/>
    <s v="*INP020900036"/>
    <s v="*INP020900036"/>
    <n v="8.1163274781916373E-5"/>
  </r>
  <r>
    <x v="9"/>
    <s v="Pesos"/>
    <d v="2026-09-04T00:00:00"/>
    <s v="25/08/2026"/>
    <n v="0.99184788999999995"/>
    <m/>
    <n v="17883558"/>
    <n v="17737769.260000002"/>
    <n v="17883558"/>
    <n v="17737769.260000002"/>
    <n v="90044459"/>
    <s v="AMOMPY"/>
    <s v="Momentum Capital Investment S.A."/>
    <s v="22/07/2026"/>
    <s v="22/07/2026"/>
    <n v="30"/>
    <s v="No"/>
    <s v=""/>
    <m/>
    <m/>
    <s v="*MAV020901380"/>
    <s v="*MAV020901380"/>
    <n v="2.9029764325131063E-4"/>
  </r>
  <r>
    <x v="34"/>
    <s v="Pesos"/>
    <d v="2026-09-04T00:00:00"/>
    <s v="25/08/2026"/>
    <n v="0.99130912999999998"/>
    <m/>
    <n v="2000000"/>
    <n v="1982618.26"/>
    <n v="2000000"/>
    <n v="1982618.26"/>
    <n v="1004"/>
    <s v="AMOMPY"/>
    <s v="Momentum Capital Investment S.A."/>
    <s v="18/08/2026"/>
    <s v="18/08/2026"/>
    <n v="32"/>
    <s v="No"/>
    <s v=""/>
    <m/>
    <m/>
    <s v="*MAV020901610"/>
    <s v="*MAV020901610"/>
    <n v="3.2447677039238599E-5"/>
  </r>
  <r>
    <x v="82"/>
    <s v="Pesos"/>
    <d v="2026-09-04T00:00:00"/>
    <s v="25/08/2026"/>
    <n v="0.98969633999999995"/>
    <m/>
    <n v="42000000"/>
    <n v="41567246.259999998"/>
    <n v="42000000"/>
    <n v="41567246.259999998"/>
    <n v="155473"/>
    <s v="AMOMPY"/>
    <s v="Momentum Capital Investment S.A."/>
    <s v="02/07/2026"/>
    <s v="02/07/2026"/>
    <n v="38"/>
    <s v="No"/>
    <s v=""/>
    <m/>
    <m/>
    <s v="#MAV030960028"/>
    <s v="#MAV030960028"/>
    <n v="6.8029262580027812E-4"/>
  </r>
  <r>
    <x v="10"/>
    <s v="Pesos"/>
    <d v="2026-09-04T00:00:00"/>
    <s v="25/08/2026"/>
    <n v="0.99211742999999997"/>
    <m/>
    <n v="10000000"/>
    <n v="9921174.2899999991"/>
    <n v="10000000"/>
    <n v="9921174.2899999991"/>
    <n v="66613066"/>
    <s v="AMOMPY"/>
    <s v="Momentum Capital Investment S.A."/>
    <s v="30/04/2026"/>
    <s v="30/04/2026"/>
    <n v="29"/>
    <s v="No"/>
    <s v=""/>
    <m/>
    <m/>
    <s v="*MIL020900026"/>
    <s v="*MIL020900026"/>
    <n v="1.6237067200819449E-4"/>
  </r>
  <r>
    <x v="12"/>
    <s v="Pesos"/>
    <d v="2026-09-04T00:00:00"/>
    <s v="25/08/2026"/>
    <n v="0.99346763999999999"/>
    <m/>
    <n v="30000000"/>
    <n v="29804029.140000001"/>
    <n v="30000000"/>
    <n v="29804029.140000001"/>
    <n v="68395887"/>
    <s v="AMOMPY"/>
    <s v="Momentum Capital Investment S.A."/>
    <s v="17/07/2026"/>
    <s v="17/07/2026"/>
    <n v="24"/>
    <s v="No"/>
    <s v=""/>
    <m/>
    <m/>
    <s v="*PRO020900020"/>
    <s v="*PRO020900020"/>
    <n v="4.8777494463446338E-4"/>
  </r>
  <r>
    <x v="12"/>
    <s v="Pesos"/>
    <d v="2026-09-04T00:00:00"/>
    <s v="25/08/2026"/>
    <n v="0.99373811999999995"/>
    <m/>
    <n v="3750000"/>
    <n v="3726517.96"/>
    <n v="3750000"/>
    <n v="3726517.96"/>
    <n v="90022852"/>
    <s v="AMOMPY"/>
    <s v="Momentum Capital Investment S.A."/>
    <s v="21/07/2026"/>
    <s v="21/07/2026"/>
    <n v="23"/>
    <s v="No"/>
    <s v=""/>
    <m/>
    <m/>
    <s v="*PRO020900019"/>
    <s v="*PRO020900019"/>
    <n v="6.0988468474512214E-5"/>
  </r>
  <r>
    <x v="10"/>
    <s v="Pesos"/>
    <d v="2026-09-04T00:00:00"/>
    <s v="25/08/2026"/>
    <n v="0.99319729999999995"/>
    <m/>
    <n v="5000000"/>
    <n v="4965986.5"/>
    <n v="5000000"/>
    <n v="4965986.5"/>
    <n v="68370641"/>
    <s v="AMOMPY"/>
    <s v="Momentum Capital Investment S.A."/>
    <s v="20/07/2026"/>
    <s v="20/07/2026"/>
    <n v="25"/>
    <s v="No"/>
    <s v=""/>
    <m/>
    <m/>
    <s v="*MIL020900030"/>
    <s v="*MIL020900030"/>
    <n v="8.1273702247259061E-5"/>
  </r>
  <r>
    <x v="10"/>
    <s v="Pesos"/>
    <d v="2026-09-04T00:00:00"/>
    <s v="25/08/2026"/>
    <n v="0.99319729999999995"/>
    <m/>
    <n v="5000000"/>
    <n v="4965986.5"/>
    <n v="5000000"/>
    <n v="4965986.5"/>
    <n v="68370642"/>
    <s v="AMOMPY"/>
    <s v="Momentum Capital Investment S.A."/>
    <s v="20/07/2026"/>
    <s v="20/07/2026"/>
    <n v="25"/>
    <s v="No"/>
    <s v=""/>
    <m/>
    <m/>
    <s v="*MIL020900031"/>
    <s v="*MIL020900031"/>
    <n v="8.1273702247259061E-5"/>
  </r>
  <r>
    <x v="34"/>
    <s v="Pesos"/>
    <d v="2026-09-04T00:00:00"/>
    <s v="25/08/2026"/>
    <n v="0.99184786999999996"/>
    <m/>
    <n v="5000000"/>
    <n v="4959239.3499999996"/>
    <n v="5000000"/>
    <n v="4959239.3499999996"/>
    <n v="786"/>
    <s v="AMOMPY"/>
    <s v="Momentum Capital Investment S.A."/>
    <s v="14/07/2026"/>
    <s v="14/07/2026"/>
    <n v="30"/>
    <s v="No"/>
    <s v=""/>
    <m/>
    <m/>
    <s v="*MAV020901336"/>
    <s v="*MAV020901336"/>
    <n v="8.116327789147041E-5"/>
  </r>
  <r>
    <x v="34"/>
    <s v="Pesos"/>
    <d v="2026-09-04T00:00:00"/>
    <s v="25/08/2026"/>
    <n v="0.99184788000000002"/>
    <m/>
    <n v="3300000"/>
    <n v="3273098"/>
    <n v="3300000"/>
    <n v="3273098"/>
    <n v="918"/>
    <s v="AMOMPY"/>
    <s v="Momentum Capital Investment S.A."/>
    <s v="11/08/2026"/>
    <s v="11/08/2026"/>
    <n v="30"/>
    <s v="No"/>
    <s v=""/>
    <m/>
    <m/>
    <s v="*MAV020901565"/>
    <s v="*MAV020901565"/>
    <n v="5.356776388298662E-5"/>
  </r>
  <r>
    <x v="58"/>
    <s v="Dolar Link"/>
    <d v="2026-09-04T00:00:00"/>
    <s v="25/08/2026"/>
    <n v="0.99590723000000003"/>
    <s v="1 BNA = 1529,9999326800 $"/>
    <n v="51835.26"/>
    <n v="51623.11"/>
    <n v="79307944.310000002"/>
    <n v="78983354.819999993"/>
    <n v="65"/>
    <s v="AMOMPY"/>
    <s v="Momentum Capital Investment S.A."/>
    <s v="14/08/2026"/>
    <s v="14/08/2026"/>
    <n v="15"/>
    <s v="No"/>
    <s v=""/>
    <m/>
    <m/>
    <s v="%UZV030900001"/>
    <s v="%UZV030900001"/>
    <n v="1.2926474250645453E-3"/>
  </r>
  <r>
    <x v="36"/>
    <s v="Pesos"/>
    <d v="2026-09-04T00:00:00"/>
    <s v="25/08/2026"/>
    <n v="0.99252211999999995"/>
    <m/>
    <n v="25000000"/>
    <n v="24813052.989999998"/>
    <n v="25000000"/>
    <n v="24813052.989999998"/>
    <n v="318"/>
    <s v="AMOMPY"/>
    <s v="Momentum Capital Investment S.A."/>
    <s v="06/07/2026"/>
    <s v="06/07/2026"/>
    <n v="27.5"/>
    <s v="No"/>
    <s v=""/>
    <m/>
    <m/>
    <s v="*NIO020900030"/>
    <s v="*NIO020900030"/>
    <n v="4.0609225992755337E-4"/>
  </r>
  <r>
    <x v="104"/>
    <s v="Pesos"/>
    <d v="2026-09-04T00:00:00"/>
    <s v="25/08/2026"/>
    <n v="0.99130912000000004"/>
    <m/>
    <n v="1200000"/>
    <n v="1189570.94"/>
    <n v="1200000"/>
    <n v="1189570.94"/>
    <n v="10333908"/>
    <s v="AMOMPY"/>
    <s v="Momentum Capital Investment S.A."/>
    <s v="14/07/2026"/>
    <s v="14/07/2026"/>
    <n v="32"/>
    <s v="No"/>
    <s v=""/>
    <m/>
    <m/>
    <s v="*MAV020901332"/>
    <s v="*MAV020901332"/>
    <n v="1.9468605961685974E-5"/>
  </r>
  <r>
    <x v="99"/>
    <s v="Pesos"/>
    <d v="2026-09-04T00:00:00"/>
    <s v="25/08/2026"/>
    <n v="0.99103993000000001"/>
    <m/>
    <n v="16005575.68"/>
    <n v="15862164.65"/>
    <n v="16005575.68"/>
    <n v="15862164.65"/>
    <n v="30713"/>
    <s v="AMOMPY"/>
    <s v="Momentum Capital Investment S.A."/>
    <s v="27/05/2026"/>
    <s v="27/05/2026"/>
    <n v="33"/>
    <s v="No"/>
    <s v=""/>
    <m/>
    <m/>
    <s v="*MAV020901169"/>
    <s v="*MAV020901169"/>
    <n v="2.5960135952063064E-4"/>
  </r>
  <r>
    <x v="105"/>
    <s v="Pesos"/>
    <d v="2026-09-04T00:00:00"/>
    <s v="25/08/2026"/>
    <n v="0.99103995"/>
    <m/>
    <n v="16968117.52"/>
    <n v="16816082.359999999"/>
    <n v="16968117.52"/>
    <n v="16816082.359999999"/>
    <n v="10559504"/>
    <s v="AMOMPY"/>
    <s v="Momentum Capital Investment S.A."/>
    <s v="14/08/2026"/>
    <s v="14/08/2026"/>
    <n v="33"/>
    <s v="No"/>
    <s v=""/>
    <m/>
    <m/>
    <s v="*MAV020901604"/>
    <s v="*MAV020901604"/>
    <n v="2.7521324729578412E-4"/>
  </r>
  <r>
    <x v="52"/>
    <s v="Pesos"/>
    <d v="2026-09-04T00:00:00"/>
    <s v="25/08/2026"/>
    <n v="0.99050205000000002"/>
    <m/>
    <n v="16600000"/>
    <n v="16442334.109999999"/>
    <n v="16600000"/>
    <n v="16442334.109999999"/>
    <n v="29088027"/>
    <s v="AMOMPY"/>
    <s v="Momentum Capital Investment S.A."/>
    <s v="14/04/2026"/>
    <s v="14/04/2026"/>
    <n v="35"/>
    <s v="No"/>
    <s v=""/>
    <m/>
    <m/>
    <s v="*MAV020901140"/>
    <s v="*MAV020901140"/>
    <n v="2.6909645580109638E-4"/>
  </r>
  <r>
    <x v="44"/>
    <s v="Pesos"/>
    <d v="2026-09-04T00:00:00"/>
    <s v="25/08/2026"/>
    <n v="0.99184784999999998"/>
    <m/>
    <n v="5578790"/>
    <n v="5533310.8700000001"/>
    <n v="5578790"/>
    <n v="5533310.8700000001"/>
    <n v="22"/>
    <s v="AMOMPY"/>
    <s v="Momentum Capital Investment S.A."/>
    <s v="13/07/2026"/>
    <s v="13/07/2026"/>
    <n v="30"/>
    <s v="No"/>
    <s v=""/>
    <m/>
    <m/>
    <s v="*MAV020901330"/>
    <s v="*MAV020901330"/>
    <n v="9.055857483501052E-5"/>
  </r>
  <r>
    <x v="46"/>
    <s v="Pesos"/>
    <d v="2026-09-04T00:00:00"/>
    <s v="25/08/2026"/>
    <n v="0.99184786000000003"/>
    <m/>
    <n v="1579236"/>
    <n v="1566361.84"/>
    <n v="1579236"/>
    <n v="1566361.84"/>
    <n v="1555"/>
    <s v="AMOMPY"/>
    <s v="Momentum Capital Investment S.A."/>
    <s v="20/07/2026"/>
    <s v="20/07/2026"/>
    <n v="30"/>
    <s v="No"/>
    <s v=""/>
    <m/>
    <m/>
    <s v="*MAV020901363"/>
    <s v="*MAV020901363"/>
    <n v="2.5635193691249232E-5"/>
  </r>
  <r>
    <x v="102"/>
    <s v="Pesos"/>
    <d v="2026-09-07T00:00:00"/>
    <s v="25/08/2026"/>
    <n v="0.98803534999999998"/>
    <m/>
    <n v="100000000"/>
    <n v="98803534.930000007"/>
    <n v="100000000"/>
    <n v="98803534.930000007"/>
    <n v="769"/>
    <s v="AMOMPY"/>
    <s v="Momentum Capital Investment S.A."/>
    <s v="20/07/2026"/>
    <s v="20/07/2026"/>
    <n v="34"/>
    <s v="No"/>
    <s v=""/>
    <m/>
    <m/>
    <s v="*MAV030901045"/>
    <s v="*MAV030901045"/>
    <n v="1.6170259582617634E-3"/>
  </r>
  <r>
    <x v="30"/>
    <s v="Pesos"/>
    <d v="2026-09-07T00:00:00"/>
    <s v="25/08/2026"/>
    <n v="0.98664651000000003"/>
    <m/>
    <n v="4957711.8099999996"/>
    <n v="4891509.0599999996"/>
    <n v="4957711.8099999996"/>
    <n v="4891509.0599999996"/>
    <n v="598"/>
    <s v="AMOMPY"/>
    <s v="Momentum Capital Investment S.A."/>
    <s v="24/04/2026"/>
    <s v="24/04/2026"/>
    <n v="38"/>
    <s v="No"/>
    <s v=""/>
    <m/>
    <m/>
    <s v="*MAV030900796"/>
    <s v="*MAV030900796"/>
    <n v="8.0054798957308884E-5"/>
  </r>
  <r>
    <x v="106"/>
    <s v="Pesos"/>
    <d v="2026-09-07T00:00:00"/>
    <s v="25/08/2026"/>
    <n v="0.98838316999999998"/>
    <m/>
    <n v="175000000"/>
    <n v="172967055.03"/>
    <n v="175000000"/>
    <n v="172967055.03"/>
    <n v="70389146"/>
    <s v="AMOMPY"/>
    <s v="Momentum Capital Investment S.A."/>
    <s v="03/07/2026"/>
    <s v="03/07/2026"/>
    <n v="33"/>
    <s v="No"/>
    <s v=""/>
    <m/>
    <m/>
    <s v="*MAV030900962"/>
    <s v="*MAV030900962"/>
    <n v="2.8307916119170869E-3"/>
  </r>
  <r>
    <x v="93"/>
    <s v="Pesos"/>
    <d v="2026-09-07T00:00:00"/>
    <s v="25/08/2026"/>
    <n v="0.98734043000000005"/>
    <m/>
    <n v="2067824.35"/>
    <n v="2041646.59"/>
    <n v="2067824.35"/>
    <n v="2041646.59"/>
    <n v="2203"/>
    <s v="AMOMPY"/>
    <s v="Momentum Capital Investment S.A."/>
    <s v="27/05/2026"/>
    <s v="27/05/2026"/>
    <n v="36"/>
    <s v="No"/>
    <s v=""/>
    <m/>
    <m/>
    <s v="*MAV030900819"/>
    <s v="*MAV030900819"/>
    <n v="3.3413739052611563E-5"/>
  </r>
  <r>
    <x v="8"/>
    <s v="Pesos"/>
    <d v="2026-09-07T00:00:00"/>
    <s v="25/08/2026"/>
    <n v="0.99152454999999995"/>
    <m/>
    <n v="10000000"/>
    <n v="9915245.4800000004"/>
    <n v="10000000"/>
    <n v="9915245.4800000004"/>
    <n v="4542"/>
    <s v="AMOMPY"/>
    <s v="Momentum Capital Investment S.A."/>
    <s v="17/07/2026"/>
    <s v="17/07/2026"/>
    <n v="24"/>
    <s v="No"/>
    <s v=""/>
    <m/>
    <m/>
    <s v="*INP030900048"/>
    <s v="*INP030900048"/>
    <n v="1.6227364066535448E-4"/>
  </r>
  <r>
    <x v="107"/>
    <s v="Pesos"/>
    <d v="2026-09-07T00:00:00"/>
    <s v="25/08/2026"/>
    <n v="0.98768772999999999"/>
    <m/>
    <n v="30000000"/>
    <n v="29630631.920000002"/>
    <n v="30000000"/>
    <n v="29630631.920000002"/>
    <n v="451"/>
    <s v="AMOMPY"/>
    <s v="Momentum Capital Investment S.A."/>
    <s v="28/05/2026"/>
    <s v="28/05/2026"/>
    <n v="35"/>
    <s v="No"/>
    <s v=""/>
    <m/>
    <m/>
    <s v="*MAV030900826"/>
    <s v="*MAV030900826"/>
    <n v="4.8493711291084063E-4"/>
  </r>
  <r>
    <x v="47"/>
    <s v="Pesos"/>
    <d v="2026-09-07T00:00:00"/>
    <s v="25/08/2026"/>
    <n v="0.98907953999999998"/>
    <m/>
    <n v="10000000"/>
    <n v="9890795.4000000004"/>
    <n v="10000000"/>
    <n v="9890795.4000000004"/>
    <n v="14004250"/>
    <s v="AMOMPY"/>
    <s v="Momentum Capital Investment S.A."/>
    <s v="31/07/2026"/>
    <s v="31/07/2026"/>
    <n v="31"/>
    <s v="No"/>
    <s v=""/>
    <m/>
    <m/>
    <s v="*MAV030901114"/>
    <s v="*MAV030901114"/>
    <n v="1.618734888482197E-4"/>
  </r>
  <r>
    <x v="10"/>
    <s v="Pesos"/>
    <d v="2026-09-07T00:00:00"/>
    <s v="25/08/2026"/>
    <n v="0.99082468999999995"/>
    <m/>
    <n v="35000000"/>
    <n v="34678864.240000002"/>
    <n v="35000000"/>
    <n v="34678864.240000002"/>
    <n v="12165"/>
    <s v="AMOMPY"/>
    <s v="Momentum Capital Investment S.A."/>
    <s v="07/07/2026"/>
    <s v="07/07/2026"/>
    <n v="26"/>
    <s v="No"/>
    <s v=""/>
    <m/>
    <m/>
    <s v="*MIL030900020"/>
    <s v="*MIL030900020"/>
    <n v="5.6755685632952886E-4"/>
  </r>
  <r>
    <x v="10"/>
    <s v="Pesos"/>
    <d v="2026-09-07T00:00:00"/>
    <s v="25/08/2026"/>
    <n v="0.99082468999999995"/>
    <m/>
    <n v="25000000"/>
    <n v="24770617.32"/>
    <n v="25000000"/>
    <n v="24770617.32"/>
    <n v="2845"/>
    <s v="AMOMPY"/>
    <s v="Momentum Capital Investment S.A."/>
    <s v="07/07/2026"/>
    <s v="07/07/2026"/>
    <n v="26"/>
    <s v="No"/>
    <s v=""/>
    <m/>
    <m/>
    <s v="*MIL030900021"/>
    <s v="*MIL030900021"/>
    <n v="4.0539775461461249E-4"/>
  </r>
  <r>
    <x v="34"/>
    <s v="Pesos"/>
    <d v="2026-09-07T00:00:00"/>
    <s v="25/08/2026"/>
    <n v="0.98942808999999998"/>
    <m/>
    <n v="5000000"/>
    <n v="4947140.47"/>
    <n v="5000000"/>
    <n v="4947140.47"/>
    <n v="778"/>
    <s v="AMOMPY"/>
    <s v="Momentum Capital Investment S.A."/>
    <s v="14/07/2026"/>
    <s v="14/07/2026"/>
    <n v="30"/>
    <s v="No"/>
    <s v=""/>
    <m/>
    <m/>
    <s v="*MAV030901019"/>
    <s v="*MAV030901019"/>
    <n v="8.0965266726791392E-5"/>
  </r>
  <r>
    <x v="34"/>
    <s v="Pesos"/>
    <d v="2026-09-07T00:00:00"/>
    <s v="25/08/2026"/>
    <n v="0.98942810999999997"/>
    <m/>
    <n v="3300000"/>
    <n v="3265112.77"/>
    <n v="3300000"/>
    <n v="3265112.77"/>
    <n v="919"/>
    <s v="AMOMPY"/>
    <s v="Momentum Capital Investment S.A."/>
    <s v="11/08/2026"/>
    <s v="11/08/2026"/>
    <n v="30"/>
    <s v="No"/>
    <s v=""/>
    <m/>
    <m/>
    <s v="*MAV030901208"/>
    <s v="*MAV030901208"/>
    <n v="5.3437077018373541E-5"/>
  </r>
  <r>
    <x v="34"/>
    <s v="Pesos"/>
    <d v="2026-09-07T00:00:00"/>
    <s v="25/08/2026"/>
    <n v="0.98942808000000004"/>
    <m/>
    <n v="2500000"/>
    <n v="2473570.19"/>
    <n v="2500000"/>
    <n v="2473570.19"/>
    <n v="910"/>
    <s v="AMOMPY"/>
    <s v="Momentum Capital Investment S.A."/>
    <s v="10/08/2026"/>
    <s v="10/08/2026"/>
    <n v="30"/>
    <s v="No"/>
    <s v=""/>
    <m/>
    <m/>
    <s v="*MAV030901190"/>
    <s v="*MAV030901190"/>
    <n v="4.0482632626922368E-5"/>
  </r>
  <r>
    <x v="108"/>
    <s v="Pesos"/>
    <d v="2026-09-07T00:00:00"/>
    <s v="25/08/2026"/>
    <n v="0.98734043999999999"/>
    <m/>
    <n v="2333401.2200000002"/>
    <n v="2303861.39"/>
    <n v="2333401.2200000002"/>
    <n v="2303861.39"/>
    <n v="2665"/>
    <s v="AMOMPY"/>
    <s v="Momentum Capital Investment S.A."/>
    <s v="27/05/2026"/>
    <s v="27/05/2026"/>
    <n v="36"/>
    <s v="No"/>
    <s v=""/>
    <m/>
    <m/>
    <s v="*MAV030900820"/>
    <s v="*MAV030900820"/>
    <n v="3.770516585774375E-5"/>
  </r>
  <r>
    <x v="36"/>
    <s v="Pesos"/>
    <d v="2026-09-07T00:00:00"/>
    <s v="25/08/2026"/>
    <n v="0.99030052000000002"/>
    <m/>
    <n v="30000000"/>
    <n v="29709015.68"/>
    <n v="30000000"/>
    <n v="29709015.68"/>
    <n v="488"/>
    <s v="AMOMPY"/>
    <s v="Momentum Capital Investment S.A."/>
    <s v="06/07/2026"/>
    <s v="06/07/2026"/>
    <n v="27.5"/>
    <s v="No"/>
    <s v=""/>
    <m/>
    <m/>
    <s v="*NIO030900019"/>
    <s v="*NIO030900019"/>
    <n v="4.8621994732274659E-4"/>
  </r>
  <r>
    <x v="36"/>
    <s v="Pesos"/>
    <d v="2026-09-07T00:00:00"/>
    <s v="25/08/2026"/>
    <n v="0.99030052000000002"/>
    <m/>
    <n v="25000000"/>
    <n v="24757513.079999998"/>
    <n v="25000000"/>
    <n v="24757513.079999998"/>
    <n v="319"/>
    <s v="AMOMPY"/>
    <s v="Momentum Capital Investment S.A."/>
    <s v="06/07/2026"/>
    <s v="06/07/2026"/>
    <n v="27.5"/>
    <s v="No"/>
    <s v=""/>
    <m/>
    <m/>
    <s v="*NIO030900018"/>
    <s v="*NIO030900018"/>
    <n v="4.0518328965383644E-4"/>
  </r>
  <r>
    <x v="99"/>
    <s v="Pesos"/>
    <d v="2026-09-07T00:00:00"/>
    <s v="25/08/2026"/>
    <n v="0.98838314999999999"/>
    <m/>
    <n v="16005575.68"/>
    <n v="15819641.23"/>
    <n v="16005575.68"/>
    <n v="15819641.23"/>
    <n v="30714"/>
    <s v="AMOMPY"/>
    <s v="Momentum Capital Investment S.A."/>
    <s v="27/05/2026"/>
    <s v="27/05/2026"/>
    <n v="33"/>
    <s v="No"/>
    <s v=""/>
    <m/>
    <m/>
    <s v="*MAV030900818"/>
    <s v="*MAV030900818"/>
    <n v="2.5890541808470144E-4"/>
  </r>
  <r>
    <x v="109"/>
    <s v="Pesos"/>
    <d v="2026-09-07T00:00:00"/>
    <s v="25/08/2026"/>
    <n v="0.98942814000000001"/>
    <m/>
    <n v="6131725.6200000001"/>
    <n v="6066901.8799999999"/>
    <n v="6131725.6200000001"/>
    <n v="6066901.8799999999"/>
    <n v="1635460"/>
    <s v="AMOMPY"/>
    <s v="Momentum Capital Investment S.A."/>
    <s v="05/08/2026"/>
    <s v="05/08/2026"/>
    <n v="30"/>
    <s v="No"/>
    <s v=""/>
    <m/>
    <m/>
    <s v="*MAV030901139"/>
    <s v="*MAV030901139"/>
    <n v="9.9291364758735486E-5"/>
  </r>
  <r>
    <x v="110"/>
    <s v="Pesos"/>
    <d v="2026-09-07T00:00:00"/>
    <s v="25/08/2026"/>
    <n v="0.98942814000000001"/>
    <m/>
    <n v="15197573.789999999"/>
    <n v="15036907.18"/>
    <n v="15197573.789999999"/>
    <n v="15036907.18"/>
    <n v="214"/>
    <s v="AMOMPY"/>
    <s v="Momentum Capital Investment S.A."/>
    <s v="05/08/2026"/>
    <s v="05/08/2026"/>
    <n v="30"/>
    <s v="No"/>
    <s v=""/>
    <m/>
    <m/>
    <s v="*MAV030901140"/>
    <s v="*MAV030901140"/>
    <n v="2.4609513474653868E-4"/>
  </r>
  <r>
    <x v="46"/>
    <s v="Pesos"/>
    <d v="2026-09-07T00:00:00"/>
    <s v="25/08/2026"/>
    <n v="0.98942808000000004"/>
    <m/>
    <n v="1579236"/>
    <n v="1562540.44"/>
    <n v="1579236"/>
    <n v="1562540.44"/>
    <n v="1556"/>
    <s v="AMOMPY"/>
    <s v="Momentum Capital Investment S.A."/>
    <s v="20/07/2026"/>
    <s v="20/07/2026"/>
    <n v="30"/>
    <s v="No"/>
    <s v=""/>
    <m/>
    <m/>
    <s v="*MAV030901047"/>
    <s v="*MAV030901047"/>
    <n v="2.5572652376292437E-5"/>
  </r>
  <r>
    <x v="56"/>
    <s v="Pesos"/>
    <d v="2026-09-07T00:00:00"/>
    <s v="25/08/2026"/>
    <n v="0.98942806999999999"/>
    <m/>
    <n v="2870567.11"/>
    <n v="2840219.68"/>
    <n v="2870567.11"/>
    <n v="2840219.68"/>
    <n v="100"/>
    <s v="AMOMPY"/>
    <s v="Momentum Capital Investment S.A."/>
    <s v="20/07/2026"/>
    <s v="20/07/2026"/>
    <n v="30"/>
    <s v="No"/>
    <s v=""/>
    <m/>
    <m/>
    <s v="*MAV030901046"/>
    <s v="*MAV030901046"/>
    <n v="4.6483245290563199E-5"/>
  </r>
  <r>
    <x v="111"/>
    <s v="Pesos"/>
    <d v="2026-09-08T00:00:00"/>
    <s v="25/08/2026"/>
    <n v="0.98750068999999996"/>
    <m/>
    <n v="25000000"/>
    <n v="24687517.16"/>
    <n v="25000000"/>
    <n v="24687517.16"/>
    <n v="475880"/>
    <s v="AMOMPY"/>
    <s v="Momentum Capital Investment S.A."/>
    <s v="26/05/2026"/>
    <s v="26/05/2026"/>
    <n v="33"/>
    <s v="No"/>
    <s v=""/>
    <m/>
    <m/>
    <s v="*MAV040900920"/>
    <s v="*MAV040900920"/>
    <n v="4.040377312515728E-4"/>
  </r>
  <r>
    <x v="64"/>
    <s v="Pesos"/>
    <d v="2026-09-08T00:00:00"/>
    <s v="25/08/2026"/>
    <n v="0.98675323000000004"/>
    <m/>
    <n v="6283471.8200000003"/>
    <n v="6200236.1299999999"/>
    <n v="6283471.8200000003"/>
    <n v="6200236.1299999999"/>
    <n v="91"/>
    <s v="AMOMPY"/>
    <s v="Momentum Capital Investment S.A."/>
    <s v="25/08/2026"/>
    <s v="25/08/2026"/>
    <n v="35"/>
    <s v="No"/>
    <s v=""/>
    <m/>
    <m/>
    <s v="%PEP060900001"/>
    <s v="%PEP060900001"/>
    <n v="1.0147352295305632E-4"/>
  </r>
  <r>
    <x v="112"/>
    <s v="Pesos"/>
    <d v="2026-09-08T00:00:00"/>
    <s v="25/08/2026"/>
    <n v="0.98563407999999997"/>
    <m/>
    <n v="7162509.1500000004"/>
    <n v="7059613.1200000001"/>
    <n v="7162509.1500000004"/>
    <n v="7059613.1200000001"/>
    <n v="65964541"/>
    <s v="AMOMPY"/>
    <s v="Momentum Capital Investment S.A."/>
    <s v="22/04/2026"/>
    <s v="22/04/2026"/>
    <n v="38"/>
    <s v="No"/>
    <s v=""/>
    <m/>
    <m/>
    <s v="*MAV040900869"/>
    <s v="*MAV040900869"/>
    <n v="1.1553815031428771E-4"/>
  </r>
  <r>
    <x v="3"/>
    <s v="Pesos"/>
    <d v="2026-09-08T00:00:00"/>
    <s v="25/08/2026"/>
    <n v="0.98750068999999996"/>
    <m/>
    <n v="10000000"/>
    <n v="9875006.9399999995"/>
    <n v="10000000"/>
    <n v="9875006.9399999995"/>
    <n v="29692615"/>
    <s v="AMOMPY"/>
    <s v="Momentum Capital Investment S.A."/>
    <s v="16/07/2026"/>
    <s v="16/07/2026"/>
    <n v="33"/>
    <s v="No"/>
    <s v=""/>
    <m/>
    <m/>
    <s v="*MAV040901246"/>
    <s v="*MAV040901246"/>
    <n v="1.6161509374445072E-4"/>
  </r>
  <r>
    <x v="106"/>
    <s v="Pesos"/>
    <d v="2026-09-08T00:00:00"/>
    <s v="25/08/2026"/>
    <n v="0.98563405999999998"/>
    <m/>
    <n v="136000000"/>
    <n v="134046232.11"/>
    <n v="136000000"/>
    <n v="134046232.11"/>
    <n v="70397111"/>
    <s v="AMOMPY"/>
    <s v="Momentum Capital Investment S.A."/>
    <s v="23/07/2026"/>
    <s v="23/07/2026"/>
    <n v="38"/>
    <s v="No"/>
    <s v=""/>
    <m/>
    <m/>
    <s v="*MAV040901349"/>
    <s v="*MAV040901349"/>
    <n v="2.1938105461775052E-3"/>
  </r>
  <r>
    <x v="92"/>
    <s v="Pesos"/>
    <d v="2026-09-08T00:00:00"/>
    <s v="25/08/2026"/>
    <n v="0.98488938999999998"/>
    <m/>
    <n v="12166667"/>
    <n v="11982821.210000001"/>
    <n v="12166667"/>
    <n v="11982821.210000001"/>
    <n v="90020552"/>
    <s v="AMOMPY"/>
    <s v="Momentum Capital Investment S.A."/>
    <s v="12/05/2026"/>
    <s v="12/05/2026"/>
    <n v="40"/>
    <s v="No"/>
    <s v=""/>
    <m/>
    <m/>
    <s v="*MAV040900876"/>
    <s v="*MAV040900876"/>
    <n v="1.9611173794042343E-4"/>
  </r>
  <r>
    <x v="93"/>
    <s v="Pesos"/>
    <d v="2026-09-08T00:00:00"/>
    <s v="25/08/2026"/>
    <n v="0.98637987999999999"/>
    <m/>
    <n v="2067824.35"/>
    <n v="2039660.33"/>
    <n v="2067824.35"/>
    <n v="2039660.33"/>
    <n v="2204"/>
    <s v="AMOMPY"/>
    <s v="Momentum Capital Investment S.A."/>
    <s v="27/05/2026"/>
    <s v="27/05/2026"/>
    <n v="36"/>
    <s v="No"/>
    <s v=""/>
    <m/>
    <m/>
    <s v="*MAV040900923"/>
    <s v="*MAV040900923"/>
    <n v="3.3381231774586209E-5"/>
  </r>
  <r>
    <x v="8"/>
    <s v="Pesos"/>
    <d v="2026-09-08T00:00:00"/>
    <s v="25/08/2026"/>
    <n v="0.98899908000000003"/>
    <m/>
    <n v="11923076.92"/>
    <n v="11791912.109999999"/>
    <n v="11923076.92"/>
    <n v="11791912.109999999"/>
    <n v="90021986"/>
    <s v="AMOMPY"/>
    <s v="Momentum Capital Investment S.A."/>
    <s v="30/04/2026"/>
    <s v="30/04/2026"/>
    <n v="29"/>
    <s v="No"/>
    <s v=""/>
    <m/>
    <m/>
    <s v="*NEU040900012"/>
    <s v="*NEU040900012"/>
    <n v="1.9298730549388088E-4"/>
  </r>
  <r>
    <x v="65"/>
    <s v="Pesos"/>
    <d v="2026-09-08T00:00:00"/>
    <s v="25/08/2026"/>
    <n v="0.98862406999999997"/>
    <m/>
    <n v="24000000"/>
    <n v="23726977.620000001"/>
    <n v="24000000"/>
    <n v="23726977.620000001"/>
    <n v="718980"/>
    <s v="AMOMPY"/>
    <s v="Momentum Capital Investment S.A."/>
    <s v="17/04/2026"/>
    <s v="17/04/2026"/>
    <n v="30"/>
    <s v="No"/>
    <s v=""/>
    <m/>
    <m/>
    <s v="*CVA040900007"/>
    <s v="*CVA040900007"/>
    <n v="3.8831747011701693E-4"/>
  </r>
  <r>
    <x v="10"/>
    <s v="Pesos"/>
    <d v="2026-09-08T00:00:00"/>
    <s v="25/08/2026"/>
    <n v="0.98862406999999997"/>
    <m/>
    <n v="60000000"/>
    <n v="59317444.060000002"/>
    <n v="60000000"/>
    <n v="59317444.060000002"/>
    <n v="61"/>
    <s v="AMOMPY"/>
    <s v="Momentum Capital Investment S.A."/>
    <s v="05/05/2026"/>
    <s v="05/05/2026"/>
    <n v="30"/>
    <s v="No"/>
    <s v=""/>
    <m/>
    <m/>
    <s v="*MIL040900020"/>
    <s v="*MIL040900020"/>
    <n v="9.7079367545620308E-4"/>
  </r>
  <r>
    <x v="10"/>
    <s v="Pesos"/>
    <d v="2026-09-08T00:00:00"/>
    <s v="25/08/2026"/>
    <n v="0.98899908000000003"/>
    <m/>
    <n v="10000000"/>
    <n v="9889990.8300000001"/>
    <n v="10000000"/>
    <n v="9889990.8300000001"/>
    <n v="66613291"/>
    <s v="AMOMPY"/>
    <s v="Momentum Capital Investment S.A."/>
    <s v="30/04/2026"/>
    <s v="30/04/2026"/>
    <n v="29"/>
    <s v="No"/>
    <s v=""/>
    <m/>
    <m/>
    <s v="*MIL040900019"/>
    <s v="*MIL040900019"/>
    <n v="1.6186032119610929E-4"/>
  </r>
  <r>
    <x v="12"/>
    <s v="Pesos"/>
    <d v="2026-09-08T00:00:00"/>
    <s v="25/08/2026"/>
    <n v="0.99087851999999998"/>
    <m/>
    <n v="4000000"/>
    <n v="3963514.07"/>
    <n v="4000000"/>
    <n v="3963514.07"/>
    <n v="16821011"/>
    <s v="AMOMPY"/>
    <s v="Momentum Capital Investment S.A."/>
    <s v="17/07/2026"/>
    <s v="17/07/2026"/>
    <n v="24"/>
    <s v="No"/>
    <s v=""/>
    <m/>
    <m/>
    <s v="*PRO040900013"/>
    <s v="*PRO040900013"/>
    <n v="6.4867164334418131E-5"/>
  </r>
  <r>
    <x v="13"/>
    <s v="Pesos"/>
    <d v="2026-09-08T00:00:00"/>
    <s v="25/08/2026"/>
    <n v="0.98937441000000004"/>
    <m/>
    <n v="10000000"/>
    <n v="9893744.0899999999"/>
    <n v="10000000"/>
    <n v="9893744.0899999999"/>
    <n v="360562"/>
    <s v="AMOMPY"/>
    <s v="Momentum Capital Investment S.A."/>
    <s v="21/04/2026"/>
    <s v="21/04/2026"/>
    <n v="28"/>
    <s v="No"/>
    <s v=""/>
    <m/>
    <m/>
    <s v="*MOV040900048"/>
    <s v="*MOV040900048"/>
    <n v="1.6192174732678776E-4"/>
  </r>
  <r>
    <x v="10"/>
    <s v="Pesos"/>
    <d v="2026-09-08T00:00:00"/>
    <s v="25/08/2026"/>
    <n v="0.99050205999999996"/>
    <m/>
    <n v="5000000"/>
    <n v="4952510.28"/>
    <n v="5000000"/>
    <n v="4952510.28"/>
    <n v="68370667"/>
    <s v="AMOMPY"/>
    <s v="Momentum Capital Investment S.A."/>
    <s v="20/07/2026"/>
    <s v="20/07/2026"/>
    <n v="25"/>
    <s v="No"/>
    <s v=""/>
    <m/>
    <m/>
    <s v="*MIL040900025"/>
    <s v="*MIL040900025"/>
    <n v="8.1053149434298633E-5"/>
  </r>
  <r>
    <x v="10"/>
    <s v="Pesos"/>
    <d v="2026-09-08T00:00:00"/>
    <s v="25/08/2026"/>
    <n v="0.99050205999999996"/>
    <m/>
    <n v="5000000"/>
    <n v="4952510.28"/>
    <n v="5000000"/>
    <n v="4952510.28"/>
    <n v="68370666"/>
    <s v="AMOMPY"/>
    <s v="Momentum Capital Investment S.A."/>
    <s v="20/07/2026"/>
    <s v="20/07/2026"/>
    <n v="25"/>
    <s v="No"/>
    <s v=""/>
    <m/>
    <m/>
    <s v="*MIL040900024"/>
    <s v="*MIL040900024"/>
    <n v="8.1053149434298633E-5"/>
  </r>
  <r>
    <x v="10"/>
    <s v="Pesos"/>
    <d v="2026-09-08T00:00:00"/>
    <s v="25/08/2026"/>
    <n v="0.99050207000000001"/>
    <m/>
    <n v="5000000"/>
    <n v="4952510.34"/>
    <n v="5000000"/>
    <n v="4952510.34"/>
    <n v="8745"/>
    <s v="AMOMPY"/>
    <s v="Momentum Capital Investment S.A."/>
    <s v="17/07/2026"/>
    <s v="17/07/2026"/>
    <n v="25"/>
    <s v="No"/>
    <s v=""/>
    <m/>
    <m/>
    <s v="*MIL040900026"/>
    <s v="*MIL040900026"/>
    <n v="8.1053150416263061E-5"/>
  </r>
  <r>
    <x v="108"/>
    <s v="Pesos"/>
    <d v="2026-09-08T00:00:00"/>
    <s v="25/08/2026"/>
    <n v="0.98637987000000005"/>
    <m/>
    <n v="2333401.2200000002"/>
    <n v="2301620"/>
    <n v="2333401.2200000002"/>
    <n v="2301620"/>
    <n v="2664"/>
    <s v="AMOMPY"/>
    <s v="Momentum Capital Investment S.A."/>
    <s v="27/05/2026"/>
    <s v="27/05/2026"/>
    <n v="36"/>
    <s v="No"/>
    <s v=""/>
    <m/>
    <m/>
    <s v="*MAV040900922"/>
    <s v="*MAV040900922"/>
    <n v="3.7668483103273923E-5"/>
  </r>
  <r>
    <x v="113"/>
    <s v="Pesos"/>
    <d v="2026-09-08T00:00:00"/>
    <s v="25/08/2026"/>
    <n v="0.98824935999999997"/>
    <m/>
    <n v="102443728"/>
    <n v="101239948.56999999"/>
    <n v="102443728"/>
    <n v="101239948.56999999"/>
    <n v="84234635"/>
    <s v="AMOMPY"/>
    <s v="Momentum Capital Investment S.A."/>
    <s v="04/08/2026"/>
    <s v="04/08/2026"/>
    <n v="31"/>
    <s v="No"/>
    <s v=""/>
    <m/>
    <m/>
    <s v="*MAV040901500"/>
    <s v="*MAV040901500"/>
    <n v="1.6569004840440063E-3"/>
  </r>
  <r>
    <x v="36"/>
    <s v="Pesos"/>
    <d v="2026-09-08T00:00:00"/>
    <s v="25/08/2026"/>
    <n v="0.98956217999999996"/>
    <m/>
    <n v="25000000"/>
    <n v="24739054.5"/>
    <n v="25000000"/>
    <n v="24739054.5"/>
    <n v="320"/>
    <s v="AMOMPY"/>
    <s v="Momentum Capital Investment S.A."/>
    <s v="06/07/2026"/>
    <s v="06/07/2026"/>
    <n v="27.5"/>
    <s v="No"/>
    <s v=""/>
    <m/>
    <m/>
    <s v="*NIO040900021"/>
    <s v="*NIO040900021"/>
    <n v="4.0488119516871713E-4"/>
  </r>
  <r>
    <x v="36"/>
    <s v="Pesos"/>
    <d v="2026-09-08T00:00:00"/>
    <s v="25/08/2026"/>
    <n v="0.98956217999999996"/>
    <m/>
    <n v="30000000"/>
    <n v="29686865.399999999"/>
    <n v="30000000"/>
    <n v="29686865.399999999"/>
    <n v="489"/>
    <s v="AMOMPY"/>
    <s v="Momentum Capital Investment S.A."/>
    <s v="06/07/2026"/>
    <s v="06/07/2026"/>
    <n v="27.5"/>
    <s v="No"/>
    <s v=""/>
    <m/>
    <m/>
    <s v="*NIO040900020"/>
    <s v="*NIO040900020"/>
    <n v="4.8585743420246052E-4"/>
  </r>
  <r>
    <x v="99"/>
    <s v="Pesos"/>
    <d v="2026-09-08T00:00:00"/>
    <s v="25/08/2026"/>
    <n v="0.98750070000000001"/>
    <m/>
    <n v="16005575.68"/>
    <n v="15805517.16"/>
    <n v="16005575.68"/>
    <n v="15805517.16"/>
    <n v="30715"/>
    <s v="AMOMPY"/>
    <s v="Momentum Capital Investment S.A."/>
    <s v="27/05/2026"/>
    <s v="27/05/2026"/>
    <n v="33"/>
    <s v="No"/>
    <s v=""/>
    <m/>
    <m/>
    <s v="*MAV040900921"/>
    <s v="*MAV040900921"/>
    <n v="2.5867426251073854E-4"/>
  </r>
  <r>
    <x v="21"/>
    <s v="Pesos"/>
    <d v="2026-09-08T00:00:00"/>
    <s v="25/08/2026"/>
    <n v="0.98862410000000001"/>
    <m/>
    <n v="4508790.7699999996"/>
    <n v="4457499.22"/>
    <n v="4508790.7699999996"/>
    <n v="4457499.22"/>
    <n v="1"/>
    <s v="AMOMPY"/>
    <s v="Momentum Capital Investment S.A."/>
    <s v="04/08/2026"/>
    <s v="04/08/2026"/>
    <n v="30"/>
    <s v="No"/>
    <s v=""/>
    <m/>
    <m/>
    <s v="*MAV040901484"/>
    <s v="*MAV040901484"/>
    <n v="7.2951761824900147E-5"/>
  </r>
  <r>
    <x v="109"/>
    <s v="Pesos"/>
    <d v="2026-09-08T00:00:00"/>
    <s v="25/08/2026"/>
    <n v="0.98862413999999998"/>
    <m/>
    <n v="3068102.81"/>
    <n v="3033200.49"/>
    <n v="3068102.81"/>
    <n v="3033200.49"/>
    <n v="1635462"/>
    <s v="AMOMPY"/>
    <s v="Momentum Capital Investment S.A."/>
    <s v="05/08/2026"/>
    <s v="05/08/2026"/>
    <n v="30"/>
    <s v="No"/>
    <s v=""/>
    <m/>
    <m/>
    <s v="*MAV040901511"/>
    <s v="*MAV040901511"/>
    <n v="4.9641583496149314E-5"/>
  </r>
  <r>
    <x v="114"/>
    <s v="Pesos"/>
    <d v="2026-09-08T00:00:00"/>
    <s v="25/08/2026"/>
    <n v="0.99163232000000001"/>
    <m/>
    <n v="5100000"/>
    <n v="5057324.82"/>
    <n v="5100000"/>
    <n v="5057324.82"/>
    <n v="1"/>
    <s v="AMOMPY"/>
    <s v="Momentum Capital Investment S.A."/>
    <s v="05/08/2026"/>
    <s v="05/08/2026"/>
    <n v="22"/>
    <s v="No"/>
    <s v=""/>
    <m/>
    <m/>
    <s v="*MAV040901520"/>
    <s v="*MAV040901520"/>
    <n v="8.2768551945993621E-5"/>
  </r>
  <r>
    <x v="73"/>
    <s v="Pesos"/>
    <d v="2026-09-08T00:00:00"/>
    <s v="25/08/2026"/>
    <n v="0.98712707"/>
    <m/>
    <n v="450000"/>
    <n v="444207.18"/>
    <n v="450000"/>
    <n v="444207.18"/>
    <n v="88191682"/>
    <s v="AMOMPY"/>
    <s v="Momentum Capital Investment S.A."/>
    <s v="24/08/2026"/>
    <s v="24/08/2026"/>
    <n v="34"/>
    <s v="No"/>
    <s v=""/>
    <m/>
    <m/>
    <s v="*MAV040901770"/>
    <s v="*MAV040901770"/>
    <n v="7.2699275528466717E-6"/>
  </r>
  <r>
    <x v="88"/>
    <s v="Pesos"/>
    <d v="2026-09-08T00:00:00"/>
    <s v="25/08/2026"/>
    <n v="0.98563409000000002"/>
    <m/>
    <n v="60000000"/>
    <n v="59138045.280000001"/>
    <n v="60000000"/>
    <n v="59138045.280000001"/>
    <n v="70379068"/>
    <s v="AMOMPY"/>
    <s v="Momentum Capital Investment S.A."/>
    <s v="22/06/2026"/>
    <s v="22/06/2026"/>
    <n v="38"/>
    <s v="No"/>
    <s v=""/>
    <m/>
    <m/>
    <s v="*MAV040901072"/>
    <s v="*MAV040901072"/>
    <n v="9.6785762175786104E-4"/>
  </r>
  <r>
    <x v="115"/>
    <s v="Pesos"/>
    <d v="2026-09-08T00:00:00"/>
    <s v="25/08/2026"/>
    <n v="0.99163226999999998"/>
    <m/>
    <n v="8778036.6500000004"/>
    <n v="8704584.4299999997"/>
    <n v="8778036.6500000004"/>
    <n v="8704584.4299999997"/>
    <n v="5"/>
    <s v="AMOMPY"/>
    <s v="Momentum Capital Investment S.A."/>
    <s v="20/07/2026"/>
    <s v="20/07/2026"/>
    <n v="22"/>
    <s v="No"/>
    <s v=""/>
    <m/>
    <m/>
    <s v="%INC070900025"/>
    <s v="%INC070900025"/>
    <n v="1.4245987240399209E-4"/>
  </r>
  <r>
    <x v="115"/>
    <s v="Pesos"/>
    <d v="2026-09-08T00:00:00"/>
    <s v="25/08/2026"/>
    <n v="0.99163226999999998"/>
    <m/>
    <n v="65327733.979999997"/>
    <n v="64781089.270000003"/>
    <n v="65327733.979999997"/>
    <n v="64781089.270000003"/>
    <n v="57"/>
    <s v="AMOMPY"/>
    <s v="Momentum Capital Investment S.A."/>
    <s v="20/07/2026"/>
    <s v="20/07/2026"/>
    <n v="22"/>
    <s v="No"/>
    <s v=""/>
    <m/>
    <m/>
    <s v="%INC070900026"/>
    <s v="%INC070900026"/>
    <n v="1.0602120969485295E-3"/>
  </r>
  <r>
    <x v="115"/>
    <s v="Pesos"/>
    <d v="2026-09-08T00:00:00"/>
    <s v="25/08/2026"/>
    <n v="0.99106685000000005"/>
    <m/>
    <n v="35146141.060000002"/>
    <n v="34832175.369999997"/>
    <n v="35146141.060000002"/>
    <n v="34832175.369999997"/>
    <n v="86"/>
    <s v="AMOMPY"/>
    <s v="Momentum Capital Investment S.A."/>
    <s v="17/07/2026"/>
    <s v="17/07/2026"/>
    <n v="23.5"/>
    <s v="No"/>
    <s v=""/>
    <m/>
    <m/>
    <s v="%INC060900033"/>
    <s v="%INC060900033"/>
    <n v="5.7006595761903314E-4"/>
  </r>
  <r>
    <x v="116"/>
    <s v="Pesos"/>
    <d v="2026-09-08T00:00:00"/>
    <s v="25/08/2026"/>
    <n v="0.98675321000000005"/>
    <m/>
    <n v="30000000"/>
    <n v="29602596.280000001"/>
    <n v="30000000"/>
    <n v="29602596.280000001"/>
    <n v="306"/>
    <s v="AMOMPY"/>
    <s v="Momentum Capital Investment S.A."/>
    <s v="11/06/2026"/>
    <s v="11/06/2026"/>
    <n v="35"/>
    <s v="No"/>
    <s v=""/>
    <m/>
    <m/>
    <s v="*MAV040901049"/>
    <s v="*MAV040901049"/>
    <n v="4.844782795536272E-4"/>
  </r>
  <r>
    <x v="74"/>
    <s v="Pesos"/>
    <d v="2026-09-08T00:00:00"/>
    <s v="25/08/2026"/>
    <n v="0.98862412"/>
    <m/>
    <n v="2500000"/>
    <n v="2471560.31"/>
    <n v="2500000"/>
    <n v="2471560.31"/>
    <n v="345"/>
    <s v="AMOMPY"/>
    <s v="Momentum Capital Investment S.A."/>
    <s v="15/07/2026"/>
    <s v="15/07/2026"/>
    <n v="30"/>
    <s v="No"/>
    <s v=""/>
    <m/>
    <m/>
    <s v="*MAV040901239"/>
    <s v="*MAV040901239"/>
    <n v="4.044973878223054E-5"/>
  </r>
  <r>
    <x v="46"/>
    <s v="Pesos"/>
    <d v="2026-09-08T00:00:00"/>
    <s v="25/08/2026"/>
    <n v="0.98862408000000002"/>
    <m/>
    <n v="1579236"/>
    <n v="1561270.73"/>
    <n v="1579236"/>
    <n v="1561270.73"/>
    <n v="1557"/>
    <s v="AMOMPY"/>
    <s v="Momentum Capital Investment S.A."/>
    <s v="20/07/2026"/>
    <s v="20/07/2026"/>
    <n v="30"/>
    <s v="No"/>
    <s v=""/>
    <m/>
    <m/>
    <s v="*MAV040901295"/>
    <s v="*MAV040901295"/>
    <n v="2.5551872208549258E-5"/>
  </r>
  <r>
    <x v="0"/>
    <s v="Pesos"/>
    <d v="2026-09-09T00:00:00"/>
    <s v="25/08/2026"/>
    <n v="0.98782139999999996"/>
    <m/>
    <n v="2000000"/>
    <n v="1975642.8"/>
    <n v="2000000"/>
    <n v="1975642.8"/>
    <n v="9804"/>
    <s v="AMOMPY"/>
    <s v="Momentum Capital Investment S.A."/>
    <s v="04/08/2026"/>
    <s v="04/08/2026"/>
    <n v="30"/>
    <s v="No"/>
    <s v=""/>
    <m/>
    <m/>
    <s v="*MAV050901433"/>
    <s v="*MAV050901433"/>
    <n v="3.233351614510857E-5"/>
  </r>
  <r>
    <x v="0"/>
    <s v="Pesos"/>
    <d v="2026-09-09T00:00:00"/>
    <s v="25/08/2026"/>
    <n v="0.98782139000000002"/>
    <m/>
    <n v="2200000"/>
    <n v="2173207.0499999998"/>
    <n v="2200000"/>
    <n v="2173207.0499999998"/>
    <n v="9790"/>
    <s v="AMOMPY"/>
    <s v="Momentum Capital Investment S.A."/>
    <s v="13/07/2026"/>
    <s v="13/07/2026"/>
    <n v="30"/>
    <s v="No"/>
    <s v=""/>
    <m/>
    <m/>
    <s v="*MAV060901037"/>
    <s v="*MAV060901037"/>
    <n v="3.55668672686372E-5"/>
  </r>
  <r>
    <x v="111"/>
    <s v="Pesos"/>
    <d v="2026-09-09T00:00:00"/>
    <s v="25/08/2026"/>
    <n v="0.98702000999999995"/>
    <m/>
    <n v="25000000"/>
    <n v="24675500.300000001"/>
    <n v="25000000"/>
    <n v="24675500.300000001"/>
    <n v="475878"/>
    <s v="AMOMPY"/>
    <s v="Momentum Capital Investment S.A."/>
    <s v="08/05/2026"/>
    <s v="08/05/2026"/>
    <n v="32"/>
    <s v="No"/>
    <s v=""/>
    <m/>
    <m/>
    <s v="*MAV050901234"/>
    <s v="*MAV050901234"/>
    <n v="4.0384106243227842E-4"/>
  </r>
  <r>
    <x v="117"/>
    <s v="Pesos"/>
    <d v="2026-09-09T00:00:00"/>
    <s v="25/08/2026"/>
    <n v="0.98782143"/>
    <m/>
    <n v="8998754.6099999994"/>
    <n v="8889162.6699999999"/>
    <n v="8998754.6099999994"/>
    <n v="8889162.6699999999"/>
    <n v="7233"/>
    <s v="AMOMPY"/>
    <s v="Momentum Capital Investment S.A."/>
    <s v="05/08/2026"/>
    <s v="05/08/2026"/>
    <n v="30"/>
    <s v="No"/>
    <s v=""/>
    <m/>
    <m/>
    <s v="*MAV050901442"/>
    <s v="*MAV050901442"/>
    <n v="1.4548069352766672E-4"/>
  </r>
  <r>
    <x v="118"/>
    <s v="Pesos"/>
    <d v="2026-09-09T00:00:00"/>
    <s v="25/08/2026"/>
    <n v="0.98462371000000004"/>
    <m/>
    <n v="7133529.1399999997"/>
    <n v="7023841.9199999999"/>
    <n v="7133529.1399999997"/>
    <n v="7023841.9199999999"/>
    <n v="90000168"/>
    <s v="AMOMPY"/>
    <s v="Momentum Capital Investment S.A."/>
    <s v="22/04/2026"/>
    <s v="22/04/2026"/>
    <n v="38"/>
    <s v="No"/>
    <s v=""/>
    <m/>
    <m/>
    <s v="*MAV050901228"/>
    <s v="*MAV050901228"/>
    <n v="1.1495271621014201E-4"/>
  </r>
  <r>
    <x v="92"/>
    <s v="Pesos"/>
    <d v="2026-09-09T00:00:00"/>
    <s v="25/08/2026"/>
    <n v="0.98382749999999997"/>
    <m/>
    <n v="15166667"/>
    <n v="14921384.07"/>
    <n v="15166667"/>
    <n v="14921384.07"/>
    <n v="90020553"/>
    <s v="AMOMPY"/>
    <s v="Momentum Capital Investment S.A."/>
    <s v="12/05/2026"/>
    <s v="11/05/2026"/>
    <n v="40"/>
    <s v="No"/>
    <s v=""/>
    <m/>
    <m/>
    <s v="*MAV070900746"/>
    <s v="*MAV070900746"/>
    <n v="2.4420447498642506E-4"/>
  </r>
  <r>
    <x v="33"/>
    <s v="Pesos"/>
    <d v="2026-09-09T00:00:00"/>
    <s v="25/08/2026"/>
    <n v="0.98782143"/>
    <m/>
    <n v="2700000"/>
    <n v="2667117.87"/>
    <n v="2700000"/>
    <n v="2667117.87"/>
    <n v="6276"/>
    <s v="AMOMPY"/>
    <s v="Momentum Capital Investment S.A."/>
    <s v="17/06/2026"/>
    <s v="17/06/2026"/>
    <n v="30"/>
    <s v="No"/>
    <s v=""/>
    <m/>
    <m/>
    <s v="*MAV060901016"/>
    <s v="*MAV060901016"/>
    <n v="4.3650248268843225E-5"/>
  </r>
  <r>
    <x v="34"/>
    <s v="Pesos"/>
    <d v="2026-09-09T00:00:00"/>
    <s v="25/08/2026"/>
    <n v="0.98702022"/>
    <m/>
    <n v="2000000"/>
    <n v="1974040.44"/>
    <n v="2000000"/>
    <n v="1974040.44"/>
    <n v="1005"/>
    <s v="AMOMPY"/>
    <s v="Momentum Capital Investment S.A."/>
    <s v="18/08/2026"/>
    <s v="18/08/2026"/>
    <n v="32"/>
    <s v="No"/>
    <s v=""/>
    <m/>
    <m/>
    <s v="*MAV070901303"/>
    <s v="*MAV070901303"/>
    <n v="3.2307291802869032E-5"/>
  </r>
  <r>
    <x v="49"/>
    <s v="Pesos"/>
    <d v="2026-09-09T00:00:00"/>
    <s v="25/08/2026"/>
    <n v="0.98661982000000004"/>
    <m/>
    <n v="5000000"/>
    <n v="4933099.1100000003"/>
    <n v="5000000"/>
    <n v="4933099.1100000003"/>
    <n v="3817583"/>
    <s v="AMOMPY"/>
    <s v="Momentum Capital Investment S.A."/>
    <s v="11/08/2026"/>
    <s v="11/08/2026"/>
    <n v="33"/>
    <s v="No"/>
    <s v=""/>
    <m/>
    <m/>
    <s v="*MAV050901514"/>
    <s v="*MAV050901514"/>
    <n v="8.0735464790804144E-5"/>
  </r>
  <r>
    <x v="47"/>
    <s v="Pesos"/>
    <d v="2026-09-09T00:00:00"/>
    <s v="25/08/2026"/>
    <n v="0.98742054000000001"/>
    <m/>
    <n v="10000000"/>
    <n v="9874205.3900000006"/>
    <n v="10000000"/>
    <n v="9874205.3900000006"/>
    <n v="14004251"/>
    <s v="AMOMPY"/>
    <s v="Momentum Capital Investment S.A."/>
    <s v="31/07/2026"/>
    <s v="31/07/2026"/>
    <n v="31"/>
    <s v="No"/>
    <s v=""/>
    <m/>
    <m/>
    <s v="*MAV070901136"/>
    <s v="*MAV070901136"/>
    <n v="1.6160197551788364E-4"/>
  </r>
  <r>
    <x v="10"/>
    <s v="Pesos"/>
    <d v="2026-09-09T00:00:00"/>
    <s v="25/08/2026"/>
    <n v="0.98822257999999996"/>
    <m/>
    <n v="10000000"/>
    <n v="9882225.8000000007"/>
    <n v="10000000"/>
    <n v="9882225.8000000007"/>
    <n v="66613416"/>
    <s v="AMOMPY"/>
    <s v="Momentum Capital Investment S.A."/>
    <s v="30/04/2026"/>
    <s v="30/04/2026"/>
    <n v="29"/>
    <s v="No"/>
    <s v=""/>
    <m/>
    <m/>
    <s v="*MIL070900021"/>
    <s v="*MIL070900021"/>
    <n v="1.6173323814097794E-4"/>
  </r>
  <r>
    <x v="12"/>
    <s v="Pesos"/>
    <d v="2026-09-09T00:00:00"/>
    <s v="25/08/2026"/>
    <n v="0.98902588999999996"/>
    <m/>
    <n v="10000000"/>
    <n v="9890258.9299999997"/>
    <n v="10000000"/>
    <n v="9890258.9299999997"/>
    <n v="67936427"/>
    <s v="AMOMPY"/>
    <s v="Momentum Capital Investment S.A."/>
    <s v="29/06/2026"/>
    <s v="29/06/2026"/>
    <n v="27"/>
    <s v="No"/>
    <s v=""/>
    <m/>
    <m/>
    <s v="*PRO070900009"/>
    <s v="*PRO070900009"/>
    <n v="1.6186470894053275E-4"/>
  </r>
  <r>
    <x v="12"/>
    <s v="Pesos"/>
    <d v="2026-09-09T00:00:00"/>
    <s v="25/08/2026"/>
    <n v="0.99023331999999997"/>
    <m/>
    <n v="3000000"/>
    <n v="2970699.96"/>
    <n v="3000000"/>
    <n v="2970699.96"/>
    <n v="918075"/>
    <s v="AMOMPY"/>
    <s v="Momentum Capital Investment S.A."/>
    <s v="13/07/2026"/>
    <s v="13/07/2026"/>
    <n v="24"/>
    <s v="No"/>
    <s v=""/>
    <m/>
    <m/>
    <s v="*PRO070900026"/>
    <s v="*PRO070900026"/>
    <n v="4.8618695200839632E-5"/>
  </r>
  <r>
    <x v="12"/>
    <s v="Pesos"/>
    <d v="2026-09-09T00:00:00"/>
    <s v="25/08/2026"/>
    <n v="0.98983056999999997"/>
    <m/>
    <n v="25000000"/>
    <n v="24745764.27"/>
    <n v="25000000"/>
    <n v="24745764.27"/>
    <n v="6532"/>
    <s v="AMOMPY"/>
    <s v="Momentum Capital Investment S.A."/>
    <s v="16/07/2026"/>
    <s v="16/07/2026"/>
    <n v="25"/>
    <s v="No"/>
    <s v=""/>
    <m/>
    <m/>
    <s v="*PRO070900027"/>
    <s v="*PRO070900027"/>
    <n v="4.0499100776066185E-4"/>
  </r>
  <r>
    <x v="12"/>
    <s v="Pesos"/>
    <d v="2026-09-09T00:00:00"/>
    <s v="25/08/2026"/>
    <n v="0.98983056999999997"/>
    <m/>
    <n v="25000000"/>
    <n v="24745764.27"/>
    <n v="25000000"/>
    <n v="24745764.27"/>
    <n v="6533"/>
    <s v="AMOMPY"/>
    <s v="Momentum Capital Investment S.A."/>
    <s v="16/07/2026"/>
    <s v="16/07/2026"/>
    <n v="25"/>
    <s v="No"/>
    <s v=""/>
    <m/>
    <m/>
    <s v="*PRO070900028"/>
    <s v="*PRO070900028"/>
    <n v="4.0499100776066185E-4"/>
  </r>
  <r>
    <x v="10"/>
    <s v="Pesos"/>
    <d v="2026-09-09T00:00:00"/>
    <s v="25/08/2026"/>
    <n v="0.98983051"/>
    <m/>
    <n v="5000000"/>
    <n v="4949152.5599999996"/>
    <n v="5000000"/>
    <n v="4949152.5599999996"/>
    <n v="68370685"/>
    <s v="AMOMPY"/>
    <s v="Momentum Capital Investment S.A."/>
    <s v="20/07/2026"/>
    <s v="20/07/2026"/>
    <n v="25"/>
    <s v="No"/>
    <s v=""/>
    <m/>
    <m/>
    <s v="*MIL060900039"/>
    <s v="*MIL060900039"/>
    <n v="8.099819674050663E-5"/>
  </r>
  <r>
    <x v="10"/>
    <s v="Pesos"/>
    <d v="2026-09-09T00:00:00"/>
    <s v="25/08/2026"/>
    <n v="0.98983051"/>
    <m/>
    <n v="5000000"/>
    <n v="4949152.5599999996"/>
    <n v="5000000"/>
    <n v="4949152.5599999996"/>
    <n v="68370686"/>
    <s v="AMOMPY"/>
    <s v="Momentum Capital Investment S.A."/>
    <s v="20/07/2026"/>
    <s v="20/07/2026"/>
    <n v="25"/>
    <s v="No"/>
    <s v=""/>
    <m/>
    <m/>
    <s v="*MIL060900038"/>
    <s v="*MIL060900038"/>
    <n v="8.099819674050663E-5"/>
  </r>
  <r>
    <x v="34"/>
    <s v="Pesos"/>
    <d v="2026-09-09T00:00:00"/>
    <s v="25/08/2026"/>
    <n v="0.98782141000000001"/>
    <m/>
    <n v="5000000"/>
    <n v="4939107.04"/>
    <n v="5000000"/>
    <n v="4939107.04"/>
    <n v="682"/>
    <s v="AMOMPY"/>
    <s v="Momentum Capital Investment S.A."/>
    <s v="26/06/2026"/>
    <s v="26/06/2026"/>
    <n v="30"/>
    <s v="No"/>
    <s v=""/>
    <m/>
    <m/>
    <s v="*MAV070900898"/>
    <s v="*MAV070900898"/>
    <n v="8.0833791017414375E-5"/>
  </r>
  <r>
    <x v="108"/>
    <s v="Pesos"/>
    <d v="2026-09-09T00:00:00"/>
    <s v="25/08/2026"/>
    <n v="0.98542116999999996"/>
    <m/>
    <n v="2333401.2200000002"/>
    <n v="2299382.96"/>
    <n v="2333401.2200000002"/>
    <n v="2299382.96"/>
    <n v="2663"/>
    <s v="AMOMPY"/>
    <s v="Momentum Capital Investment S.A."/>
    <s v="27/05/2026"/>
    <s v="27/05/2026"/>
    <n v="36"/>
    <s v="No"/>
    <s v=""/>
    <m/>
    <m/>
    <s v="*MAV050901245"/>
    <s v="*MAV050901245"/>
    <n v="3.7631871541225737E-5"/>
  </r>
  <r>
    <x v="36"/>
    <s v="Pesos"/>
    <d v="2026-09-09T00:00:00"/>
    <s v="25/08/2026"/>
    <n v="0.98882493999999999"/>
    <m/>
    <n v="25000000"/>
    <n v="24720623.399999999"/>
    <n v="25000000"/>
    <n v="24720623.399999999"/>
    <n v="321"/>
    <s v="AMOMPY"/>
    <s v="Momentum Capital Investment S.A."/>
    <s v="06/07/2026"/>
    <s v="06/07/2026"/>
    <n v="27.5"/>
    <s v="No"/>
    <s v=""/>
    <m/>
    <m/>
    <s v="*NIO070900020"/>
    <s v="*NIO070900020"/>
    <n v="4.045795504233096E-4"/>
  </r>
  <r>
    <x v="51"/>
    <s v="Pesos"/>
    <d v="2026-09-09T00:00:00"/>
    <s v="25/08/2026"/>
    <n v="0.98661984000000003"/>
    <m/>
    <n v="5000000"/>
    <n v="4933099.1900000004"/>
    <n v="5000000"/>
    <n v="4933099.1900000004"/>
    <n v="900"/>
    <s v="AMOMPY"/>
    <s v="Momentum Capital Investment S.A."/>
    <s v="28/07/2026"/>
    <s v="28/07/2026"/>
    <n v="33"/>
    <s v="No"/>
    <s v=""/>
    <m/>
    <m/>
    <s v="*MAV070901087"/>
    <s v="*MAV070901087"/>
    <n v="8.0735466100090062E-5"/>
  </r>
  <r>
    <x v="99"/>
    <s v="Pesos"/>
    <d v="2026-09-09T00:00:00"/>
    <s v="25/08/2026"/>
    <n v="0.98661982000000004"/>
    <m/>
    <n v="16005575.68"/>
    <n v="15791418.26"/>
    <n v="16005575.68"/>
    <n v="15791418.26"/>
    <n v="30716"/>
    <s v="AMOMPY"/>
    <s v="Momentum Capital Investment S.A."/>
    <s v="27/05/2026"/>
    <s v="27/05/2026"/>
    <n v="33"/>
    <s v="No"/>
    <s v=""/>
    <m/>
    <m/>
    <s v="*MAV070900791"/>
    <s v="*MAV070900791"/>
    <n v="2.5844351887085673E-4"/>
  </r>
  <r>
    <x v="119"/>
    <s v="Pesos"/>
    <d v="2026-09-09T00:00:00"/>
    <s v="25/08/2026"/>
    <n v="0.98782139000000002"/>
    <m/>
    <n v="1836000"/>
    <n v="1813640.08"/>
    <n v="1836000"/>
    <n v="1813640.08"/>
    <n v="29513608"/>
    <s v="AMOMPY"/>
    <s v="Momentum Capital Investment S.A."/>
    <s v="24/07/2026"/>
    <s v="24/07/2026"/>
    <n v="30"/>
    <s v="No"/>
    <s v=""/>
    <m/>
    <m/>
    <s v="*MAV060901070"/>
    <s v="*MAV060901070"/>
    <n v="2.9682167651002498E-5"/>
  </r>
  <r>
    <x v="120"/>
    <s v="Pesos"/>
    <d v="2026-09-09T00:00:00"/>
    <s v="25/08/2026"/>
    <n v="0.98661984000000003"/>
    <m/>
    <n v="7023518"/>
    <n v="6929542.1900000004"/>
    <n v="7023518"/>
    <n v="6929542.1900000004"/>
    <n v="68448561"/>
    <s v="AMOMPY"/>
    <s v="Momentum Capital Investment S.A."/>
    <s v="28/07/2026"/>
    <s v="28/07/2026"/>
    <n v="33"/>
    <s v="No"/>
    <s v=""/>
    <m/>
    <m/>
    <s v="*MAV050901407"/>
    <s v="*MAV050901407"/>
    <n v="1.1340939985637889E-4"/>
  </r>
  <r>
    <x v="121"/>
    <s v="Pesos"/>
    <d v="2026-09-09T00:00:00"/>
    <s v="25/08/2026"/>
    <n v="0.99023333000000002"/>
    <m/>
    <n v="70954077.530000001"/>
    <n v="70261092.359999999"/>
    <n v="70954077.530000001"/>
    <n v="70261092.359999999"/>
    <n v="923848"/>
    <s v="AMOMPY"/>
    <s v="Momentum Capital Investment S.A."/>
    <s v="17/07/2026"/>
    <s v="17/07/2026"/>
    <n v="24"/>
    <s v="No"/>
    <s v=""/>
    <m/>
    <m/>
    <s v="*MAV070901021"/>
    <s v="*MAV070901021"/>
    <n v="1.1498982327144483E-3"/>
  </r>
  <r>
    <x v="75"/>
    <s v="Pesos"/>
    <d v="2026-09-09T00:00:00"/>
    <s v="25/08/2026"/>
    <n v="0.98661984999999996"/>
    <m/>
    <n v="2000000"/>
    <n v="1973239.69"/>
    <n v="2000000"/>
    <n v="1973239.69"/>
    <n v="13669243"/>
    <s v="AMOMPY"/>
    <s v="Momentum Capital Investment S.A."/>
    <s v="28/07/2026"/>
    <s v="28/07/2026"/>
    <n v="33"/>
    <s v="No"/>
    <s v=""/>
    <m/>
    <m/>
    <s v="*MAV070901086"/>
    <s v="*MAV070901086"/>
    <n v="3.2294186669161058E-5"/>
  </r>
  <r>
    <x v="122"/>
    <s v="Pesos"/>
    <d v="2026-09-09T00:00:00"/>
    <s v="25/08/2026"/>
    <n v="0.98702002"/>
    <m/>
    <n v="40000000"/>
    <n v="39480800.780000001"/>
    <n v="40000000"/>
    <n v="39480800.780000001"/>
    <n v="10629810"/>
    <s v="AMOMPY"/>
    <s v="Momentum Capital Investment S.A."/>
    <s v="11/08/2026"/>
    <s v="11/08/2026"/>
    <n v="32"/>
    <s v="No"/>
    <s v=""/>
    <m/>
    <m/>
    <s v="*MAV070901249"/>
    <s v="*MAV070901249"/>
    <n v="6.4614570480146761E-4"/>
  </r>
  <r>
    <x v="123"/>
    <s v="Pesos"/>
    <d v="2026-09-09T00:00:00"/>
    <s v="25/08/2026"/>
    <n v="0.98702003999999999"/>
    <m/>
    <n v="1006039"/>
    <n v="992980.65"/>
    <n v="1006039"/>
    <n v="992980.65"/>
    <n v="10343827"/>
    <s v="AMOMPY"/>
    <s v="Momentum Capital Investment S.A."/>
    <s v="14/07/2026"/>
    <s v="14/07/2026"/>
    <n v="32"/>
    <s v="No"/>
    <s v=""/>
    <m/>
    <m/>
    <s v="*MAV050901355"/>
    <s v="*MAV050901355"/>
    <n v="1.6251194739532572E-5"/>
  </r>
  <r>
    <x v="124"/>
    <s v="Pesos"/>
    <d v="2026-09-09T00:00:00"/>
    <s v="25/08/2026"/>
    <n v="0.98702003999999999"/>
    <m/>
    <n v="3214858.48"/>
    <n v="3173129.76"/>
    <n v="3214858.48"/>
    <n v="3173129.76"/>
    <n v="90000521"/>
    <s v="AMOMPY"/>
    <s v="Momentum Capital Investment S.A."/>
    <s v="14/07/2026"/>
    <s v="14/07/2026"/>
    <n v="32"/>
    <s v="No"/>
    <s v=""/>
    <m/>
    <m/>
    <s v="*MAV060901039"/>
    <s v="*MAV060901039"/>
    <n v="5.1931676275430188E-5"/>
  </r>
  <r>
    <x v="46"/>
    <s v="Pesos"/>
    <d v="2026-09-09T00:00:00"/>
    <s v="25/08/2026"/>
    <n v="0.98782137999999997"/>
    <m/>
    <n v="1579236"/>
    <n v="1560003.08"/>
    <n v="1579236"/>
    <n v="1560003.08"/>
    <n v="1558"/>
    <s v="AMOMPY"/>
    <s v="Momentum Capital Investment S.A."/>
    <s v="20/07/2026"/>
    <s v="20/07/2026"/>
    <n v="30"/>
    <s v="No"/>
    <s v=""/>
    <m/>
    <m/>
    <s v="*MAV050901378"/>
    <s v="*MAV050901378"/>
    <n v="2.5531125754918397E-5"/>
  </r>
  <r>
    <x v="46"/>
    <s v="Pesos"/>
    <d v="2026-09-09T00:00:00"/>
    <s v="25/08/2026"/>
    <n v="0.98782137999999997"/>
    <m/>
    <n v="1579236"/>
    <n v="1560003.08"/>
    <n v="1579236"/>
    <n v="1560003.08"/>
    <n v="1559"/>
    <s v="AMOMPY"/>
    <s v="Momentum Capital Investment S.A."/>
    <s v="20/07/2026"/>
    <s v="20/07/2026"/>
    <n v="30"/>
    <s v="No"/>
    <s v=""/>
    <m/>
    <m/>
    <s v="*MAV060901050"/>
    <s v="*MAV060901050"/>
    <n v="2.5531125754918397E-5"/>
  </r>
  <r>
    <x v="46"/>
    <s v="Pesos"/>
    <d v="2026-09-09T00:00:00"/>
    <s v="25/08/2026"/>
    <n v="0.98782137999999997"/>
    <m/>
    <n v="1579236"/>
    <n v="1560003.08"/>
    <n v="1579236"/>
    <n v="1560003.08"/>
    <n v="1560"/>
    <s v="AMOMPY"/>
    <s v="Momentum Capital Investment S.A."/>
    <s v="20/07/2026"/>
    <s v="20/07/2026"/>
    <n v="30"/>
    <s v="No"/>
    <s v=""/>
    <m/>
    <m/>
    <s v="*MAV070901035"/>
    <s v="*MAV070901035"/>
    <n v="2.5531125754918397E-5"/>
  </r>
  <r>
    <x v="101"/>
    <s v="Pesos"/>
    <d v="2026-09-09T00:00:00"/>
    <s v="25/08/2026"/>
    <n v="0.98782139000000002"/>
    <m/>
    <n v="1500000"/>
    <n v="1481732.09"/>
    <n v="1500000"/>
    <n v="1481732.09"/>
    <n v="1965"/>
    <s v="AMOMPY"/>
    <s v="Momentum Capital Investment S.A."/>
    <s v="24/07/2026"/>
    <s v="24/07/2026"/>
    <n v="30"/>
    <s v="No"/>
    <s v=""/>
    <m/>
    <m/>
    <s v="*MAV050901393"/>
    <s v="*MAV050901393"/>
    <n v="2.4250136945170688E-5"/>
  </r>
  <r>
    <x v="125"/>
    <s v="Pesos"/>
    <d v="2026-09-10T00:00:00"/>
    <s v="25/08/2026"/>
    <n v="0.98488940000000003"/>
    <m/>
    <n v="4250000"/>
    <n v="4185779.96"/>
    <n v="4250000"/>
    <n v="4185779.96"/>
    <n v="6839"/>
    <s v="AMOMPY"/>
    <s v="Momentum Capital Investment S.A."/>
    <s v="20/04/2026"/>
    <s v="20/04/2026"/>
    <n v="35"/>
    <s v="No"/>
    <s v=""/>
    <m/>
    <m/>
    <s v="*MAV080901113"/>
    <s v="*MAV080901113"/>
    <n v="6.8504784324642024E-5"/>
  </r>
  <r>
    <x v="82"/>
    <s v="Pesos"/>
    <d v="2026-09-10T00:00:00"/>
    <s v="25/08/2026"/>
    <n v="0.98361546"/>
    <m/>
    <n v="25000000"/>
    <n v="24590386.550000001"/>
    <n v="25000000"/>
    <n v="24590386.550000001"/>
    <n v="70219553"/>
    <s v="AMOMPY"/>
    <s v="Momentum Capital Investment S.A."/>
    <s v="02/07/2026"/>
    <s v="02/07/2026"/>
    <n v="38"/>
    <s v="No"/>
    <s v=""/>
    <m/>
    <m/>
    <s v="*MAV080901266"/>
    <s v="*MAV080901266"/>
    <n v="4.0244808450641258E-4"/>
  </r>
  <r>
    <x v="10"/>
    <s v="Pesos"/>
    <d v="2026-09-10T00:00:00"/>
    <s v="25/08/2026"/>
    <n v="0.98744725"/>
    <m/>
    <n v="5500000"/>
    <n v="5430959.8499999996"/>
    <n v="5500000"/>
    <n v="5430959.8499999996"/>
    <n v="66554093"/>
    <s v="AMOMPY"/>
    <s v="Momentum Capital Investment S.A."/>
    <s v="28/04/2026"/>
    <s v="28/04/2026"/>
    <n v="29"/>
    <s v="No"/>
    <s v=""/>
    <m/>
    <m/>
    <s v="*MIL080900027"/>
    <s v="*MIL080900027"/>
    <n v="8.8883490473789793E-5"/>
  </r>
  <r>
    <x v="12"/>
    <s v="Pesos"/>
    <d v="2026-09-10T00:00:00"/>
    <s v="25/08/2026"/>
    <n v="0.98830289000000004"/>
    <m/>
    <n v="20000000"/>
    <n v="19766057.739999998"/>
    <n v="20000000"/>
    <n v="19766057.739999998"/>
    <n v="9508918"/>
    <s v="AMOMPY"/>
    <s v="Momentum Capital Investment S.A."/>
    <s v="13/07/2026"/>
    <s v="13/07/2026"/>
    <n v="27"/>
    <s v="No"/>
    <s v=""/>
    <m/>
    <m/>
    <s v="*PRO080900011"/>
    <s v="*PRO080900011"/>
    <n v="3.2349276248795487E-4"/>
  </r>
  <r>
    <x v="10"/>
    <s v="Pesos"/>
    <d v="2026-09-10T00:00:00"/>
    <s v="25/08/2026"/>
    <n v="0.98915995000000001"/>
    <m/>
    <n v="5000000"/>
    <n v="4945799.75"/>
    <n v="5000000"/>
    <n v="4945799.75"/>
    <n v="68370730"/>
    <s v="AMOMPY"/>
    <s v="Momentum Capital Investment S.A."/>
    <s v="20/07/2026"/>
    <s v="20/07/2026"/>
    <n v="25"/>
    <s v="No"/>
    <s v=""/>
    <m/>
    <m/>
    <s v="*MIL080900034"/>
    <s v="*MIL080900034"/>
    <n v="8.0943324404137682E-5"/>
  </r>
  <r>
    <x v="10"/>
    <s v="Pesos"/>
    <d v="2026-09-10T00:00:00"/>
    <s v="25/08/2026"/>
    <n v="0.98915995000000001"/>
    <m/>
    <n v="5000000"/>
    <n v="4945799.75"/>
    <n v="5000000"/>
    <n v="4945799.75"/>
    <n v="68370729"/>
    <s v="AMOMPY"/>
    <s v="Momentum Capital Investment S.A."/>
    <s v="20/07/2026"/>
    <s v="20/07/2026"/>
    <n v="25"/>
    <s v="No"/>
    <s v=""/>
    <m/>
    <m/>
    <s v="*MIL080900033"/>
    <s v="*MIL080900033"/>
    <n v="8.0943324404137682E-5"/>
  </r>
  <r>
    <x v="10"/>
    <s v="Pesos"/>
    <d v="2026-09-10T00:00:00"/>
    <s v="25/08/2026"/>
    <n v="0.98873118999999998"/>
    <m/>
    <n v="10000000"/>
    <n v="9887311.8499999996"/>
    <n v="10000000"/>
    <n v="9887311.8499999996"/>
    <n v="68035372"/>
    <s v="AMOMPY"/>
    <s v="Momentum Capital Investment S.A."/>
    <s v="07/07/2026"/>
    <s v="07/07/2026"/>
    <n v="26"/>
    <s v="No"/>
    <s v=""/>
    <m/>
    <m/>
    <s v="*MIL080900031"/>
    <s v="*MIL080900031"/>
    <n v="1.6181647681134376E-4"/>
  </r>
  <r>
    <x v="108"/>
    <s v="Pesos"/>
    <d v="2026-09-10T00:00:00"/>
    <s v="25/08/2026"/>
    <n v="0.98574052000000001"/>
    <m/>
    <n v="5000000"/>
    <n v="4928702.5999999996"/>
    <n v="5000000"/>
    <n v="4928702.5999999996"/>
    <n v="3049"/>
    <s v="AMOMPY"/>
    <s v="Momentum Capital Investment S.A."/>
    <s v="21/07/2026"/>
    <s v="21/07/2026"/>
    <n v="33"/>
    <s v="No"/>
    <s v=""/>
    <m/>
    <m/>
    <s v="*MAV080901359"/>
    <s v="*MAV080901359"/>
    <n v="8.0663511183063337E-5"/>
  </r>
  <r>
    <x v="34"/>
    <s v="Pesos"/>
    <d v="2026-09-10T00:00:00"/>
    <s v="25/08/2026"/>
    <n v="0.98702003000000005"/>
    <m/>
    <n v="10000000"/>
    <n v="9870200.3399999999"/>
    <n v="10000000"/>
    <n v="9870200.3399999999"/>
    <n v="672"/>
    <s v="AMOMPY"/>
    <s v="Momentum Capital Investment S.A."/>
    <s v="23/06/2026"/>
    <s v="23/06/2026"/>
    <n v="30"/>
    <s v="No"/>
    <s v=""/>
    <m/>
    <m/>
    <s v="*MAV080901237"/>
    <s v="*MAV080901237"/>
    <n v="1.6153642857344761E-4"/>
  </r>
  <r>
    <x v="34"/>
    <s v="Pesos"/>
    <d v="2026-09-10T00:00:00"/>
    <s v="25/08/2026"/>
    <n v="0.98702002"/>
    <m/>
    <n v="5000000"/>
    <n v="4935100.0999999996"/>
    <n v="5000000"/>
    <n v="4935100.0999999996"/>
    <n v="779"/>
    <s v="AMOMPY"/>
    <s v="Momentum Capital Investment S.A."/>
    <s v="14/07/2026"/>
    <s v="14/07/2026"/>
    <n v="30"/>
    <s v="No"/>
    <s v=""/>
    <m/>
    <m/>
    <s v="*MAV080901317"/>
    <s v="*MAV080901317"/>
    <n v="8.0768213141098626E-5"/>
  </r>
  <r>
    <x v="108"/>
    <s v="Pesos"/>
    <d v="2026-09-10T00:00:00"/>
    <s v="25/08/2026"/>
    <n v="0.98446438999999997"/>
    <m/>
    <n v="2333401.2200000002"/>
    <n v="2297150.42"/>
    <n v="2333401.2200000002"/>
    <n v="2297150.42"/>
    <n v="2662"/>
    <s v="AMOMPY"/>
    <s v="Momentum Capital Investment S.A."/>
    <s v="27/05/2026"/>
    <s v="27/05/2026"/>
    <n v="36"/>
    <s v="No"/>
    <s v=""/>
    <m/>
    <m/>
    <s v="*MAV080901150"/>
    <s v="*MAV080901150"/>
    <n v="3.7595333626510277E-5"/>
  </r>
  <r>
    <x v="34"/>
    <s v="Pesos"/>
    <d v="2026-09-10T00:00:00"/>
    <s v="25/08/2026"/>
    <n v="0.98702003000000005"/>
    <m/>
    <n v="10000000"/>
    <n v="9870200.3399999999"/>
    <n v="10000000"/>
    <n v="9870200.3399999999"/>
    <n v="637"/>
    <s v="AMOMPY"/>
    <s v="Momentum Capital Investment S.A."/>
    <s v="16/06/2026"/>
    <s v="16/06/2026"/>
    <n v="30"/>
    <s v="No"/>
    <s v=""/>
    <m/>
    <m/>
    <s v="*MAV080901212"/>
    <s v="*MAV080901212"/>
    <n v="1.6153642857344761E-4"/>
  </r>
  <r>
    <x v="126"/>
    <s v="Pesos"/>
    <d v="2026-09-10T00:00:00"/>
    <s v="25/08/2026"/>
    <n v="0.98616665999999997"/>
    <m/>
    <n v="50000000"/>
    <n v="49308332.82"/>
    <n v="50000000"/>
    <n v="49308332.82"/>
    <n v="4774"/>
    <s v="AMOMPY"/>
    <s v="Momentum Capital Investment S.A."/>
    <s v="04/06/2026"/>
    <s v="04/06/2026"/>
    <n v="32"/>
    <s v="No"/>
    <s v=""/>
    <m/>
    <m/>
    <s v="*MAV080901170"/>
    <s v="*MAV080901170"/>
    <n v="8.0698382082219347E-4"/>
  </r>
  <r>
    <x v="36"/>
    <s v="Pesos"/>
    <d v="2026-09-10T00:00:00"/>
    <s v="25/08/2026"/>
    <n v="0.98808885000000002"/>
    <m/>
    <n v="25000000"/>
    <n v="24702221.329999998"/>
    <n v="25000000"/>
    <n v="24702221.329999998"/>
    <n v="322"/>
    <s v="AMOMPY"/>
    <s v="Momentum Capital Investment S.A."/>
    <s v="06/07/2026"/>
    <s v="06/07/2026"/>
    <n v="27.5"/>
    <s v="No"/>
    <s v=""/>
    <m/>
    <m/>
    <s v="*NIO080900020"/>
    <s v="*NIO080900020"/>
    <n v="4.0427838078502861E-4"/>
  </r>
  <r>
    <x v="16"/>
    <s v="Pesos"/>
    <d v="2026-09-10T00:00:00"/>
    <s v="25/08/2026"/>
    <n v="0.98574054"/>
    <m/>
    <n v="10000000"/>
    <n v="9857405.3900000006"/>
    <n v="10000000"/>
    <n v="9857405.3900000006"/>
    <n v="326"/>
    <s v="AMOMPY"/>
    <s v="Momentum Capital Investment S.A."/>
    <s v="14/05/2026"/>
    <s v="14/05/2026"/>
    <n v="33"/>
    <s v="No"/>
    <s v=""/>
    <m/>
    <m/>
    <s v="*MAV080901141"/>
    <s v="*MAV080901141"/>
    <n v="1.6132702547568074E-4"/>
  </r>
  <r>
    <x v="17"/>
    <s v="Pesos"/>
    <d v="2026-09-10T00:00:00"/>
    <s v="25/08/2026"/>
    <n v="0.98319151999999999"/>
    <m/>
    <n v="20000000"/>
    <n v="19663830.34"/>
    <n v="20000000"/>
    <n v="19663830.34"/>
    <n v="4319"/>
    <s v="AMOMPY"/>
    <s v="Momentum Capital Investment S.A."/>
    <s v="17/06/2026"/>
    <s v="17/06/2026"/>
    <n v="39"/>
    <s v="No"/>
    <s v=""/>
    <m/>
    <m/>
    <s v="*MAV080901222"/>
    <s v="*MAV080901222"/>
    <n v="3.2181970130079472E-4"/>
  </r>
  <r>
    <x v="51"/>
    <s v="Pesos"/>
    <d v="2026-09-10T00:00:00"/>
    <s v="25/08/2026"/>
    <n v="0.98574063000000001"/>
    <m/>
    <n v="4750000"/>
    <n v="4682267.99"/>
    <n v="4750000"/>
    <n v="4682267.99"/>
    <n v="935"/>
    <s v="AMOMPY"/>
    <s v="Momentum Capital Investment S.A."/>
    <s v="28/07/2026"/>
    <s v="28/07/2026"/>
    <n v="33"/>
    <s v="No"/>
    <s v=""/>
    <m/>
    <m/>
    <s v="*MAV080901398"/>
    <s v="*MAV080901398"/>
    <n v="7.6630344134268625E-5"/>
  </r>
  <r>
    <x v="99"/>
    <s v="Pesos"/>
    <d v="2026-09-10T00:00:00"/>
    <s v="25/08/2026"/>
    <n v="0.98574057000000004"/>
    <m/>
    <n v="16005575.68"/>
    <n v="15777345.25"/>
    <n v="16005575.68"/>
    <n v="15777345.25"/>
    <n v="30717"/>
    <s v="AMOMPY"/>
    <s v="Momentum Capital Investment S.A."/>
    <s v="27/05/2026"/>
    <s v="27/05/2026"/>
    <n v="33"/>
    <s v="No"/>
    <s v=""/>
    <m/>
    <m/>
    <s v="*MAV080901149"/>
    <s v="*MAV080901149"/>
    <n v="2.5821319894862925E-4"/>
  </r>
  <r>
    <x v="29"/>
    <s v="Pesos"/>
    <d v="2026-09-10T00:00:00"/>
    <s v="25/08/2026"/>
    <n v="0.98702003000000005"/>
    <m/>
    <n v="10000000"/>
    <n v="9870200.3399999999"/>
    <n v="10000000"/>
    <n v="9870200.3399999999"/>
    <n v="3435967"/>
    <s v="AMOMPY"/>
    <s v="Momentum Capital Investment S.A."/>
    <s v="11/05/2026"/>
    <s v="11/05/2026"/>
    <n v="30"/>
    <s v="No"/>
    <s v=""/>
    <m/>
    <m/>
    <s v="*NEU080900027"/>
    <s v="*NEU080900027"/>
    <n v="1.6153642857344761E-4"/>
  </r>
  <r>
    <x v="52"/>
    <s v="Pesos"/>
    <d v="2026-09-10T00:00:00"/>
    <s v="25/08/2026"/>
    <n v="0.98574052999999995"/>
    <m/>
    <n v="12500000"/>
    <n v="12321756.68"/>
    <n v="12500000"/>
    <n v="12321756.68"/>
    <n v="1358"/>
    <s v="AMOMPY"/>
    <s v="Momentum Capital Investment S.A."/>
    <s v="21/05/2026"/>
    <s v="21/05/2026"/>
    <n v="33"/>
    <s v="No"/>
    <s v=""/>
    <m/>
    <m/>
    <s v="*MAV080901145"/>
    <s v="*MAV080901145"/>
    <n v="2.0165878090355166E-4"/>
  </r>
  <r>
    <x v="88"/>
    <s v="Pesos"/>
    <d v="2026-09-10T00:00:00"/>
    <s v="25/08/2026"/>
    <n v="0.98361540000000003"/>
    <m/>
    <n v="60000000"/>
    <n v="59016923.93"/>
    <n v="60000000"/>
    <n v="59016923.93"/>
    <n v="70379069"/>
    <s v="AMOMPY"/>
    <s v="Momentum Capital Investment S.A."/>
    <s v="22/06/2026"/>
    <s v="22/06/2026"/>
    <n v="38"/>
    <s v="No"/>
    <s v=""/>
    <m/>
    <m/>
    <s v="*MAV080901234"/>
    <s v="*MAV080901234"/>
    <n v="9.6587534078796994E-4"/>
  </r>
  <r>
    <x v="115"/>
    <s v="Pesos"/>
    <d v="2026-09-10T00:00:00"/>
    <s v="25/08/2026"/>
    <n v="0.98980372999999999"/>
    <m/>
    <n v="28908355.27"/>
    <n v="28613597.829999998"/>
    <n v="28908355.27"/>
    <n v="28613597.829999998"/>
    <n v="87"/>
    <s v="AMOMPY"/>
    <s v="Momentum Capital Investment S.A."/>
    <s v="17/07/2026"/>
    <s v="17/07/2026"/>
    <n v="23.5"/>
    <s v="No"/>
    <s v=""/>
    <m/>
    <m/>
    <s v="%INC090900036"/>
    <s v="%INC090900036"/>
    <n v="4.6829225779374103E-4"/>
  </r>
  <r>
    <x v="127"/>
    <s v="Pesos"/>
    <d v="2026-09-10T00:00:00"/>
    <s v="25/08/2026"/>
    <n v="0.98787495000000003"/>
    <m/>
    <n v="88070645.049999997"/>
    <n v="87002783.959999993"/>
    <n v="88070645.049999997"/>
    <n v="87002783.959999993"/>
    <n v="40290785"/>
    <s v="AMOMPY"/>
    <s v="Momentum Capital Investment S.A."/>
    <s v="14/08/2026"/>
    <s v="14/08/2026"/>
    <n v="28"/>
    <s v="No"/>
    <s v=""/>
    <m/>
    <m/>
    <s v="*MAV080901607"/>
    <s v="*MAV080901607"/>
    <n v="1.4238939953315714E-3"/>
  </r>
  <r>
    <x v="46"/>
    <s v="Pesos"/>
    <d v="2026-09-10T00:00:00"/>
    <s v="25/08/2026"/>
    <n v="0.98702007999999997"/>
    <m/>
    <n v="1579236"/>
    <n v="1558737.65"/>
    <n v="1579236"/>
    <n v="1558737.65"/>
    <n v="1561"/>
    <s v="AMOMPY"/>
    <s v="Momentum Capital Investment S.A."/>
    <s v="20/07/2026"/>
    <s v="20/07/2026"/>
    <n v="30"/>
    <s v="No"/>
    <s v=""/>
    <m/>
    <m/>
    <s v="*MAV080901343"/>
    <s v="*MAV080901343"/>
    <n v="2.5510415633971679E-5"/>
  </r>
  <r>
    <x v="56"/>
    <s v="Pesos"/>
    <d v="2026-09-10T00:00:00"/>
    <s v="25/08/2026"/>
    <n v="0.98702007999999997"/>
    <m/>
    <n v="2870567.11"/>
    <n v="2833307.37"/>
    <n v="2870567.11"/>
    <n v="2833307.37"/>
    <n v="101"/>
    <s v="AMOMPY"/>
    <s v="Momentum Capital Investment S.A."/>
    <s v="20/07/2026"/>
    <s v="20/07/2026"/>
    <n v="30"/>
    <s v="No"/>
    <s v=""/>
    <m/>
    <m/>
    <s v="*MAV080901342"/>
    <s v="*MAV080901342"/>
    <n v="4.6370117914002521E-5"/>
  </r>
  <r>
    <x v="30"/>
    <s v="Pesos"/>
    <d v="2026-09-11T00:00:00"/>
    <s v="25/08/2026"/>
    <n v="0.98260919000000002"/>
    <m/>
    <n v="4957711.8099999996"/>
    <n v="4871493.21"/>
    <n v="4957711.8099999996"/>
    <n v="4871493.21"/>
    <n v="600"/>
    <s v="AMOMPY"/>
    <s v="Momentum Capital Investment S.A."/>
    <s v="24/04/2026"/>
    <s v="24/04/2026"/>
    <n v="38"/>
    <s v="No"/>
    <s v=""/>
    <m/>
    <m/>
    <s v="*MAV090901126"/>
    <s v="*MAV090901126"/>
    <n v="7.972721807622398E-5"/>
  </r>
  <r>
    <x v="5"/>
    <s v="Pesos"/>
    <d v="2026-09-11T00:00:00"/>
    <s v="25/08/2026"/>
    <n v="0.98486282999999997"/>
    <m/>
    <n v="1070000"/>
    <n v="1053803.23"/>
    <n v="1070000"/>
    <n v="1053803.23"/>
    <n v="475"/>
    <s v="AMOMPY"/>
    <s v="Momentum Capital Investment S.A."/>
    <s v="16/07/2026"/>
    <s v="16/07/2026"/>
    <n v="33"/>
    <s v="No"/>
    <s v=""/>
    <m/>
    <m/>
    <s v="*MAV090901327"/>
    <s v="*MAV090901327"/>
    <n v="1.7246621581073539E-5"/>
  </r>
  <r>
    <x v="9"/>
    <s v="Pesos"/>
    <d v="2026-09-11T00:00:00"/>
    <s v="25/08/2026"/>
    <n v="0.98531477000000001"/>
    <m/>
    <n v="5053996"/>
    <n v="4979776.91"/>
    <n v="5053996"/>
    <n v="4979776.91"/>
    <n v="90044743"/>
    <s v="AMOMPY"/>
    <s v="Momentum Capital Investment S.A."/>
    <s v="13/08/2026"/>
    <s v="13/08/2026"/>
    <n v="32"/>
    <s v="No"/>
    <s v=""/>
    <m/>
    <m/>
    <s v="*MAV090901550"/>
    <s v="*MAV090901550"/>
    <n v="8.1499397116990916E-5"/>
  </r>
  <r>
    <x v="34"/>
    <s v="Pesos"/>
    <d v="2026-09-11T00:00:00"/>
    <s v="25/08/2026"/>
    <n v="0.98621994999999996"/>
    <m/>
    <n v="10000000"/>
    <n v="9862199.4600000009"/>
    <n v="10000000"/>
    <n v="9862199.4600000009"/>
    <n v="504"/>
    <s v="AMOMPY"/>
    <s v="Momentum Capital Investment S.A."/>
    <s v="14/05/2026"/>
    <s v="14/05/2026"/>
    <n v="30"/>
    <s v="No"/>
    <s v=""/>
    <m/>
    <m/>
    <s v="*MAV090901138"/>
    <s v="*MAV090901138"/>
    <n v="1.6140548557977739E-4"/>
  </r>
  <r>
    <x v="82"/>
    <s v="Pesos"/>
    <d v="2026-09-11T00:00:00"/>
    <s v="25/08/2026"/>
    <n v="0.98260924999999999"/>
    <m/>
    <n v="25000000"/>
    <n v="24565231.27"/>
    <n v="25000000"/>
    <n v="24565231.27"/>
    <n v="70219555"/>
    <s v="AMOMPY"/>
    <s v="Momentum Capital Investment S.A."/>
    <s v="07/07/2026"/>
    <s v="07/07/2026"/>
    <n v="38"/>
    <s v="No"/>
    <s v=""/>
    <m/>
    <m/>
    <s v="*MAV090901282"/>
    <s v="*MAV090901282"/>
    <n v="4.0203639133393486E-4"/>
  </r>
  <r>
    <x v="82"/>
    <s v="Pesos"/>
    <d v="2026-09-11T00:00:00"/>
    <s v="25/08/2026"/>
    <n v="0.98260924999999999"/>
    <m/>
    <n v="25000000"/>
    <n v="24565231.27"/>
    <n v="25000000"/>
    <n v="24565231.27"/>
    <n v="70219554"/>
    <s v="AMOMPY"/>
    <s v="Momentum Capital Investment S.A."/>
    <s v="07/07/2026"/>
    <s v="07/07/2026"/>
    <n v="38"/>
    <s v="No"/>
    <s v=""/>
    <m/>
    <m/>
    <s v="*MAV090901283"/>
    <s v="*MAV090901283"/>
    <n v="4.0203639133393486E-4"/>
  </r>
  <r>
    <x v="12"/>
    <s v="Pesos"/>
    <d v="2026-09-11T00:00:00"/>
    <s v="25/08/2026"/>
    <n v="0.98758087999999999"/>
    <m/>
    <n v="10000000"/>
    <n v="9875808.7799999993"/>
    <n v="10000000"/>
    <n v="9875808.7799999993"/>
    <n v="67936460"/>
    <s v="AMOMPY"/>
    <s v="Momentum Capital Investment S.A."/>
    <s v="29/06/2026"/>
    <s v="29/06/2026"/>
    <n v="27"/>
    <s v="No"/>
    <s v=""/>
    <m/>
    <m/>
    <s v="*PRO090900019"/>
    <s v="*PRO090900019"/>
    <n v="1.6162821671717931E-4"/>
  </r>
  <r>
    <x v="12"/>
    <s v="Pesos"/>
    <d v="2026-09-11T00:00:00"/>
    <s v="25/08/2026"/>
    <n v="0.98894552999999996"/>
    <m/>
    <n v="15000000"/>
    <n v="14834183.01"/>
    <n v="15000000"/>
    <n v="14834183.01"/>
    <n v="68398930"/>
    <s v="AMOMPY"/>
    <s v="Momentum Capital Investment S.A."/>
    <s v="17/07/2026"/>
    <s v="17/07/2026"/>
    <n v="24"/>
    <s v="No"/>
    <s v=""/>
    <m/>
    <m/>
    <s v="*PRO090900025"/>
    <s v="*PRO090900025"/>
    <n v="2.4277733599076219E-4"/>
  </r>
  <r>
    <x v="10"/>
    <s v="Pesos"/>
    <d v="2026-09-11T00:00:00"/>
    <s v="25/08/2026"/>
    <n v="0.98803536000000003"/>
    <m/>
    <n v="10000000"/>
    <n v="9880353.5999999996"/>
    <n v="10000000"/>
    <n v="9880353.5999999996"/>
    <n v="68035375"/>
    <s v="AMOMPY"/>
    <s v="Momentum Capital Investment S.A."/>
    <s v="07/07/2026"/>
    <s v="07/07/2026"/>
    <n v="26"/>
    <s v="No"/>
    <s v=""/>
    <m/>
    <m/>
    <s v="*MIL090900032"/>
    <s v="*MIL090900032"/>
    <n v="1.6170259757734623E-4"/>
  </r>
  <r>
    <x v="10"/>
    <s v="Pesos"/>
    <d v="2026-09-11T00:00:00"/>
    <s v="25/08/2026"/>
    <n v="0.98803536000000003"/>
    <m/>
    <n v="7000000"/>
    <n v="6916247.5199999996"/>
    <n v="7000000"/>
    <n v="6916247.5199999996"/>
    <n v="68156951"/>
    <s v="AMOMPY"/>
    <s v="Momentum Capital Investment S.A."/>
    <s v="07/07/2026"/>
    <s v="07/07/2026"/>
    <n v="26"/>
    <s v="No"/>
    <s v=""/>
    <m/>
    <m/>
    <s v="*MIL090900033"/>
    <s v="*MIL090900033"/>
    <n v="1.1319181830414236E-4"/>
  </r>
  <r>
    <x v="34"/>
    <s v="Pesos"/>
    <d v="2026-09-11T00:00:00"/>
    <s v="25/08/2026"/>
    <n v="0.98486284999999996"/>
    <m/>
    <n v="10000000"/>
    <n v="9848628.4900000002"/>
    <n v="10000000"/>
    <n v="9848628.4900000002"/>
    <n v="666"/>
    <s v="AMOMPY"/>
    <s v="Momentum Capital Investment S.A."/>
    <s v="22/06/2026"/>
    <s v="22/06/2026"/>
    <n v="33"/>
    <s v="No"/>
    <s v=""/>
    <m/>
    <m/>
    <s v="*MAV090901242"/>
    <s v="*MAV090901242"/>
    <n v="1.6118338208131105E-4"/>
  </r>
  <r>
    <x v="34"/>
    <s v="Pesos"/>
    <d v="2026-09-11T00:00:00"/>
    <s v="25/08/2026"/>
    <n v="0.98622001000000004"/>
    <m/>
    <n v="5000000"/>
    <n v="4931100.0599999996"/>
    <n v="5000000"/>
    <n v="4931100.0599999996"/>
    <n v="787"/>
    <s v="AMOMPY"/>
    <s v="Momentum Capital Investment S.A."/>
    <s v="14/07/2026"/>
    <s v="14/07/2026"/>
    <n v="30"/>
    <s v="No"/>
    <s v=""/>
    <m/>
    <m/>
    <s v="*MAV090901318"/>
    <s v="*MAV090901318"/>
    <n v="8.0702748190693077E-5"/>
  </r>
  <r>
    <x v="108"/>
    <s v="Pesos"/>
    <d v="2026-09-11T00:00:00"/>
    <s v="25/08/2026"/>
    <n v="0.98350941000000003"/>
    <m/>
    <n v="2333401.2200000002"/>
    <n v="2294922.06"/>
    <n v="2333401.2200000002"/>
    <n v="2294922.06"/>
    <n v="2661"/>
    <s v="AMOMPY"/>
    <s v="Momentum Capital Investment S.A."/>
    <s v="27/05/2026"/>
    <s v="27/05/2026"/>
    <n v="36"/>
    <s v="No"/>
    <s v=""/>
    <m/>
    <m/>
    <s v="*MAV090901146"/>
    <s v="*MAV090901146"/>
    <n v="3.7558864121983897E-5"/>
  </r>
  <r>
    <x v="128"/>
    <s v="Pesos"/>
    <d v="2026-09-11T00:00:00"/>
    <s v="25/08/2026"/>
    <n v="0.98531484000000003"/>
    <m/>
    <n v="475000000"/>
    <n v="468024546.81999999"/>
    <n v="475000000"/>
    <n v="468024546.81999999"/>
    <n v="928"/>
    <s v="AMOMPY"/>
    <s v="Momentum Capital Investment S.A."/>
    <s v="14/07/2026"/>
    <s v="14/07/2026"/>
    <n v="32"/>
    <s v="No"/>
    <s v=""/>
    <m/>
    <m/>
    <s v="*MAV090901315"/>
    <s v="*MAV090901315"/>
    <n v="7.659724339294325E-3"/>
  </r>
  <r>
    <x v="36"/>
    <s v="Pesos"/>
    <d v="2026-09-11T00:00:00"/>
    <s v="25/08/2026"/>
    <n v="0.98735379999999995"/>
    <m/>
    <n v="25000000"/>
    <n v="24683845.010000002"/>
    <n v="25000000"/>
    <n v="24683845.010000002"/>
    <n v="323"/>
    <s v="AMOMPY"/>
    <s v="Momentum Capital Investment S.A."/>
    <s v="06/07/2026"/>
    <s v="06/07/2026"/>
    <n v="27.5"/>
    <s v="No"/>
    <s v=""/>
    <m/>
    <m/>
    <s v="*NIO090900014"/>
    <s v="*NIO090900014"/>
    <n v="4.0397763257315165E-4"/>
  </r>
  <r>
    <x v="104"/>
    <s v="Pesos"/>
    <d v="2026-09-11T00:00:00"/>
    <s v="25/08/2026"/>
    <n v="0.98531482999999997"/>
    <m/>
    <n v="1274298"/>
    <n v="1255584.72"/>
    <n v="1274298"/>
    <n v="1255584.72"/>
    <n v="10333909"/>
    <s v="AMOMPY"/>
    <s v="Momentum Capital Investment S.A."/>
    <s v="14/07/2026"/>
    <s v="14/07/2026"/>
    <n v="32"/>
    <s v="No"/>
    <s v=""/>
    <m/>
    <m/>
    <s v="*MAV090901312"/>
    <s v="*MAV090901312"/>
    <n v="2.0548992366267635E-5"/>
  </r>
  <r>
    <x v="51"/>
    <s v="Pesos"/>
    <d v="2026-09-11T00:00:00"/>
    <s v="25/08/2026"/>
    <n v="0.98486286999999995"/>
    <m/>
    <n v="5350000"/>
    <n v="5269016.38"/>
    <n v="5350000"/>
    <n v="5269016.38"/>
    <n v="802"/>
    <s v="AMOMPY"/>
    <s v="Momentum Capital Investment S.A."/>
    <s v="28/07/2026"/>
    <s v="28/07/2026"/>
    <n v="33"/>
    <s v="No"/>
    <s v=""/>
    <m/>
    <m/>
    <s v="*MAV090901379"/>
    <s v="*MAV090901379"/>
    <n v="8.6233111669564708E-5"/>
  </r>
  <r>
    <x v="51"/>
    <s v="Pesos"/>
    <d v="2026-09-11T00:00:00"/>
    <s v="25/08/2026"/>
    <n v="0.98486288"/>
    <m/>
    <n v="5000000"/>
    <n v="4924314.38"/>
    <n v="5000000"/>
    <n v="4924314.38"/>
    <n v="901"/>
    <s v="AMOMPY"/>
    <s v="Momentum Capital Investment S.A."/>
    <s v="28/07/2026"/>
    <s v="28/07/2026"/>
    <n v="33"/>
    <s v="No"/>
    <s v=""/>
    <m/>
    <m/>
    <s v="*MAV090901381"/>
    <s v="*MAV090901381"/>
    <n v="8.0591693250075511E-5"/>
  </r>
  <r>
    <x v="99"/>
    <s v="Pesos"/>
    <d v="2026-09-11T00:00:00"/>
    <s v="25/08/2026"/>
    <n v="0.98531480999999999"/>
    <m/>
    <n v="15355310.449999999"/>
    <n v="15129814.76"/>
    <n v="15355310.449999999"/>
    <n v="15129814.76"/>
    <n v="30742"/>
    <s v="AMOMPY"/>
    <s v="Momentum Capital Investment S.A."/>
    <s v="04/06/2026"/>
    <s v="04/06/2026"/>
    <n v="32"/>
    <s v="No"/>
    <s v=""/>
    <m/>
    <m/>
    <s v="*MAV090901172"/>
    <s v="*MAV090901172"/>
    <n v="2.4761566707046529E-4"/>
  </r>
  <r>
    <x v="99"/>
    <s v="Pesos"/>
    <d v="2026-09-11T00:00:00"/>
    <s v="25/08/2026"/>
    <n v="0.98486282999999997"/>
    <m/>
    <n v="16005575.68"/>
    <n v="15763296.539999999"/>
    <n v="16005575.68"/>
    <n v="15763296.539999999"/>
    <n v="30718"/>
    <s v="AMOMPY"/>
    <s v="Momentum Capital Investment S.A."/>
    <s v="27/05/2026"/>
    <s v="27/05/2026"/>
    <n v="33"/>
    <s v="No"/>
    <s v=""/>
    <m/>
    <m/>
    <s v="*MAV090901145"/>
    <s v="*MAV090901145"/>
    <n v="2.5798327672199855E-4"/>
  </r>
  <r>
    <x v="38"/>
    <s v="Pesos"/>
    <d v="2026-09-11T00:00:00"/>
    <s v="25/08/2026"/>
    <n v="0.98803532000000005"/>
    <m/>
    <n v="100046704.59999999"/>
    <n v="98849677.650000006"/>
    <n v="100046704.59999999"/>
    <n v="98849677.650000006"/>
    <n v="568280"/>
    <s v="AMOMPY"/>
    <s v="Momentum Capital Investment S.A."/>
    <s v="24/04/2026"/>
    <s v="24/04/2026"/>
    <n v="26"/>
    <s v="No"/>
    <s v=""/>
    <m/>
    <m/>
    <s v="*MAV090901127"/>
    <s v="*MAV090901127"/>
    <n v="1.6177811334291061E-3"/>
  </r>
  <r>
    <x v="101"/>
    <s v="Pesos"/>
    <d v="2026-09-11T00:00:00"/>
    <s v="25/08/2026"/>
    <n v="0.98622001000000004"/>
    <m/>
    <n v="1500000"/>
    <n v="1479330.02"/>
    <n v="1500000"/>
    <n v="1479330.02"/>
    <n v="1966"/>
    <s v="AMOMPY"/>
    <s v="Momentum Capital Investment S.A."/>
    <s v="24/07/2026"/>
    <s v="24/07/2026"/>
    <n v="30"/>
    <s v="No"/>
    <s v=""/>
    <m/>
    <m/>
    <s v="*MAV090901362"/>
    <s v="*MAV090901362"/>
    <n v="2.4210824489940073E-5"/>
  </r>
  <r>
    <x v="115"/>
    <s v="Pesos"/>
    <d v="2026-09-11T00:00:00"/>
    <s v="25/08/2026"/>
    <n v="0.98917334000000001"/>
    <m/>
    <n v="27798498.34"/>
    <n v="27497533.48"/>
    <n v="27798498.34"/>
    <n v="27497533.48"/>
    <n v="88"/>
    <s v="AMOMPY"/>
    <s v="Momentum Capital Investment S.A."/>
    <s v="17/07/2026"/>
    <s v="17/07/2026"/>
    <n v="23.5"/>
    <s v="No"/>
    <s v=""/>
    <m/>
    <m/>
    <s v="%INC100900030"/>
    <s v="%INC100900030"/>
    <n v="4.5002666611912E-4"/>
  </r>
  <r>
    <x v="24"/>
    <s v="Pesos"/>
    <d v="2026-09-11T00:00:00"/>
    <s v="25/08/2026"/>
    <n v="0.98531480000000005"/>
    <m/>
    <n v="1000000"/>
    <n v="985314.8"/>
    <n v="1000000"/>
    <n v="985314.8"/>
    <n v="67381670"/>
    <s v="AMOMPY"/>
    <s v="Momentum Capital Investment S.A."/>
    <s v="04/06/2026"/>
    <s v="04/06/2026"/>
    <n v="32"/>
    <s v="No"/>
    <s v=""/>
    <m/>
    <m/>
    <s v="*MAV090901171"/>
    <s v="*MAV090901171"/>
    <n v="1.6125734871614657E-5"/>
  </r>
  <r>
    <x v="75"/>
    <s v="Pesos"/>
    <d v="2026-09-11T00:00:00"/>
    <s v="25/08/2026"/>
    <n v="0.98486288"/>
    <m/>
    <n v="2000000"/>
    <n v="1969725.75"/>
    <n v="2000000"/>
    <n v="1969725.75"/>
    <n v="13669244"/>
    <s v="AMOMPY"/>
    <s v="Momentum Capital Investment S.A."/>
    <s v="28/07/2026"/>
    <s v="28/07/2026"/>
    <n v="33"/>
    <s v="No"/>
    <s v=""/>
    <m/>
    <m/>
    <s v="*MAV090901378"/>
    <s v="*MAV090901378"/>
    <n v="3.2236677267298058E-5"/>
  </r>
  <r>
    <x v="129"/>
    <s v="Pesos"/>
    <d v="2026-09-11T00:00:00"/>
    <s v="25/08/2026"/>
    <n v="0.98531484999999996"/>
    <m/>
    <n v="1099546.98"/>
    <n v="1083399.97"/>
    <n v="1099546.98"/>
    <n v="1083399.97"/>
    <n v="30001147"/>
    <s v="AMOMPY"/>
    <s v="Momentum Capital Investment S.A."/>
    <s v="14/07/2026"/>
    <s v="14/07/2026"/>
    <n v="32"/>
    <s v="No"/>
    <s v=""/>
    <m/>
    <m/>
    <s v="*MAV090901311"/>
    <s v="*MAV090901311"/>
    <n v="1.7731004016315668E-5"/>
  </r>
  <r>
    <x v="46"/>
    <s v="Pesos"/>
    <d v="2026-09-11T00:00:00"/>
    <s v="25/08/2026"/>
    <n v="0.98621999000000005"/>
    <m/>
    <n v="1579236"/>
    <n v="1557474.11"/>
    <n v="1579236"/>
    <n v="1557474.11"/>
    <n v="1562"/>
    <s v="AMOMPY"/>
    <s v="Momentum Capital Investment S.A."/>
    <s v="20/07/2026"/>
    <s v="20/07/2026"/>
    <n v="30"/>
    <s v="No"/>
    <s v=""/>
    <m/>
    <m/>
    <s v="*MAV090901339"/>
    <s v="*MAV090901339"/>
    <n v="2.5489736444904716E-5"/>
  </r>
  <r>
    <x v="130"/>
    <s v="Pesos"/>
    <d v="2026-09-14T00:00:00"/>
    <s v="25/08/2026"/>
    <n v="0.98118285999999999"/>
    <m/>
    <n v="115000000"/>
    <n v="112836029.45"/>
    <n v="115000000"/>
    <n v="112836029.45"/>
    <n v="8427"/>
    <s v="AMOMPY"/>
    <s v="Momentum Capital Investment S.A."/>
    <s v="11/06/2026"/>
    <s v="11/06/2026"/>
    <n v="35"/>
    <s v="No"/>
    <s v=""/>
    <m/>
    <m/>
    <s v="*MAV100901310"/>
    <s v="*MAV100901310"/>
    <n v="1.8466828011478192E-3"/>
  </r>
  <r>
    <x v="131"/>
    <s v="Pesos"/>
    <d v="2026-09-14T00:00:00"/>
    <s v="25/08/2026"/>
    <n v="0.98648650000000004"/>
    <m/>
    <n v="9600000"/>
    <n v="9470270.3900000006"/>
    <n v="9600000"/>
    <n v="9470270.3900000006"/>
    <n v="33949"/>
    <s v="AMOMPY"/>
    <s v="Momentum Capital Investment S.A."/>
    <s v="12/06/2026"/>
    <s v="12/06/2026"/>
    <n v="25"/>
    <s v="No"/>
    <s v=""/>
    <m/>
    <m/>
    <s v="*MAV100901306"/>
    <s v="*MAV100901306"/>
    <n v="1.5499114544066802E-4"/>
  </r>
  <r>
    <x v="5"/>
    <s v="Pesos"/>
    <d v="2026-09-14T00:00:00"/>
    <s v="25/08/2026"/>
    <n v="0.98223903999999995"/>
    <m/>
    <n v="1070000"/>
    <n v="1050995.77"/>
    <n v="1070000"/>
    <n v="1050995.77"/>
    <n v="476"/>
    <s v="AMOMPY"/>
    <s v="Momentum Capital Investment S.A."/>
    <s v="16/07/2026"/>
    <s v="16/07/2026"/>
    <n v="33"/>
    <s v="No"/>
    <s v=""/>
    <m/>
    <m/>
    <s v="*MAV100901479"/>
    <s v="*MAV100901479"/>
    <n v="1.720067448312813E-5"/>
  </r>
  <r>
    <x v="132"/>
    <s v="Pesos"/>
    <d v="2026-09-14T00:00:00"/>
    <s v="25/08/2026"/>
    <n v="0.98223901000000002"/>
    <m/>
    <n v="1524900"/>
    <n v="1497816.27"/>
    <n v="1524900"/>
    <n v="1497816.27"/>
    <n v="179"/>
    <s v="AMOMPY"/>
    <s v="Momentum Capital Investment S.A."/>
    <s v="27/05/2026"/>
    <s v="27/05/2026"/>
    <n v="33"/>
    <s v="No"/>
    <s v=""/>
    <m/>
    <m/>
    <s v="*MAV100901187"/>
    <s v="*MAV100901187"/>
    <n v="2.4513371824325375E-5"/>
  </r>
  <r>
    <x v="48"/>
    <s v="Pesos"/>
    <d v="2026-09-14T00:00:00"/>
    <s v="25/08/2026"/>
    <n v="0.98648659999999999"/>
    <m/>
    <n v="629302.72"/>
    <n v="620798.69999999995"/>
    <n v="629302.72"/>
    <n v="620798.69999999995"/>
    <n v="609"/>
    <s v="AMOMPY"/>
    <s v="Momentum Capital Investment S.A."/>
    <s v="04/08/2026"/>
    <s v="04/08/2026"/>
    <n v="25"/>
    <s v="No"/>
    <s v=""/>
    <m/>
    <m/>
    <s v="*FED100900039"/>
    <s v="*FED100900039"/>
    <n v="1.0160037426458065E-5"/>
  </r>
  <r>
    <x v="9"/>
    <s v="Pesos"/>
    <d v="2026-09-14T00:00:00"/>
    <s v="25/08/2026"/>
    <n v="0.98382751999999996"/>
    <m/>
    <n v="14427072"/>
    <n v="14193750.4"/>
    <n v="14427072"/>
    <n v="14193750.4"/>
    <n v="90044546"/>
    <s v="AMOMPY"/>
    <s v="Momentum Capital Investment S.A."/>
    <s v="22/07/2026"/>
    <s v="22/07/2026"/>
    <n v="30"/>
    <s v="No"/>
    <s v=""/>
    <m/>
    <m/>
    <s v="*MAV100901534"/>
    <s v="*MAV100901534"/>
    <n v="2.3229596854150011E-4"/>
  </r>
  <r>
    <x v="82"/>
    <s v="Pesos"/>
    <d v="2026-09-14T00:00:00"/>
    <s v="25/08/2026"/>
    <n v="0.9796028"/>
    <m/>
    <n v="3200000"/>
    <n v="3134728.96"/>
    <n v="3200000"/>
    <n v="3134728.96"/>
    <n v="155475"/>
    <s v="AMOMPY"/>
    <s v="Momentum Capital Investment S.A."/>
    <s v="07/07/2026"/>
    <s v="07/07/2026"/>
    <n v="38"/>
    <s v="No"/>
    <s v=""/>
    <m/>
    <m/>
    <s v="#MAV110960027"/>
    <s v="#MAV110960027"/>
    <n v="5.1303205943250158E-5"/>
  </r>
  <r>
    <x v="82"/>
    <s v="Pesos"/>
    <d v="2026-09-14T00:00:00"/>
    <s v="25/08/2026"/>
    <n v="0.9796028"/>
    <m/>
    <n v="42000000"/>
    <n v="41143317.649999999"/>
    <n v="42000000"/>
    <n v="41143317.649999999"/>
    <n v="155474"/>
    <s v="AMOMPY"/>
    <s v="Momentum Capital Investment S.A."/>
    <s v="07/07/2026"/>
    <s v="07/07/2026"/>
    <n v="38"/>
    <s v="No"/>
    <s v=""/>
    <m/>
    <m/>
    <s v="#MAV110960028"/>
    <s v="#MAV110960028"/>
    <n v="6.7335457882346207E-4"/>
  </r>
  <r>
    <x v="82"/>
    <s v="Pesos"/>
    <d v="2026-09-14T00:00:00"/>
    <s v="25/08/2026"/>
    <n v="0.9796028"/>
    <m/>
    <n v="30000000"/>
    <n v="29388084.039999999"/>
    <n v="30000000"/>
    <n v="29388084.039999999"/>
    <n v="70219556"/>
    <s v="AMOMPY"/>
    <s v="Momentum Capital Investment S.A."/>
    <s v="07/07/2026"/>
    <s v="07/07/2026"/>
    <n v="38"/>
    <s v="No"/>
    <s v=""/>
    <m/>
    <m/>
    <s v="*MAV100901425"/>
    <s v="*MAV100901425"/>
    <n v="4.8096755637261319E-4"/>
  </r>
  <r>
    <x v="47"/>
    <s v="Pesos"/>
    <d v="2026-09-14T00:00:00"/>
    <s v="25/08/2026"/>
    <n v="0.98329750000000005"/>
    <m/>
    <n v="10000000"/>
    <n v="9832975.0299999993"/>
    <n v="10000000"/>
    <n v="9832975.0299999993"/>
    <n v="14004252"/>
    <s v="AMOMPY"/>
    <s v="Momentum Capital Investment S.A."/>
    <s v="31/07/2026"/>
    <s v="31/07/2026"/>
    <n v="31"/>
    <s v="No"/>
    <s v=""/>
    <m/>
    <m/>
    <s v="*MAV100901608"/>
    <s v="*MAV100901608"/>
    <n v="1.6092719639752408E-4"/>
  </r>
  <r>
    <x v="12"/>
    <s v="Pesos"/>
    <d v="2026-09-14T00:00:00"/>
    <s v="25/08/2026"/>
    <n v="0.98542123000000004"/>
    <m/>
    <n v="10000000"/>
    <n v="9854212.2899999991"/>
    <n v="10000000"/>
    <n v="9854212.2899999991"/>
    <n v="67936475"/>
    <s v="AMOMPY"/>
    <s v="Momentum Capital Investment S.A."/>
    <s v="29/06/2026"/>
    <s v="29/06/2026"/>
    <n v="27"/>
    <s v="No"/>
    <s v=""/>
    <m/>
    <m/>
    <s v="*PRO100900022"/>
    <s v="*PRO100900022"/>
    <n v="1.6127476696498082E-4"/>
  </r>
  <r>
    <x v="13"/>
    <s v="Pesos"/>
    <d v="2026-09-14T00:00:00"/>
    <s v="25/08/2026"/>
    <n v="0.98488936999999999"/>
    <m/>
    <n v="10000000"/>
    <n v="9848893.6799999997"/>
    <n v="10000000"/>
    <n v="9848893.6799999997"/>
    <n v="360563"/>
    <s v="AMOMPY"/>
    <s v="Momentum Capital Investment S.A."/>
    <s v="21/04/2026"/>
    <s v="21/04/2026"/>
    <n v="28"/>
    <s v="No"/>
    <s v=""/>
    <m/>
    <m/>
    <s v="*MOV100900072"/>
    <s v="*MOV100900072"/>
    <n v="1.6118772220045937E-4"/>
  </r>
  <r>
    <x v="10"/>
    <s v="Pesos"/>
    <d v="2026-09-14T00:00:00"/>
    <s v="25/08/2026"/>
    <n v="0.98542121999999999"/>
    <m/>
    <n v="12500000"/>
    <n v="12317765.23"/>
    <n v="12500000"/>
    <n v="12317765.23"/>
    <n v="67924258"/>
    <s v="AMOMPY"/>
    <s v="Momentum Capital Investment S.A."/>
    <s v="25/06/2026"/>
    <s v="25/06/2026"/>
    <n v="27"/>
    <s v="No"/>
    <s v=""/>
    <m/>
    <m/>
    <s v="*MIL100900041"/>
    <s v="*MIL100900041"/>
    <n v="2.0159345653772128E-4"/>
  </r>
  <r>
    <x v="10"/>
    <s v="Pesos"/>
    <d v="2026-09-14T00:00:00"/>
    <s v="25/08/2026"/>
    <n v="0.98595354999999996"/>
    <m/>
    <n v="10000000"/>
    <n v="9859535.4499999993"/>
    <n v="10000000"/>
    <n v="9859535.4499999993"/>
    <n v="68035377"/>
    <s v="AMOMPY"/>
    <s v="Momentum Capital Investment S.A."/>
    <s v="07/07/2026"/>
    <s v="07/07/2026"/>
    <n v="26"/>
    <s v="No"/>
    <s v=""/>
    <m/>
    <m/>
    <s v="*MIL100900043"/>
    <s v="*MIL100900043"/>
    <n v="1.6136188619513873E-4"/>
  </r>
  <r>
    <x v="108"/>
    <s v="Pesos"/>
    <d v="2026-09-14T00:00:00"/>
    <s v="25/08/2026"/>
    <n v="0.98223906999999999"/>
    <m/>
    <n v="5000000"/>
    <n v="4911195.37"/>
    <n v="5000000"/>
    <n v="4911195.37"/>
    <n v="3048"/>
    <s v="AMOMPY"/>
    <s v="Momentum Capital Investment S.A."/>
    <s v="21/07/2026"/>
    <s v="21/07/2026"/>
    <n v="33"/>
    <s v="No"/>
    <s v=""/>
    <m/>
    <m/>
    <s v="*MAV100901528"/>
    <s v="*MAV100901528"/>
    <n v="8.0376986562387412E-5"/>
  </r>
  <r>
    <x v="108"/>
    <s v="Pesos"/>
    <d v="2026-09-14T00:00:00"/>
    <s v="25/08/2026"/>
    <n v="0.98012896000000005"/>
    <m/>
    <n v="2687954.26"/>
    <n v="2634541.8199999998"/>
    <n v="2687954.26"/>
    <n v="2634541.8199999998"/>
    <n v="2817"/>
    <s v="AMOMPY"/>
    <s v="Momentum Capital Investment S.A."/>
    <s v="02/07/2026"/>
    <s v="02/07/2026"/>
    <n v="37"/>
    <s v="No"/>
    <s v=""/>
    <m/>
    <m/>
    <s v="*MAV100901398"/>
    <s v="*MAV100901398"/>
    <n v="4.3117106225848973E-5"/>
  </r>
  <r>
    <x v="108"/>
    <s v="Pesos"/>
    <d v="2026-09-14T00:00:00"/>
    <s v="25/08/2026"/>
    <n v="0.98065561999999995"/>
    <m/>
    <n v="2333401.2200000002"/>
    <n v="2288263.02"/>
    <n v="2333401.2200000002"/>
    <n v="2288263.02"/>
    <n v="2660"/>
    <s v="AMOMPY"/>
    <s v="Momentum Capital Investment S.A."/>
    <s v="27/05/2026"/>
    <s v="27/05/2026"/>
    <n v="36"/>
    <s v="No"/>
    <s v=""/>
    <m/>
    <m/>
    <s v="*MAV100901188"/>
    <s v="*MAV100901188"/>
    <n v="3.7449881780970168E-5"/>
  </r>
  <r>
    <x v="133"/>
    <s v="Pesos"/>
    <d v="2026-09-14T00:00:00"/>
    <s v="25/08/2026"/>
    <n v="0.98171063999999997"/>
    <m/>
    <n v="440000000"/>
    <n v="431952683.62"/>
    <n v="440000000"/>
    <n v="431952683.62"/>
    <n v="178"/>
    <s v="AMOMPY"/>
    <s v="Momentum Capital Investment S.A."/>
    <s v="10/06/2026"/>
    <s v="10/06/2026"/>
    <n v="34"/>
    <s v="No"/>
    <s v=""/>
    <m/>
    <m/>
    <s v="*MAV100901303"/>
    <s v="*MAV100901303"/>
    <n v="7.0693695589861905E-3"/>
  </r>
  <r>
    <x v="34"/>
    <s v="Pesos"/>
    <d v="2026-09-14T00:00:00"/>
    <s v="25/08/2026"/>
    <n v="0.98382756000000005"/>
    <m/>
    <n v="10000000"/>
    <n v="9838275.6199999992"/>
    <n v="10000000"/>
    <n v="9838275.6199999992"/>
    <n v="701"/>
    <s v="AMOMPY"/>
    <s v="Momentum Capital Investment S.A."/>
    <s v="29/06/2026"/>
    <s v="29/06/2026"/>
    <n v="30"/>
    <s v="No"/>
    <s v=""/>
    <m/>
    <m/>
    <s v="*MAV100901375"/>
    <s v="*MAV100901375"/>
    <n v="1.6101394624539313E-4"/>
  </r>
  <r>
    <x v="34"/>
    <s v="Pesos"/>
    <d v="2026-09-14T00:00:00"/>
    <s v="25/08/2026"/>
    <n v="0.98382751000000002"/>
    <m/>
    <n v="10000000"/>
    <n v="9838275.0800000001"/>
    <n v="10000000"/>
    <n v="9838275.0800000001"/>
    <n v="723"/>
    <s v="AMOMPY"/>
    <s v="Momentum Capital Investment S.A."/>
    <s v="30/06/2026"/>
    <s v="30/06/2026"/>
    <n v="30"/>
    <s v="No"/>
    <s v=""/>
    <m/>
    <m/>
    <s v="*MAV100901379"/>
    <s v="*MAV100901379"/>
    <n v="1.6101393740771322E-4"/>
  </r>
  <r>
    <x v="36"/>
    <s v="Pesos"/>
    <d v="2026-09-14T00:00:00"/>
    <s v="25/08/2026"/>
    <n v="0.98515525999999998"/>
    <m/>
    <n v="25000000"/>
    <n v="24628881.460000001"/>
    <n v="25000000"/>
    <n v="24628881.460000001"/>
    <n v="324"/>
    <s v="AMOMPY"/>
    <s v="Momentum Capital Investment S.A."/>
    <s v="06/07/2026"/>
    <s v="06/07/2026"/>
    <n v="27.5"/>
    <s v="No"/>
    <s v=""/>
    <m/>
    <m/>
    <s v="*NIO100900043"/>
    <s v="*NIO100900043"/>
    <n v="4.0307809504981119E-4"/>
  </r>
  <r>
    <x v="63"/>
    <s v="Pesos"/>
    <d v="2026-09-14T00:00:00"/>
    <s v="25/08/2026"/>
    <n v="0.98223897000000004"/>
    <m/>
    <n v="140000000"/>
    <n v="137513456.22"/>
    <n v="140000000"/>
    <n v="137513456.22"/>
    <n v="68766942"/>
    <s v="AMOMPY"/>
    <s v="Momentum Capital Investment S.A."/>
    <s v="05/08/2026"/>
    <s v="05/08/2026"/>
    <n v="33"/>
    <s v="No"/>
    <s v=""/>
    <m/>
    <m/>
    <s v="*MAV100901634"/>
    <s v="*MAV100901634"/>
    <n v="2.2505553923305621E-3"/>
  </r>
  <r>
    <x v="63"/>
    <s v="Pesos"/>
    <d v="2026-09-14T00:00:00"/>
    <s v="25/08/2026"/>
    <n v="0.98223897000000004"/>
    <m/>
    <n v="160000000"/>
    <n v="157158235.68000001"/>
    <n v="160000000"/>
    <n v="157158235.68000001"/>
    <n v="68766943"/>
    <s v="AMOMPY"/>
    <s v="Momentum Capital Investment S.A."/>
    <s v="05/08/2026"/>
    <s v="05/08/2026"/>
    <n v="33"/>
    <s v="No"/>
    <s v=""/>
    <m/>
    <m/>
    <s v="*MAV100901635"/>
    <s v="*MAV100901635"/>
    <n v="2.5720633055206425E-3"/>
  </r>
  <r>
    <x v="51"/>
    <s v="Pesos"/>
    <d v="2026-09-14T00:00:00"/>
    <s v="25/08/2026"/>
    <n v="0.98223908000000004"/>
    <m/>
    <n v="4750000"/>
    <n v="4665635.6100000003"/>
    <n v="4750000"/>
    <n v="4665635.6100000003"/>
    <n v="936"/>
    <s v="AMOMPY"/>
    <s v="Momentum Capital Investment S.A."/>
    <s v="28/07/2026"/>
    <s v="28/07/2026"/>
    <n v="33"/>
    <s v="No"/>
    <s v=""/>
    <m/>
    <m/>
    <s v="*MAV100901562"/>
    <s v="*MAV100901562"/>
    <n v="7.635813737337967E-5"/>
  </r>
  <r>
    <x v="99"/>
    <s v="Pesos"/>
    <d v="2026-09-14T00:00:00"/>
    <s v="25/08/2026"/>
    <n v="0.98276790999999997"/>
    <m/>
    <n v="15355310.449999999"/>
    <n v="15090706.34"/>
    <n v="15355310.449999999"/>
    <n v="15090706.34"/>
    <n v="30743"/>
    <s v="AMOMPY"/>
    <s v="Momentum Capital Investment S.A."/>
    <s v="04/06/2026"/>
    <s v="04/06/2026"/>
    <n v="32"/>
    <s v="No"/>
    <s v=""/>
    <m/>
    <m/>
    <s v="*MAV100901257"/>
    <s v="*MAV100901257"/>
    <n v="2.4697561577704342E-4"/>
  </r>
  <r>
    <x v="99"/>
    <s v="Pesos"/>
    <d v="2026-09-14T00:00:00"/>
    <s v="25/08/2026"/>
    <n v="0.98223901999999996"/>
    <m/>
    <n v="16005575.68"/>
    <n v="15721300.91"/>
    <n v="16005575.68"/>
    <n v="15721300.91"/>
    <n v="30719"/>
    <s v="AMOMPY"/>
    <s v="Momentum Capital Investment S.A."/>
    <s v="27/05/2026"/>
    <s v="27/05/2026"/>
    <n v="33"/>
    <s v="No"/>
    <s v=""/>
    <m/>
    <m/>
    <s v="*MAV100901186"/>
    <s v="*MAV100901186"/>
    <n v="2.5729597313623446E-4"/>
  </r>
  <r>
    <x v="134"/>
    <s v="Pesos"/>
    <d v="2026-09-14T00:00:00"/>
    <s v="25/08/2026"/>
    <n v="0.98382758000000003"/>
    <m/>
    <n v="2531177"/>
    <n v="2490241.7400000002"/>
    <n v="2531177"/>
    <n v="2490241.7400000002"/>
    <n v="391"/>
    <s v="AMOMPY"/>
    <s v="Momentum Capital Investment S.A."/>
    <s v="24/07/2026"/>
    <s v="24/07/2026"/>
    <n v="30"/>
    <s v="No"/>
    <s v=""/>
    <m/>
    <m/>
    <s v="*MAV100901547"/>
    <s v="*MAV100901547"/>
    <n v="4.0755480446927582E-5"/>
  </r>
  <r>
    <x v="135"/>
    <s v="Pesos"/>
    <d v="2026-09-14T00:00:00"/>
    <s v="25/08/2026"/>
    <n v="0.98488942999999995"/>
    <m/>
    <n v="7298115.0499999998"/>
    <n v="7187836.3899999997"/>
    <n v="7298115.0499999998"/>
    <n v="7187836.3899999997"/>
    <n v="90046035"/>
    <s v="AMOMPY"/>
    <s v="Momentum Capital Investment S.A."/>
    <s v="10/08/2026"/>
    <s v="10/08/2026"/>
    <n v="28"/>
    <s v="No"/>
    <s v=""/>
    <m/>
    <m/>
    <s v="*MAV100901717"/>
    <s v="*MAV100901717"/>
    <n v="1.1763666183201936E-4"/>
  </r>
  <r>
    <x v="75"/>
    <s v="Pesos"/>
    <d v="2026-09-14T00:00:00"/>
    <s v="25/08/2026"/>
    <n v="0.98223908000000004"/>
    <m/>
    <n v="1500000"/>
    <n v="1473358.62"/>
    <n v="1500000"/>
    <n v="1473358.62"/>
    <n v="13669245"/>
    <s v="AMOMPY"/>
    <s v="Momentum Capital Investment S.A."/>
    <s v="28/07/2026"/>
    <s v="28/07/2026"/>
    <n v="33"/>
    <s v="No"/>
    <s v=""/>
    <m/>
    <m/>
    <s v="*MAV100901563"/>
    <s v="*MAV100901563"/>
    <n v="2.411309611601089E-5"/>
  </r>
  <r>
    <x v="46"/>
    <s v="Pesos"/>
    <d v="2026-09-14T00:00:00"/>
    <s v="25/08/2026"/>
    <n v="0.98382756999999998"/>
    <m/>
    <n v="1579236"/>
    <n v="1553695.91"/>
    <n v="1579236"/>
    <n v="1553695.91"/>
    <n v="1563"/>
    <s v="AMOMPY"/>
    <s v="Momentum Capital Investment S.A."/>
    <s v="20/07/2026"/>
    <s v="20/07/2026"/>
    <n v="30"/>
    <s v="No"/>
    <s v=""/>
    <m/>
    <m/>
    <s v="*MAV100901508"/>
    <s v="*MAV100901508"/>
    <n v="2.5427902144342156E-5"/>
  </r>
  <r>
    <x v="56"/>
    <s v="Pesos"/>
    <d v="2026-09-14T00:00:00"/>
    <s v="25/08/2026"/>
    <n v="0.98382756000000005"/>
    <m/>
    <n v="2870567.11"/>
    <n v="2824143.05"/>
    <n v="2870567.11"/>
    <n v="2824143.05"/>
    <n v="102"/>
    <s v="AMOMPY"/>
    <s v="Momentum Capital Investment S.A."/>
    <s v="20/07/2026"/>
    <s v="20/07/2026"/>
    <n v="30"/>
    <s v="No"/>
    <s v=""/>
    <m/>
    <m/>
    <s v="*MAV100901507"/>
    <s v="*MAV100901507"/>
    <n v="4.6220133975266754E-5"/>
  </r>
  <r>
    <x v="0"/>
    <s v="Pesos"/>
    <d v="2026-09-15T00:00:00"/>
    <s v="25/08/2026"/>
    <n v="0.98303266"/>
    <m/>
    <n v="2000000"/>
    <n v="1966065.32"/>
    <n v="2000000"/>
    <n v="1966065.32"/>
    <n v="9803"/>
    <s v="AMOMPY"/>
    <s v="Momentum Capital Investment S.A."/>
    <s v="04/08/2026"/>
    <s v="04/08/2026"/>
    <n v="30"/>
    <s v="No"/>
    <s v=""/>
    <m/>
    <m/>
    <s v="*MAV110901432"/>
    <s v="*MAV110901432"/>
    <n v="3.2176770399263492E-5"/>
  </r>
  <r>
    <x v="136"/>
    <s v="Pesos"/>
    <d v="2026-09-15T00:00:00"/>
    <s v="25/08/2026"/>
    <n v="0.98461975000000002"/>
    <m/>
    <n v="500000000"/>
    <n v="492309876.30000001"/>
    <n v="500000000"/>
    <n v="492309876.30000001"/>
    <n v="60855163"/>
    <s v="AMOMPY"/>
    <s v="Momentum Capital Investment S.A."/>
    <s v="17/07/2026"/>
    <s v="17/07/2026"/>
    <n v="27.15"/>
    <s v="No"/>
    <s v=""/>
    <m/>
    <m/>
    <s v="*MAV110901240"/>
    <s v="*MAV110901240"/>
    <n v="8.0571798372369996E-3"/>
  </r>
  <r>
    <x v="136"/>
    <s v="Pesos"/>
    <d v="2026-09-15T00:00:00"/>
    <s v="25/08/2026"/>
    <n v="0.98461975000000002"/>
    <m/>
    <n v="1000000000"/>
    <n v="984619752.60000002"/>
    <n v="1000000000"/>
    <n v="984619752.6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6114359674473999E-2"/>
  </r>
  <r>
    <x v="137"/>
    <s v="Pesos"/>
    <d v="2026-09-15T00:00:00"/>
    <s v="25/08/2026"/>
    <n v="0.98414581999999995"/>
    <m/>
    <n v="500000000"/>
    <n v="492072908.25"/>
    <n v="500000000"/>
    <n v="492072908.25"/>
    <n v="156966"/>
    <s v="AMOMPY"/>
    <s v="Momentum Capital Investment S.A."/>
    <s v="15/07/2026"/>
    <s v="15/07/2026"/>
    <n v="28"/>
    <s v="No"/>
    <s v=""/>
    <m/>
    <m/>
    <s v="#MAV140960029"/>
    <s v="#MAV140960029"/>
    <n v="8.053301600609129E-3"/>
  </r>
  <r>
    <x v="2"/>
    <s v="Pesos"/>
    <d v="2026-09-15T00:00:00"/>
    <s v="25/08/2026"/>
    <n v="0.98136747000000002"/>
    <m/>
    <n v="19470985"/>
    <n v="19108191.219999999"/>
    <n v="19470985"/>
    <n v="19108191.219999999"/>
    <n v="1064"/>
    <s v="AMOMPY"/>
    <s v="Momentum Capital Investment S.A."/>
    <s v="16/06/2026"/>
    <s v="16/06/2026"/>
    <n v="33"/>
    <s v="No"/>
    <s v=""/>
    <m/>
    <m/>
    <s v="*MAV110901072"/>
    <s v="*MAV110901072"/>
    <n v="3.1272607037855817E-4"/>
  </r>
  <r>
    <x v="5"/>
    <s v="Pesos"/>
    <d v="2026-09-15T00:00:00"/>
    <s v="25/08/2026"/>
    <n v="0.98136749999999995"/>
    <m/>
    <n v="1070000"/>
    <n v="1050063.22"/>
    <n v="1070000"/>
    <n v="1050063.22"/>
    <n v="478"/>
    <s v="AMOMPY"/>
    <s v="Momentum Capital Investment S.A."/>
    <s v="16/07/2026"/>
    <s v="16/07/2026"/>
    <n v="33"/>
    <s v="No"/>
    <s v=""/>
    <m/>
    <m/>
    <s v="*MAV110901229"/>
    <s v="*MAV110901229"/>
    <n v="1.7185412300874779E-5"/>
  </r>
  <r>
    <x v="5"/>
    <s v="Pesos"/>
    <d v="2026-09-15T00:00:00"/>
    <s v="25/08/2026"/>
    <n v="0.98136749999999995"/>
    <m/>
    <n v="1070000"/>
    <n v="1050063.22"/>
    <n v="1070000"/>
    <n v="1050063.22"/>
    <n v="477"/>
    <s v="AMOMPY"/>
    <s v="Momentum Capital Investment S.A."/>
    <s v="16/07/2026"/>
    <s v="16/07/2026"/>
    <n v="33"/>
    <s v="No"/>
    <s v=""/>
    <m/>
    <m/>
    <s v="*MAV110901230"/>
    <s v="*MAV110901230"/>
    <n v="1.7185412300874779E-5"/>
  </r>
  <r>
    <x v="33"/>
    <s v="Pesos"/>
    <d v="2026-09-15T00:00:00"/>
    <s v="25/08/2026"/>
    <n v="0.98303260999999997"/>
    <m/>
    <n v="2700000"/>
    <n v="2654188.06"/>
    <n v="2700000"/>
    <n v="2654188.06"/>
    <n v="6277"/>
    <s v="AMOMPY"/>
    <s v="Momentum Capital Investment S.A."/>
    <s v="17/06/2026"/>
    <s v="17/06/2026"/>
    <n v="30"/>
    <s v="No"/>
    <s v=""/>
    <m/>
    <m/>
    <s v="*MAV110901080"/>
    <s v="*MAV110901080"/>
    <n v="4.3438638042344693E-5"/>
  </r>
  <r>
    <x v="82"/>
    <s v="Pesos"/>
    <d v="2026-09-15T00:00:00"/>
    <s v="25/08/2026"/>
    <n v="0.97860484000000003"/>
    <m/>
    <n v="25000000"/>
    <n v="24465121.02"/>
    <n v="25000000"/>
    <n v="24465121.02"/>
    <n v="155476"/>
    <s v="AMOMPY"/>
    <s v="Momentum Capital Investment S.A."/>
    <s v="07/07/2026"/>
    <s v="07/07/2026"/>
    <n v="38"/>
    <s v="No"/>
    <s v=""/>
    <m/>
    <m/>
    <s v="#MAV140960024"/>
    <s v="#MAV140960024"/>
    <n v="4.0039797958021814E-4"/>
  </r>
  <r>
    <x v="68"/>
    <s v="Pesos"/>
    <d v="2026-09-15T00:00:00"/>
    <s v="25/08/2026"/>
    <n v="0.97750404000000002"/>
    <m/>
    <n v="9975100.8000000007"/>
    <n v="9750701.2899999991"/>
    <n v="9975100.8000000007"/>
    <n v="9750701.2899999991"/>
    <n v="1179209"/>
    <s v="AMOMPY"/>
    <s v="Momentum Capital Investment S.A."/>
    <s v="16/04/2026"/>
    <s v="16/04/2026"/>
    <n v="40"/>
    <s v="No"/>
    <s v=""/>
    <m/>
    <m/>
    <s v="*MAV110900971"/>
    <s v="*MAV110900971"/>
    <n v="1.5958069828531042E-4"/>
  </r>
  <r>
    <x v="11"/>
    <s v="Pesos"/>
    <d v="2026-09-15T00:00:00"/>
    <s v="25/08/2026"/>
    <n v="0.98358889999999999"/>
    <m/>
    <n v="42000000"/>
    <n v="41310733.990000002"/>
    <n v="42000000"/>
    <n v="41310733.990000002"/>
    <n v="7579"/>
    <s v="AMOMPY"/>
    <s v="Momentum Capital Investment S.A."/>
    <s v="20/04/2026"/>
    <s v="20/04/2026"/>
    <n v="29"/>
    <s v="No"/>
    <s v=""/>
    <m/>
    <m/>
    <s v="*ACI110900205"/>
    <s v="*ACI110900205"/>
    <n v="6.7609452702277473E-4"/>
  </r>
  <r>
    <x v="12"/>
    <s v="Pesos"/>
    <d v="2026-09-15T00:00:00"/>
    <s v="25/08/2026"/>
    <n v="0.98470342"/>
    <m/>
    <n v="20000000"/>
    <n v="19694068.390000001"/>
    <n v="20000000"/>
    <n v="19694068.390000001"/>
    <n v="67970034"/>
    <s v="AMOMPY"/>
    <s v="Momentum Capital Investment S.A."/>
    <s v="29/06/2026"/>
    <s v="29/06/2026"/>
    <n v="27"/>
    <s v="No"/>
    <s v=""/>
    <m/>
    <m/>
    <s v="*PRO110900012"/>
    <s v="*PRO110900012"/>
    <n v="3.2231457946291572E-4"/>
  </r>
  <r>
    <x v="12"/>
    <s v="Pesos"/>
    <d v="2026-09-15T00:00:00"/>
    <s v="25/08/2026"/>
    <n v="0.98470342"/>
    <m/>
    <n v="10000000"/>
    <n v="9847034.1899999995"/>
    <n v="10000000"/>
    <n v="9847034.1899999995"/>
    <n v="67936487"/>
    <s v="AMOMPY"/>
    <s v="Momentum Capital Investment S.A."/>
    <s v="29/06/2026"/>
    <s v="29/06/2026"/>
    <n v="27"/>
    <s v="No"/>
    <s v=""/>
    <m/>
    <m/>
    <s v="*PRO110900013"/>
    <s v="*PRO110900013"/>
    <n v="1.6115728964962749E-4"/>
  </r>
  <r>
    <x v="12"/>
    <s v="Pesos"/>
    <d v="2026-09-15T00:00:00"/>
    <s v="25/08/2026"/>
    <n v="0.98414597999999998"/>
    <m/>
    <n v="10950000"/>
    <n v="10776398.49"/>
    <n v="10950000"/>
    <n v="10776398.49"/>
    <n v="90000867"/>
    <s v="AMOMPY"/>
    <s v="Momentum Capital Investment S.A."/>
    <s v="13/08/2026"/>
    <s v="13/08/2026"/>
    <n v="28"/>
    <s v="No"/>
    <s v=""/>
    <m/>
    <m/>
    <s v="*PRO110900016"/>
    <s v="*PRO110900016"/>
    <n v="1.7636733450122593E-4"/>
  </r>
  <r>
    <x v="10"/>
    <s v="Pesos"/>
    <d v="2026-09-15T00:00:00"/>
    <s v="25/08/2026"/>
    <n v="0.98582044000000002"/>
    <m/>
    <n v="5000000"/>
    <n v="4929102.2"/>
    <n v="5000000"/>
    <n v="4929102.2"/>
    <n v="8742"/>
    <s v="AMOMPY"/>
    <s v="Momentum Capital Investment S.A."/>
    <s v="17/07/2026"/>
    <s v="17/07/2026"/>
    <n v="25"/>
    <s v="No"/>
    <s v=""/>
    <m/>
    <m/>
    <s v="*MIL110900035"/>
    <s v="*MIL110900035"/>
    <n v="8.0670051066210029E-5"/>
  </r>
  <r>
    <x v="108"/>
    <s v="Pesos"/>
    <d v="2026-09-15T00:00:00"/>
    <s v="25/08/2026"/>
    <n v="0.97915609000000003"/>
    <m/>
    <n v="2687954.26"/>
    <n v="2631926.7799999998"/>
    <n v="2687954.26"/>
    <n v="2631926.7799999998"/>
    <n v="2818"/>
    <s v="AMOMPY"/>
    <s v="Momentum Capital Investment S.A."/>
    <s v="02/07/2026"/>
    <s v="02/07/2026"/>
    <n v="37"/>
    <s v="No"/>
    <s v=""/>
    <m/>
    <m/>
    <s v="*MAV110901140"/>
    <s v="*MAV110901140"/>
    <n v="4.3074308287851222E-5"/>
  </r>
  <r>
    <x v="58"/>
    <s v="Dolar Link"/>
    <d v="2026-09-15T00:00:00"/>
    <s v="25/08/2026"/>
    <n v="0.98862369000000005"/>
    <s v="1 BNA = 1529,9999326800 $"/>
    <n v="4708.03"/>
    <n v="4654.47"/>
    <n v="7203285.5800000001"/>
    <n v="7121338.79"/>
    <n v="101"/>
    <s v="AMOMPY"/>
    <s v="Momentum Capital Investment S.A."/>
    <s v="24/08/2026"/>
    <s v="24/08/2026"/>
    <n v="20"/>
    <s v="No"/>
    <s v=""/>
    <m/>
    <m/>
    <s v="%UZV120900001"/>
    <s v="%UZV120900001"/>
    <n v="1.1654835719354374E-4"/>
  </r>
  <r>
    <x v="138"/>
    <s v="Pesos"/>
    <d v="2026-09-15T00:00:00"/>
    <s v="25/08/2026"/>
    <n v="0.98192195000000004"/>
    <m/>
    <n v="3580581.29"/>
    <n v="3515851.37"/>
    <n v="3580581.29"/>
    <n v="3515851.37"/>
    <n v="10030703"/>
    <s v="AMOMPY"/>
    <s v="Momentum Capital Investment S.A."/>
    <s v="14/07/2026"/>
    <s v="14/07/2026"/>
    <n v="32"/>
    <s v="No"/>
    <s v=""/>
    <m/>
    <m/>
    <s v="*MAV110901206"/>
    <s v="*MAV110901206"/>
    <n v="5.7540683485748069E-5"/>
  </r>
  <r>
    <x v="133"/>
    <s v="Pesos"/>
    <d v="2026-09-15T00:00:00"/>
    <s v="25/08/2026"/>
    <n v="0.98081372"/>
    <m/>
    <n v="42000000"/>
    <n v="41194176.329999998"/>
    <n v="42000000"/>
    <n v="41194176.329999998"/>
    <n v="179"/>
    <s v="AMOMPY"/>
    <s v="Momentum Capital Investment S.A."/>
    <s v="11/06/2026"/>
    <s v="11/06/2026"/>
    <n v="34"/>
    <s v="No"/>
    <s v=""/>
    <m/>
    <m/>
    <s v="*MAV110901057"/>
    <s v="*MAV110901057"/>
    <n v="6.7418693574086577E-4"/>
  </r>
  <r>
    <x v="34"/>
    <s v="Pesos"/>
    <d v="2026-09-15T00:00:00"/>
    <s v="25/08/2026"/>
    <n v="0.98303258999999998"/>
    <m/>
    <n v="10000000"/>
    <n v="9830325.9199999999"/>
    <n v="10000000"/>
    <n v="9830325.9199999999"/>
    <n v="638"/>
    <s v="AMOMPY"/>
    <s v="Momentum Capital Investment S.A."/>
    <s v="16/06/2026"/>
    <s v="16/06/2026"/>
    <n v="30"/>
    <s v="No"/>
    <s v=""/>
    <m/>
    <m/>
    <s v="*MAV110901070"/>
    <s v="*MAV110901070"/>
    <n v="1.6088384086738718E-4"/>
  </r>
  <r>
    <x v="36"/>
    <s v="Pesos"/>
    <d v="2026-09-15T00:00:00"/>
    <s v="25/08/2026"/>
    <n v="0.98442456"/>
    <m/>
    <n v="25000000"/>
    <n v="24610613.98"/>
    <n v="25000000"/>
    <n v="24610613.98"/>
    <n v="325"/>
    <s v="AMOMPY"/>
    <s v="Momentum Capital Investment S.A."/>
    <s v="06/07/2026"/>
    <s v="06/07/2026"/>
    <n v="27.5"/>
    <s v="No"/>
    <s v=""/>
    <m/>
    <m/>
    <s v="*NIO110900024"/>
    <s v="*NIO110900024"/>
    <n v="4.0277912812142187E-4"/>
  </r>
  <r>
    <x v="51"/>
    <s v="Pesos"/>
    <d v="2026-09-15T00:00:00"/>
    <s v="25/08/2026"/>
    <n v="0.98136754000000004"/>
    <m/>
    <n v="5350000"/>
    <n v="5250316.3600000003"/>
    <n v="5350000"/>
    <n v="5250316.3600000003"/>
    <n v="803"/>
    <s v="AMOMPY"/>
    <s v="Momentum Capital Investment S.A."/>
    <s v="28/07/2026"/>
    <s v="28/07/2026"/>
    <n v="33"/>
    <s v="No"/>
    <s v=""/>
    <m/>
    <m/>
    <s v="*MAV110901366"/>
    <s v="*MAV110901366"/>
    <n v="8.5927065759553123E-5"/>
  </r>
  <r>
    <x v="51"/>
    <s v="Pesos"/>
    <d v="2026-09-15T00:00:00"/>
    <s v="25/08/2026"/>
    <n v="0.98136754000000004"/>
    <m/>
    <n v="5000000"/>
    <n v="4906837.71"/>
    <n v="5000000"/>
    <n v="4906837.71"/>
    <n v="902"/>
    <s v="AMOMPY"/>
    <s v="Momentum Capital Investment S.A."/>
    <s v="28/07/2026"/>
    <s v="28/07/2026"/>
    <n v="33"/>
    <s v="No"/>
    <s v=""/>
    <m/>
    <m/>
    <s v="*MAV110901367"/>
    <s v="*MAV110901367"/>
    <n v="8.0305668776619205E-5"/>
  </r>
  <r>
    <x v="99"/>
    <s v="Pesos"/>
    <d v="2026-09-15T00:00:00"/>
    <s v="25/08/2026"/>
    <n v="0.98192193000000005"/>
    <m/>
    <n v="15355310.449999999"/>
    <n v="15077716.01"/>
    <n v="15355310.449999999"/>
    <n v="15077716.01"/>
    <n v="30744"/>
    <s v="AMOMPY"/>
    <s v="Momentum Capital Investment S.A."/>
    <s v="04/06/2026"/>
    <s v="04/06/2026"/>
    <n v="32"/>
    <s v="No"/>
    <s v=""/>
    <m/>
    <m/>
    <s v="*MAV110901015"/>
    <s v="*MAV110901015"/>
    <n v="2.4676301507575E-4"/>
  </r>
  <r>
    <x v="99"/>
    <s v="Pesos"/>
    <d v="2026-09-15T00:00:00"/>
    <s v="25/08/2026"/>
    <n v="0.98136749999999995"/>
    <m/>
    <n v="16005575.68"/>
    <n v="15707351.74"/>
    <n v="16005575.68"/>
    <n v="15707351.74"/>
    <n v="30720"/>
    <s v="AMOMPY"/>
    <s v="Momentum Capital Investment S.A."/>
    <s v="27/05/2026"/>
    <s v="27/05/2026"/>
    <n v="33"/>
    <s v="No"/>
    <s v=""/>
    <m/>
    <m/>
    <s v="*MAV110900995"/>
    <s v="*MAV110900995"/>
    <n v="2.5706767998860377E-4"/>
  </r>
  <r>
    <x v="139"/>
    <s v="Pesos"/>
    <d v="2026-09-15T00:00:00"/>
    <s v="25/08/2026"/>
    <n v="0.98470340000000001"/>
    <m/>
    <n v="150000000"/>
    <n v="147705509.34"/>
    <n v="150000000"/>
    <n v="147705509.34"/>
    <n v="67980"/>
    <s v="AMOMPY"/>
    <s v="Momentum Capital Investment S.A."/>
    <s v="12/05/2026"/>
    <s v="12/05/2026"/>
    <n v="27"/>
    <s v="No"/>
    <s v=""/>
    <m/>
    <m/>
    <s v="*MAV110900982"/>
    <s v="*MAV110900982"/>
    <n v="2.4173592872994928E-3"/>
  </r>
  <r>
    <x v="140"/>
    <s v="Pesos"/>
    <d v="2026-09-15T00:00:00"/>
    <s v="25/08/2026"/>
    <n v="0.98136760999999995"/>
    <m/>
    <n v="41056810.280000001"/>
    <n v="40291823.810000002"/>
    <n v="41056810.280000001"/>
    <n v="40291823.810000002"/>
    <n v="68813941"/>
    <s v="AMOMPY"/>
    <s v="Momentum Capital Investment S.A."/>
    <s v="19/08/2026"/>
    <s v="19/08/2026"/>
    <n v="33"/>
    <s v="No"/>
    <s v=""/>
    <m/>
    <m/>
    <s v="*MAV110901676"/>
    <s v="*MAV110901676"/>
    <n v="6.5941896767801589E-4"/>
  </r>
  <r>
    <x v="141"/>
    <s v="Pesos"/>
    <d v="2026-09-15T00:00:00"/>
    <s v="25/08/2026"/>
    <n v="0.97915638000000005"/>
    <m/>
    <n v="14918805.560000001"/>
    <n v="14607843.609999999"/>
    <n v="14918805.560000001"/>
    <n v="14607843.609999999"/>
    <n v="99"/>
    <s v="AMOMPY"/>
    <s v="Momentum Capital Investment S.A."/>
    <s v="24/08/2026"/>
    <s v="24/08/2026"/>
    <n v="37"/>
    <s v="No"/>
    <s v=""/>
    <m/>
    <m/>
    <s v="%CP1130900001"/>
    <s v="%CP1130900001"/>
    <n v="2.3907304863468031E-4"/>
  </r>
  <r>
    <x v="87"/>
    <s v="Pesos"/>
    <d v="2026-09-15T00:00:00"/>
    <s v="25/08/2026"/>
    <n v="0.97860488999999995"/>
    <m/>
    <n v="158200000"/>
    <n v="154815292.94999999"/>
    <n v="158200000"/>
    <n v="154815292.94999999"/>
    <n v="70395880"/>
    <s v="AMOMPY"/>
    <s v="Momentum Capital Investment S.A."/>
    <s v="29/07/2026"/>
    <s v="29/07/2026"/>
    <n v="38"/>
    <s v="No"/>
    <s v=""/>
    <m/>
    <m/>
    <s v="*MAV110901378"/>
    <s v="*MAV110901378"/>
    <n v="2.5337185315627586E-3"/>
  </r>
  <r>
    <x v="88"/>
    <s v="Pesos"/>
    <d v="2026-09-15T00:00:00"/>
    <s v="25/08/2026"/>
    <n v="0.97860480999999999"/>
    <m/>
    <n v="60000000"/>
    <n v="58716288.890000001"/>
    <n v="60000000"/>
    <n v="58716288.890000001"/>
    <n v="70379071"/>
    <s v="AMOMPY"/>
    <s v="Momentum Capital Investment S.A."/>
    <s v="22/06/2026"/>
    <s v="22/06/2026"/>
    <n v="38"/>
    <s v="No"/>
    <s v=""/>
    <m/>
    <m/>
    <s v="*MAV110901103"/>
    <s v="*MAV110901103"/>
    <n v="9.6095512549418036E-4"/>
  </r>
  <r>
    <x v="115"/>
    <s v="Pesos"/>
    <d v="2026-09-15T00:00:00"/>
    <s v="25/08/2026"/>
    <n v="0.98665986000000006"/>
    <m/>
    <n v="32857753.120000001"/>
    <n v="32419426.210000001"/>
    <n v="32857753.120000001"/>
    <n v="32419426.210000001"/>
    <n v="89"/>
    <s v="AMOMPY"/>
    <s v="Momentum Capital Investment S.A."/>
    <s v="17/07/2026"/>
    <s v="17/07/2026"/>
    <n v="23.5"/>
    <s v="No"/>
    <s v=""/>
    <m/>
    <m/>
    <s v="%INC120900036"/>
    <s v="%INC120900036"/>
    <n v="5.3057872646623718E-4"/>
  </r>
  <r>
    <x v="24"/>
    <s v="Pesos"/>
    <d v="2026-09-15T00:00:00"/>
    <s v="25/08/2026"/>
    <n v="0.98192193000000005"/>
    <m/>
    <n v="1000000"/>
    <n v="981921.93"/>
    <n v="1000000"/>
    <n v="981921.93"/>
    <n v="67381897"/>
    <s v="AMOMPY"/>
    <s v="Momentum Capital Investment S.A."/>
    <s v="04/06/2026"/>
    <s v="04/06/2026"/>
    <n v="32"/>
    <s v="No"/>
    <s v=""/>
    <m/>
    <m/>
    <s v="*MAV110901014"/>
    <s v="*MAV110901014"/>
    <n v="1.6070206910323649E-5"/>
  </r>
  <r>
    <x v="74"/>
    <s v="Pesos"/>
    <d v="2026-09-15T00:00:00"/>
    <s v="25/08/2026"/>
    <n v="0.98303258999999998"/>
    <m/>
    <n v="2500000"/>
    <n v="2457581.48"/>
    <n v="2500000"/>
    <n v="2457581.48"/>
    <n v="346"/>
    <s v="AMOMPY"/>
    <s v="Momentum Capital Investment S.A."/>
    <s v="15/07/2026"/>
    <s v="15/07/2026"/>
    <n v="30"/>
    <s v="No"/>
    <s v=""/>
    <m/>
    <m/>
    <s v="*MAV110901220"/>
    <s v="*MAV110901220"/>
    <n v="4.0220960216846795E-5"/>
  </r>
  <r>
    <x v="46"/>
    <s v="Pesos"/>
    <d v="2026-09-15T00:00:00"/>
    <s v="25/08/2026"/>
    <n v="0.98303264000000001"/>
    <m/>
    <n v="1579238.43"/>
    <n v="1552442.92"/>
    <n v="1579238.43"/>
    <n v="1552442.92"/>
    <n v="1564"/>
    <s v="AMOMPY"/>
    <s v="Momentum Capital Investment S.A."/>
    <s v="20/07/2026"/>
    <s v="20/07/2026"/>
    <n v="30"/>
    <s v="No"/>
    <s v=""/>
    <m/>
    <m/>
    <s v="*MAV110901294"/>
    <s v="*MAV110901294"/>
    <n v="2.5407395617355264E-5"/>
  </r>
  <r>
    <x v="0"/>
    <s v="Pesos"/>
    <d v="2026-09-16T00:00:00"/>
    <s v="25/08/2026"/>
    <n v="0.98223897999999998"/>
    <m/>
    <n v="2200000"/>
    <n v="2160925.7599999998"/>
    <n v="2200000"/>
    <n v="2160925.7599999998"/>
    <n v="9794"/>
    <s v="AMOMPY"/>
    <s v="Momentum Capital Investment S.A."/>
    <s v="13/07/2026"/>
    <s v="13/07/2026"/>
    <n v="30"/>
    <s v="No"/>
    <s v=""/>
    <m/>
    <m/>
    <s v="*MAV130901098"/>
    <s v="*MAV130901098"/>
    <n v="3.5365870768410662E-5"/>
  </r>
  <r>
    <x v="131"/>
    <s v="Pesos"/>
    <d v="2026-09-16T00:00:00"/>
    <s v="25/08/2026"/>
    <n v="0.98515523999999999"/>
    <m/>
    <n v="9600000"/>
    <n v="9457490.2599999998"/>
    <n v="9600000"/>
    <n v="9457490.2599999998"/>
    <n v="33950"/>
    <s v="AMOMPY"/>
    <s v="Momentum Capital Investment S.A."/>
    <s v="12/06/2026"/>
    <s v="12/06/2026"/>
    <n v="25"/>
    <s v="No"/>
    <s v=""/>
    <m/>
    <m/>
    <s v="*MAV120901494"/>
    <s v="*MAV120901494"/>
    <n v="1.5478198488811694E-4"/>
  </r>
  <r>
    <x v="131"/>
    <s v="Pesos"/>
    <d v="2026-09-16T00:00:00"/>
    <s v="25/08/2026"/>
    <n v="0.98515523999999999"/>
    <m/>
    <n v="9600000"/>
    <n v="9457490.2599999998"/>
    <n v="9600000"/>
    <n v="9457490.2599999998"/>
    <n v="33951"/>
    <s v="AMOMPY"/>
    <s v="Momentum Capital Investment S.A."/>
    <s v="12/06/2026"/>
    <s v="12/06/2026"/>
    <n v="25"/>
    <s v="No"/>
    <s v=""/>
    <m/>
    <m/>
    <s v="*MAV140900962"/>
    <s v="*MAV140900962"/>
    <n v="1.5478198488811694E-4"/>
  </r>
  <r>
    <x v="102"/>
    <s v="Pesos"/>
    <d v="2026-09-16T00:00:00"/>
    <s v="25/08/2026"/>
    <n v="0.98049754"/>
    <m/>
    <n v="80000000"/>
    <n v="78439802.969999999"/>
    <n v="80000000"/>
    <n v="78439802.969999999"/>
    <n v="804"/>
    <s v="AMOMPY"/>
    <s v="Momentum Capital Investment S.A."/>
    <s v="04/08/2026"/>
    <s v="04/08/2026"/>
    <n v="33"/>
    <s v="No"/>
    <s v=""/>
    <m/>
    <m/>
    <s v="*MAV140901421"/>
    <s v="*MAV140901421"/>
    <n v="1.2837516152968693E-3"/>
  </r>
  <r>
    <x v="142"/>
    <s v="Pesos"/>
    <d v="2026-09-16T00:00:00"/>
    <s v="25/08/2026"/>
    <n v="0.98107734999999996"/>
    <m/>
    <n v="6428571.6600000001"/>
    <n v="6306926.0599999996"/>
    <n v="6428571.6600000001"/>
    <n v="6306926.0599999996"/>
    <n v="3486"/>
    <s v="AMOMPY"/>
    <s v="Momentum Capital Investment S.A."/>
    <s v="14/07/2026"/>
    <s v="14/07/2026"/>
    <n v="32"/>
    <s v="No"/>
    <s v=""/>
    <m/>
    <m/>
    <s v="*MAV140901200"/>
    <s v="*MAV140901200"/>
    <n v="1.0321961823615886E-4"/>
  </r>
  <r>
    <x v="5"/>
    <s v="Pesos"/>
    <d v="2026-09-16T00:00:00"/>
    <s v="25/08/2026"/>
    <n v="0.98049752000000001"/>
    <m/>
    <n v="1070000"/>
    <n v="1049132.3500000001"/>
    <n v="1070000"/>
    <n v="1049132.3500000001"/>
    <n v="479"/>
    <s v="AMOMPY"/>
    <s v="Momentum Capital Investment S.A."/>
    <s v="16/07/2026"/>
    <s v="16/07/2026"/>
    <n v="33"/>
    <s v="No"/>
    <s v=""/>
    <m/>
    <m/>
    <s v="*MAV120901576"/>
    <s v="*MAV120901576"/>
    <n v="1.717017761362565E-5"/>
  </r>
  <r>
    <x v="5"/>
    <s v="Pesos"/>
    <d v="2026-09-16T00:00:00"/>
    <s v="25/08/2026"/>
    <n v="0.98049752000000001"/>
    <m/>
    <n v="1070000"/>
    <n v="1049132.3500000001"/>
    <n v="1070000"/>
    <n v="1049132.3500000001"/>
    <n v="480"/>
    <s v="AMOMPY"/>
    <s v="Momentum Capital Investment S.A."/>
    <s v="16/07/2026"/>
    <s v="16/07/2026"/>
    <n v="33"/>
    <s v="No"/>
    <s v=""/>
    <m/>
    <m/>
    <s v="*MAV130901106"/>
    <s v="*MAV130901106"/>
    <n v="1.717017761362565E-5"/>
  </r>
  <r>
    <x v="5"/>
    <s v="Pesos"/>
    <d v="2026-09-16T00:00:00"/>
    <s v="25/08/2026"/>
    <n v="0.98049750999999996"/>
    <m/>
    <n v="1200000"/>
    <n v="1176597.01"/>
    <n v="1200000"/>
    <n v="1176597.01"/>
    <n v="481"/>
    <s v="AMOMPY"/>
    <s v="Momentum Capital Investment S.A."/>
    <s v="16/07/2026"/>
    <s v="16/07/2026"/>
    <n v="33"/>
    <s v="No"/>
    <s v=""/>
    <m/>
    <m/>
    <s v="*MAV140901231"/>
    <s v="*MAV140901231"/>
    <n v="1.9256273664005187E-5"/>
  </r>
  <r>
    <x v="143"/>
    <s v="Pesos"/>
    <d v="2026-09-16T00:00:00"/>
    <s v="25/08/2026"/>
    <n v="0.98049752000000001"/>
    <m/>
    <n v="3424300"/>
    <n v="3357517.66"/>
    <n v="3424300"/>
    <n v="3357517.66"/>
    <n v="1391"/>
    <s v="AMOMPY"/>
    <s v="Momentum Capital Investment S.A."/>
    <s v="27/05/2026"/>
    <s v="27/05/2026"/>
    <n v="33"/>
    <s v="No"/>
    <s v=""/>
    <m/>
    <m/>
    <s v="*MAV140900870"/>
    <s v="*MAV140900870"/>
    <n v="5.4949382280590977E-5"/>
  </r>
  <r>
    <x v="48"/>
    <s v="Pesos"/>
    <d v="2026-09-16T00:00:00"/>
    <s v="25/08/2026"/>
    <n v="0.98457063"/>
    <m/>
    <n v="73000000"/>
    <n v="71873656"/>
    <n v="73000000"/>
    <n v="71873656"/>
    <n v="68343292"/>
    <s v="AMOMPY"/>
    <s v="Momentum Capital Investment S.A."/>
    <s v="15/07/2026"/>
    <s v="15/07/2026"/>
    <n v="26"/>
    <s v="No"/>
    <s v=""/>
    <m/>
    <m/>
    <s v="*FED140900034"/>
    <s v="*FED140900034"/>
    <n v="1.1762895684806886E-3"/>
  </r>
  <r>
    <x v="34"/>
    <s v="Pesos"/>
    <d v="2026-09-16T00:00:00"/>
    <s v="25/08/2026"/>
    <n v="0.98107732000000003"/>
    <m/>
    <n v="2000000"/>
    <n v="1962154.63"/>
    <n v="2000000"/>
    <n v="1962154.63"/>
    <n v="1006"/>
    <s v="AMOMPY"/>
    <s v="Momentum Capital Investment S.A."/>
    <s v="18/08/2026"/>
    <s v="18/08/2026"/>
    <n v="32"/>
    <s v="No"/>
    <s v=""/>
    <m/>
    <m/>
    <s v="*MAV140901653"/>
    <s v="*MAV140901653"/>
    <n v="3.2112767757564535E-5"/>
  </r>
  <r>
    <x v="34"/>
    <s v="Pesos"/>
    <d v="2026-09-16T00:00:00"/>
    <s v="25/08/2026"/>
    <n v="0.98223901000000002"/>
    <m/>
    <n v="7500000"/>
    <n v="7366792.5899999999"/>
    <n v="7500000"/>
    <n v="7366792.5899999999"/>
    <n v="512"/>
    <s v="AMOMPY"/>
    <s v="Momentum Capital Investment S.A."/>
    <s v="18/05/2026"/>
    <s v="18/05/2026"/>
    <n v="30"/>
    <s v="No"/>
    <s v=""/>
    <m/>
    <m/>
    <s v="*MAV120901457"/>
    <s v="*MAV120901457"/>
    <n v="1.2056547223335673E-4"/>
  </r>
  <r>
    <x v="68"/>
    <s v="Pesos"/>
    <d v="2026-09-16T00:00:00"/>
    <s v="25/08/2026"/>
    <n v="0.97645800000000005"/>
    <m/>
    <n v="9974100"/>
    <n v="9739289.7599999998"/>
    <n v="9974100"/>
    <n v="9739289.7599999998"/>
    <n v="1179211"/>
    <s v="AMOMPY"/>
    <s v="Momentum Capital Investment S.A."/>
    <s v="16/04/2026"/>
    <s v="16/04/2026"/>
    <n v="40"/>
    <s v="No"/>
    <s v=""/>
    <m/>
    <m/>
    <s v="*MAV130901052"/>
    <s v="*MAV130901052"/>
    <n v="1.5939393634155453E-4"/>
  </r>
  <r>
    <x v="68"/>
    <s v="Pesos"/>
    <d v="2026-09-16T00:00:00"/>
    <s v="25/08/2026"/>
    <n v="0.97645800000000005"/>
    <m/>
    <n v="9973400"/>
    <n v="9738606.2400000002"/>
    <n v="9973400"/>
    <n v="9738606.2400000002"/>
    <n v="1179210"/>
    <s v="AMOMPY"/>
    <s v="Momentum Capital Investment S.A."/>
    <s v="16/04/2026"/>
    <s v="16/04/2026"/>
    <n v="40"/>
    <s v="No"/>
    <s v=""/>
    <m/>
    <m/>
    <s v="*MAV120901447"/>
    <s v="*MAV120901447"/>
    <n v="1.5938274980269461E-4"/>
  </r>
  <r>
    <x v="68"/>
    <s v="Pesos"/>
    <d v="2026-09-16T00:00:00"/>
    <s v="25/08/2026"/>
    <n v="0.97645800000000005"/>
    <m/>
    <n v="9973360.4700000007"/>
    <n v="9738567.6300000008"/>
    <n v="9973360.4700000007"/>
    <n v="9738567.6300000008"/>
    <n v="1179212"/>
    <s v="AMOMPY"/>
    <s v="Momentum Capital Investment S.A."/>
    <s v="16/04/2026"/>
    <s v="16/04/2026"/>
    <n v="40"/>
    <s v="No"/>
    <s v=""/>
    <m/>
    <m/>
    <s v="*MAV140900802"/>
    <s v="*MAV140900802"/>
    <n v="1.5938211790857978E-4"/>
  </r>
  <r>
    <x v="49"/>
    <s v="Pesos"/>
    <d v="2026-09-16T00:00:00"/>
    <s v="25/08/2026"/>
    <n v="0.98049752999999995"/>
    <m/>
    <n v="5000000"/>
    <n v="4902487.6500000004"/>
    <n v="5000000"/>
    <n v="4902487.6500000004"/>
    <n v="3817584"/>
    <s v="AMOMPY"/>
    <s v="Momentum Capital Investment S.A."/>
    <s v="11/08/2026"/>
    <s v="11/08/2026"/>
    <n v="33"/>
    <s v="No"/>
    <s v=""/>
    <m/>
    <m/>
    <s v="*MAV140901568"/>
    <s v="*MAV140901568"/>
    <n v="8.0234475373012958E-5"/>
  </r>
  <r>
    <x v="12"/>
    <s v="Pesos"/>
    <d v="2026-09-16T00:00:00"/>
    <s v="25/08/2026"/>
    <n v="0.98515520000000001"/>
    <m/>
    <n v="32000000"/>
    <n v="31524966.300000001"/>
    <n v="32000000"/>
    <n v="31524966.300000001"/>
    <n v="5310"/>
    <s v="AMOMPY"/>
    <s v="Momentum Capital Investment S.A."/>
    <s v="16/07/2026"/>
    <s v="16/07/2026"/>
    <n v="25"/>
    <s v="No"/>
    <s v=""/>
    <m/>
    <m/>
    <s v="*PRO140900027"/>
    <s v="*PRO140900027"/>
    <n v="5.1593992944223193E-4"/>
  </r>
  <r>
    <x v="13"/>
    <s v="Pesos"/>
    <d v="2026-09-16T00:00:00"/>
    <s v="25/08/2026"/>
    <n v="0.98340340000000004"/>
    <m/>
    <n v="10000000"/>
    <n v="9834034.0199999996"/>
    <n v="10000000"/>
    <n v="9834034.0199999996"/>
    <n v="360564"/>
    <s v="AMOMPY"/>
    <s v="Momentum Capital Investment S.A."/>
    <s v="21/04/2026"/>
    <s v="21/04/2026"/>
    <n v="28"/>
    <s v="No"/>
    <s v=""/>
    <m/>
    <m/>
    <s v="*MOV130900059"/>
    <s v="*MOV130900059"/>
    <n v="1.6094452790616648E-4"/>
  </r>
  <r>
    <x v="108"/>
    <s v="Pesos"/>
    <d v="2026-09-16T00:00:00"/>
    <s v="25/08/2026"/>
    <n v="0.98049755000000005"/>
    <m/>
    <n v="5000000"/>
    <n v="4902487.75"/>
    <n v="5000000"/>
    <n v="4902487.75"/>
    <n v="3047"/>
    <s v="AMOMPY"/>
    <s v="Momentum Capital Investment S.A."/>
    <s v="21/07/2026"/>
    <s v="21/07/2026"/>
    <n v="33"/>
    <s v="No"/>
    <s v=""/>
    <m/>
    <m/>
    <s v="*MAV140901295"/>
    <s v="*MAV140901295"/>
    <n v="8.0234477009620352E-5"/>
  </r>
  <r>
    <x v="10"/>
    <s v="Pesos"/>
    <d v="2026-09-16T00:00:00"/>
    <s v="25/08/2026"/>
    <n v="0.98515522"/>
    <m/>
    <n v="10000000"/>
    <n v="9851552.2200000007"/>
    <n v="10000000"/>
    <n v="9851552.2200000007"/>
    <n v="187"/>
    <s v="AMOMPY"/>
    <s v="Momentum Capital Investment S.A."/>
    <s v="17/07/2026"/>
    <s v="17/07/2026"/>
    <n v="25"/>
    <s v="No"/>
    <s v=""/>
    <m/>
    <m/>
    <s v="*MIL140900031"/>
    <s v="*MIL140900031"/>
    <n v="1.6123123206267356E-4"/>
  </r>
  <r>
    <x v="34"/>
    <s v="Pesos"/>
    <d v="2026-09-16T00:00:00"/>
    <s v="25/08/2026"/>
    <n v="0.98223899000000003"/>
    <m/>
    <n v="3300000"/>
    <n v="3241388.66"/>
    <n v="3300000"/>
    <n v="3241388.66"/>
    <n v="920"/>
    <s v="AMOMPY"/>
    <s v="Momentum Capital Investment S.A."/>
    <s v="11/08/2026"/>
    <s v="11/08/2026"/>
    <n v="30"/>
    <s v="No"/>
    <s v=""/>
    <m/>
    <m/>
    <s v="*MAV140901559"/>
    <s v="*MAV140901559"/>
    <n v="5.3048806479937483E-5"/>
  </r>
  <r>
    <x v="138"/>
    <s v="Pesos"/>
    <d v="2026-09-16T00:00:00"/>
    <s v="25/08/2026"/>
    <n v="0.98107734999999996"/>
    <m/>
    <n v="2994166.19"/>
    <n v="2937508.64"/>
    <n v="2994166.19"/>
    <n v="2937508.64"/>
    <n v="10030705"/>
    <s v="AMOMPY"/>
    <s v="Momentum Capital Investment S.A."/>
    <s v="14/07/2026"/>
    <s v="14/07/2026"/>
    <n v="32"/>
    <s v="No"/>
    <s v=""/>
    <m/>
    <m/>
    <s v="*MAV120901566"/>
    <s v="*MAV120901566"/>
    <n v="4.8075483603531931E-5"/>
  </r>
  <r>
    <x v="34"/>
    <s v="Pesos"/>
    <d v="2026-09-16T00:00:00"/>
    <s v="25/08/2026"/>
    <n v="0.98223901999999996"/>
    <m/>
    <n v="10000000"/>
    <n v="9822390.25"/>
    <n v="10000000"/>
    <n v="9822390.25"/>
    <n v="579"/>
    <s v="AMOMPY"/>
    <s v="Momentum Capital Investment S.A."/>
    <s v="02/06/2026"/>
    <s v="02/06/2026"/>
    <n v="30"/>
    <s v="No"/>
    <s v=""/>
    <m/>
    <m/>
    <s v="*MAV140900905"/>
    <s v="*MAV140900905"/>
    <n v="1.6075396510539859E-4"/>
  </r>
  <r>
    <x v="51"/>
    <s v="Pesos"/>
    <d v="2026-09-16T00:00:00"/>
    <s v="25/08/2026"/>
    <n v="0.98049754"/>
    <m/>
    <n v="5350000"/>
    <n v="5245661.8499999996"/>
    <n v="5350000"/>
    <n v="5245661.8499999996"/>
    <n v="804"/>
    <s v="AMOMPY"/>
    <s v="Momentum Capital Investment S.A."/>
    <s v="28/07/2026"/>
    <s v="28/07/2026"/>
    <n v="33"/>
    <s v="No"/>
    <s v=""/>
    <m/>
    <m/>
    <s v="*MAV140901324"/>
    <s v="*MAV140901324"/>
    <n v="8.5850889704735625E-5"/>
  </r>
  <r>
    <x v="99"/>
    <s v="Pesos"/>
    <d v="2026-09-16T00:00:00"/>
    <s v="25/08/2026"/>
    <n v="0.98107734000000002"/>
    <m/>
    <n v="15355310.449999999"/>
    <n v="15064747.08"/>
    <n v="15355310.449999999"/>
    <n v="15064747.08"/>
    <n v="30745"/>
    <s v="AMOMPY"/>
    <s v="Momentum Capital Investment S.A."/>
    <s v="04/06/2026"/>
    <s v="04/06/2026"/>
    <n v="32"/>
    <s v="No"/>
    <s v=""/>
    <m/>
    <m/>
    <s v="*MAV140900928"/>
    <s v="*MAV140900928"/>
    <n v="2.465507646084389E-4"/>
  </r>
  <r>
    <x v="99"/>
    <s v="Pesos"/>
    <d v="2026-09-16T00:00:00"/>
    <s v="25/08/2026"/>
    <n v="0.98049752000000001"/>
    <m/>
    <n v="16005575.68"/>
    <n v="15693427.279999999"/>
    <n v="16005575.68"/>
    <n v="15693427.279999999"/>
    <n v="30721"/>
    <s v="AMOMPY"/>
    <s v="Momentum Capital Investment S.A."/>
    <s v="27/05/2026"/>
    <s v="27/05/2026"/>
    <n v="33"/>
    <s v="No"/>
    <s v=""/>
    <m/>
    <m/>
    <s v="*MAV140900871"/>
    <s v="*MAV140900871"/>
    <n v="2.5683979124666018E-4"/>
  </r>
  <r>
    <x v="144"/>
    <s v="Pesos"/>
    <d v="2026-09-16T00:00:00"/>
    <s v="25/08/2026"/>
    <n v="0.98049757999999998"/>
    <m/>
    <n v="40178584.170000002"/>
    <n v="39395004.710000001"/>
    <n v="40178584.170000002"/>
    <n v="39395004.710000001"/>
    <n v="78799359"/>
    <s v="AMOMPY"/>
    <s v="Momentum Capital Investment S.A."/>
    <s v="19/08/2026"/>
    <s v="19/08/2026"/>
    <n v="33"/>
    <s v="No"/>
    <s v=""/>
    <m/>
    <m/>
    <s v="*MAV120901741"/>
    <s v="*MAV120901741"/>
    <n v="6.447415599760306E-4"/>
  </r>
  <r>
    <x v="145"/>
    <s v="Pesos"/>
    <d v="2026-09-16T00:00:00"/>
    <s v="25/08/2026"/>
    <n v="0.98107734000000002"/>
    <m/>
    <n v="10000000"/>
    <n v="9810773.3599999994"/>
    <n v="10000000"/>
    <n v="9810773.3599999994"/>
    <n v="13795877"/>
    <s v="AMOMPY"/>
    <s v="Momentum Capital Investment S.A."/>
    <s v="04/06/2026"/>
    <s v="04/06/2026"/>
    <n v="32"/>
    <s v="No"/>
    <s v=""/>
    <m/>
    <m/>
    <s v="*MAV140900929"/>
    <s v="*MAV140900929"/>
    <n v="1.605638422246982E-4"/>
  </r>
  <r>
    <x v="145"/>
    <s v="Pesos"/>
    <d v="2026-09-16T00:00:00"/>
    <s v="25/08/2026"/>
    <n v="0.98049755999999999"/>
    <m/>
    <n v="40000000"/>
    <n v="39219902.270000003"/>
    <n v="40000000"/>
    <n v="39219902.270000003"/>
    <n v="13662782"/>
    <s v="AMOMPY"/>
    <s v="Momentum Capital Investment S.A."/>
    <s v="29/05/2026"/>
    <s v="29/05/2026"/>
    <n v="33"/>
    <s v="No"/>
    <s v=""/>
    <m/>
    <m/>
    <s v="*MAV140900894"/>
    <s v="*MAV140900894"/>
    <n v="6.4187582049580279E-4"/>
  </r>
  <r>
    <x v="38"/>
    <s v="Pesos"/>
    <d v="2026-09-16T00:00:00"/>
    <s v="25/08/2026"/>
    <n v="0.98049757999999998"/>
    <m/>
    <n v="54981002.380000003"/>
    <n v="53908739.969999999"/>
    <n v="54981002.380000003"/>
    <n v="53908739.969999999"/>
    <n v="615566"/>
    <s v="AMOMPY"/>
    <s v="Momentum Capital Investment S.A."/>
    <s v="19/08/2026"/>
    <s v="19/08/2026"/>
    <n v="33"/>
    <s v="No"/>
    <s v=""/>
    <m/>
    <m/>
    <s v="*MAV140901676"/>
    <s v="*MAV140901676"/>
    <n v="8.8227442439617852E-4"/>
  </r>
  <r>
    <x v="38"/>
    <s v="Pesos"/>
    <d v="2026-09-16T00:00:00"/>
    <s v="25/08/2026"/>
    <n v="0.98049757999999998"/>
    <m/>
    <n v="62834653.810000002"/>
    <n v="61609226.219999999"/>
    <n v="62834653.810000002"/>
    <n v="61609226.219999999"/>
    <n v="625081"/>
    <s v="AMOMPY"/>
    <s v="Momentum Capital Investment S.A."/>
    <s v="19/08/2026"/>
    <s v="19/08/2026"/>
    <n v="33"/>
    <s v="No"/>
    <s v=""/>
    <m/>
    <m/>
    <s v="*MAV140901678"/>
    <s v="*MAV140901678"/>
    <n v="1.0083011517426207E-3"/>
  </r>
  <r>
    <x v="38"/>
    <s v="Pesos"/>
    <d v="2026-09-16T00:00:00"/>
    <s v="25/08/2026"/>
    <n v="0.98049757999999998"/>
    <m/>
    <n v="60486147.640000001"/>
    <n v="59306521.600000001"/>
    <n v="60486147.640000001"/>
    <n v="59306521.600000001"/>
    <n v="580997"/>
    <s v="AMOMPY"/>
    <s v="Momentum Capital Investment S.A."/>
    <s v="19/08/2026"/>
    <s v="19/08/2026"/>
    <n v="33"/>
    <s v="No"/>
    <s v=""/>
    <m/>
    <m/>
    <s v="*MAV140901677"/>
    <s v="*MAV140901677"/>
    <n v="9.7061491766822934E-4"/>
  </r>
  <r>
    <x v="38"/>
    <s v="Pesos"/>
    <d v="2026-09-16T00:00:00"/>
    <s v="25/08/2026"/>
    <n v="0.98049757999999998"/>
    <m/>
    <n v="10751187.560000001"/>
    <n v="10541513.43"/>
    <n v="10751187.560000001"/>
    <n v="10541513.43"/>
    <n v="608932"/>
    <s v="AMOMPY"/>
    <s v="Momentum Capital Investment S.A."/>
    <s v="19/08/2026"/>
    <s v="19/08/2026"/>
    <n v="33"/>
    <s v="No"/>
    <s v=""/>
    <m/>
    <m/>
    <s v="*MAV140901680"/>
    <s v="*MAV140901680"/>
    <n v="1.7252318824171239E-4"/>
  </r>
  <r>
    <x v="38"/>
    <s v="Pesos"/>
    <d v="2026-09-16T00:00:00"/>
    <s v="25/08/2026"/>
    <n v="0.98049757999999998"/>
    <m/>
    <n v="22236047.670000002"/>
    <n v="21802391.010000002"/>
    <n v="22236047.670000002"/>
    <n v="21802391.010000002"/>
    <n v="616472"/>
    <s v="AMOMPY"/>
    <s v="Momentum Capital Investment S.A."/>
    <s v="19/08/2026"/>
    <s v="19/08/2026"/>
    <n v="33"/>
    <s v="No"/>
    <s v=""/>
    <m/>
    <m/>
    <s v="*MAV140901681"/>
    <s v="*MAV140901681"/>
    <n v="3.5681954335257612E-4"/>
  </r>
  <r>
    <x v="38"/>
    <s v="Pesos"/>
    <d v="2026-09-16T00:00:00"/>
    <s v="25/08/2026"/>
    <n v="0.98049757999999998"/>
    <m/>
    <n v="34954720.25"/>
    <n v="34273018.740000002"/>
    <n v="34954720.25"/>
    <n v="34273018.740000002"/>
    <n v="615199"/>
    <s v="AMOMPY"/>
    <s v="Momentum Capital Investment S.A."/>
    <s v="19/08/2026"/>
    <s v="19/08/2026"/>
    <n v="33"/>
    <s v="No"/>
    <s v=""/>
    <m/>
    <m/>
    <s v="*MAV140901682"/>
    <s v="*MAV140901682"/>
    <n v="5.609147588680497E-4"/>
  </r>
  <r>
    <x v="38"/>
    <s v="Pesos"/>
    <d v="2026-09-16T00:00:00"/>
    <s v="25/08/2026"/>
    <n v="0.98049757999999998"/>
    <m/>
    <n v="29615091.850000001"/>
    <n v="29037525.989999998"/>
    <n v="29615091.850000001"/>
    <n v="29037525.989999998"/>
    <n v="615275"/>
    <s v="AMOMPY"/>
    <s v="Momentum Capital Investment S.A."/>
    <s v="19/08/2026"/>
    <s v="19/08/2026"/>
    <n v="33"/>
    <s v="No"/>
    <s v=""/>
    <m/>
    <m/>
    <s v="*MAV140901683"/>
    <s v="*MAV140901683"/>
    <n v="4.7523029740582386E-4"/>
  </r>
  <r>
    <x v="38"/>
    <s v="Pesos"/>
    <d v="2026-09-16T00:00:00"/>
    <s v="25/08/2026"/>
    <n v="0.98340351999999998"/>
    <m/>
    <n v="19363690.149999999"/>
    <n v="19042321.109999999"/>
    <n v="19363690.149999999"/>
    <n v="19042321.109999999"/>
    <n v="597803"/>
    <s v="AMOMPY"/>
    <s v="Momentum Capital Investment S.A."/>
    <s v="10/08/2026"/>
    <s v="10/08/2026"/>
    <n v="28"/>
    <s v="No"/>
    <s v=""/>
    <m/>
    <m/>
    <s v="*MAV140901542"/>
    <s v="*MAV140901542"/>
    <n v="3.1164803528781958E-4"/>
  </r>
  <r>
    <x v="38"/>
    <s v="Pesos"/>
    <d v="2026-09-16T00:00:00"/>
    <s v="25/08/2026"/>
    <n v="0.98398675999999996"/>
    <m/>
    <n v="14791183.08"/>
    <n v="14554328.359999999"/>
    <n v="14791183.08"/>
    <n v="14554328.359999999"/>
    <n v="662321"/>
    <s v="AMOMPY"/>
    <s v="Momentum Capital Investment S.A."/>
    <s v="10/08/2026"/>
    <s v="10/08/2026"/>
    <n v="27"/>
    <s v="No"/>
    <s v=""/>
    <m/>
    <m/>
    <s v="*MAV140901541"/>
    <s v="*MAV140901541"/>
    <n v="2.3819721409622805E-4"/>
  </r>
  <r>
    <x v="146"/>
    <s v="Pesos"/>
    <d v="2026-09-16T00:00:00"/>
    <s v="25/08/2026"/>
    <n v="0.97991841000000002"/>
    <m/>
    <n v="22500000"/>
    <n v="22048164.190000001"/>
    <n v="22500000"/>
    <n v="22048164.190000001"/>
    <n v="90000088"/>
    <s v="AMOMPY"/>
    <s v="Momentum Capital Investment S.A."/>
    <s v="20/05/2026"/>
    <s v="20/05/2026"/>
    <n v="34"/>
    <s v="No"/>
    <s v=""/>
    <m/>
    <m/>
    <s v="*MAV120901461"/>
    <s v="*MAV120901461"/>
    <n v="3.608418853890843E-4"/>
  </r>
  <r>
    <x v="147"/>
    <s v="Pesos"/>
    <d v="2026-09-16T00:00:00"/>
    <s v="25/08/2026"/>
    <n v="0.98340344999999996"/>
    <m/>
    <n v="50000000"/>
    <n v="49170172.700000003"/>
    <n v="50000000"/>
    <n v="49170172.700000003"/>
    <n v="28"/>
    <s v="AMOMPY"/>
    <s v="Momentum Capital Investment S.A."/>
    <s v="12/08/2026"/>
    <s v="12/08/2026"/>
    <n v="28"/>
    <s v="No"/>
    <s v=""/>
    <m/>
    <m/>
    <s v="*MAV140901614"/>
    <s v="*MAV140901614"/>
    <n v="8.0472268208262477E-4"/>
  </r>
  <r>
    <x v="29"/>
    <s v="Pesos"/>
    <d v="2026-09-16T00:00:00"/>
    <s v="25/08/2026"/>
    <n v="0.98340340000000004"/>
    <m/>
    <n v="10000000"/>
    <n v="9834033.9700000007"/>
    <n v="10000000"/>
    <n v="9834033.9700000007"/>
    <n v="3487822"/>
    <s v="AMOMPY"/>
    <s v="Momentum Capital Investment S.A."/>
    <s v="05/05/2026"/>
    <s v="05/05/2026"/>
    <n v="28"/>
    <s v="No"/>
    <s v=""/>
    <m/>
    <m/>
    <s v="*NEU120900015"/>
    <s v="*NEU120900015"/>
    <n v="1.609445270878628E-4"/>
  </r>
  <r>
    <x v="29"/>
    <s v="Pesos"/>
    <d v="2026-09-16T00:00:00"/>
    <s v="25/08/2026"/>
    <n v="0.98457061000000001"/>
    <m/>
    <n v="9000000"/>
    <n v="8861135.4700000007"/>
    <n v="9000000"/>
    <n v="8861135.4700000007"/>
    <n v="3385281"/>
    <s v="AMOMPY"/>
    <s v="Momentum Capital Investment S.A."/>
    <s v="29/05/2026"/>
    <s v="29/05/2026"/>
    <n v="26"/>
    <s v="No"/>
    <s v=""/>
    <m/>
    <m/>
    <s v="*NEU120900021"/>
    <s v="*NEU120900021"/>
    <n v="1.4502199830011741E-4"/>
  </r>
  <r>
    <x v="41"/>
    <s v="Pesos"/>
    <d v="2026-09-16T00:00:00"/>
    <s v="25/08/2026"/>
    <n v="0.97703302999999997"/>
    <m/>
    <n v="12825509.390000001"/>
    <n v="12530946.35"/>
    <n v="12825509.390000001"/>
    <n v="12530946.35"/>
    <n v="53243196"/>
    <s v="AMOMPY"/>
    <s v="Momentum Capital Investment S.A."/>
    <s v="15/05/2026"/>
    <s v="15/05/2026"/>
    <n v="39"/>
    <s v="No"/>
    <s v=""/>
    <m/>
    <m/>
    <s v="*MAV130901057"/>
    <s v="*MAV130901057"/>
    <n v="2.0508239451039138E-4"/>
  </r>
  <r>
    <x v="89"/>
    <s v="Pesos"/>
    <d v="2026-09-16T00:00:00"/>
    <s v="25/08/2026"/>
    <n v="0.98107734000000002"/>
    <m/>
    <n v="13000000"/>
    <n v="12754005.369999999"/>
    <n v="13000000"/>
    <n v="12754005.369999999"/>
    <n v="547"/>
    <s v="AMOMPY"/>
    <s v="Momentum Capital Investment S.A."/>
    <s v="04/06/2026"/>
    <s v="04/06/2026"/>
    <n v="32"/>
    <s v="No"/>
    <s v=""/>
    <m/>
    <m/>
    <s v="*MAV120901482"/>
    <s v="*MAV120901482"/>
    <n v="2.0873299492483983E-4"/>
  </r>
  <r>
    <x v="129"/>
    <s v="Pesos"/>
    <d v="2026-09-16T00:00:00"/>
    <s v="25/08/2026"/>
    <n v="0.98107734999999996"/>
    <m/>
    <n v="1099546.98"/>
    <n v="1078740.6399999999"/>
    <n v="1099546.98"/>
    <n v="1078740.6399999999"/>
    <n v="30001148"/>
    <s v="AMOMPY"/>
    <s v="Momentum Capital Investment S.A."/>
    <s v="14/07/2026"/>
    <s v="14/07/2026"/>
    <n v="32"/>
    <s v="No"/>
    <s v=""/>
    <m/>
    <m/>
    <s v="*MAV140901199"/>
    <s v="*MAV140901199"/>
    <n v="1.765474907702179E-5"/>
  </r>
  <r>
    <x v="101"/>
    <s v="Pesos"/>
    <d v="2026-09-16T00:00:00"/>
    <s v="25/08/2026"/>
    <n v="0.98223899000000003"/>
    <m/>
    <n v="1500000"/>
    <n v="1473358.48"/>
    <n v="1500000"/>
    <n v="1473358.48"/>
    <n v="1967"/>
    <s v="AMOMPY"/>
    <s v="Momentum Capital Investment S.A."/>
    <s v="24/07/2026"/>
    <s v="24/07/2026"/>
    <n v="30"/>
    <s v="No"/>
    <s v=""/>
    <m/>
    <m/>
    <s v="*MAV120901601"/>
    <s v="*MAV120901601"/>
    <n v="2.4113093824760537E-5"/>
  </r>
  <r>
    <x v="130"/>
    <s v="Pesos"/>
    <d v="2026-09-17T00:00:00"/>
    <s v="25/08/2026"/>
    <n v="0.97781826999999999"/>
    <m/>
    <n v="85000000"/>
    <n v="83114553.359999999"/>
    <n v="85000000"/>
    <n v="83114553.359999999"/>
    <n v="8434"/>
    <s v="AMOMPY"/>
    <s v="Momentum Capital Investment S.A."/>
    <s v="22/06/2026"/>
    <s v="22/06/2026"/>
    <n v="36"/>
    <s v="No"/>
    <s v=""/>
    <m/>
    <m/>
    <s v="*MAV150901624"/>
    <s v="*MAV150901624"/>
    <n v="1.3602589258336819E-3"/>
  </r>
  <r>
    <x v="142"/>
    <s v="Pesos"/>
    <d v="2026-09-17T00:00:00"/>
    <s v="25/08/2026"/>
    <n v="0.98023420000000006"/>
    <m/>
    <n v="6428571.6600000001"/>
    <n v="6301505.7999999998"/>
    <n v="6428571.6600000001"/>
    <n v="6301505.7999999998"/>
    <n v="3487"/>
    <s v="AMOMPY"/>
    <s v="Momentum Capital Investment S.A."/>
    <s v="14/07/2026"/>
    <s v="14/07/2026"/>
    <n v="32"/>
    <s v="No"/>
    <s v=""/>
    <m/>
    <m/>
    <s v="*MAV150901732"/>
    <s v="*MAV150901732"/>
    <n v="1.0313090986022133E-4"/>
  </r>
  <r>
    <x v="111"/>
    <s v="Pesos"/>
    <d v="2026-09-17T00:00:00"/>
    <s v="25/08/2026"/>
    <n v="0.98023422000000004"/>
    <m/>
    <n v="25000000"/>
    <n v="24505855.609999999"/>
    <n v="25000000"/>
    <n v="24505855.609999999"/>
    <n v="1215681"/>
    <s v="AMOMPY"/>
    <s v="Momentum Capital Investment S.A."/>
    <s v="15/05/2026"/>
    <s v="15/05/2026"/>
    <n v="32"/>
    <s v="No"/>
    <s v=""/>
    <m/>
    <m/>
    <s v="*MAV150901502"/>
    <s v="*MAV150901502"/>
    <n v="4.0106464489210008E-4"/>
  </r>
  <r>
    <x v="103"/>
    <s v="Pesos"/>
    <d v="2026-09-17T00:00:00"/>
    <s v="25/08/2026"/>
    <n v="0.97721623999999996"/>
    <m/>
    <n v="3345657.98"/>
    <n v="3269431.3"/>
    <n v="3345657.98"/>
    <n v="3269431.3"/>
    <n v="251"/>
    <s v="AMOMPY"/>
    <s v="Momentum Capital Investment S.A."/>
    <s v="02/07/2026"/>
    <s v="02/07/2026"/>
    <n v="37"/>
    <s v="No"/>
    <s v=""/>
    <m/>
    <m/>
    <s v="*MAV150901674"/>
    <s v="*MAV150901674"/>
    <n v="5.3507754399668441E-5"/>
  </r>
  <r>
    <x v="148"/>
    <s v="Pesos"/>
    <d v="2026-09-17T00:00:00"/>
    <s v="25/08/2026"/>
    <n v="0.98023417999999995"/>
    <m/>
    <n v="3243208.42"/>
    <n v="3179103.76"/>
    <n v="3243208.42"/>
    <n v="3179103.76"/>
    <n v="143911"/>
    <s v="AMOMPY"/>
    <s v="Momentum Capital Investment S.A."/>
    <s v="17/04/2026"/>
    <s v="17/04/2026"/>
    <n v="32"/>
    <s v="No"/>
    <s v=""/>
    <m/>
    <m/>
    <s v="*AFB150900012"/>
    <s v="*AFB150900012"/>
    <n v="5.2029447201151618E-5"/>
  </r>
  <r>
    <x v="48"/>
    <s v="Pesos"/>
    <d v="2026-09-17T00:00:00"/>
    <s v="25/08/2026"/>
    <n v="0.98449101999999999"/>
    <m/>
    <n v="2000000"/>
    <n v="1968982.04"/>
    <n v="2000000"/>
    <n v="1968982.04"/>
    <n v="17150"/>
    <s v="AMOMPY"/>
    <s v="Momentum Capital Investment S.A."/>
    <s v="04/08/2026"/>
    <s v="04/08/2026"/>
    <n v="25"/>
    <s v="No"/>
    <s v=""/>
    <m/>
    <m/>
    <s v="*FED150900045"/>
    <s v="*FED150900045"/>
    <n v="3.2224505654447657E-5"/>
  </r>
  <r>
    <x v="67"/>
    <s v="Pesos"/>
    <d v="2026-09-17T00:00:00"/>
    <s v="25/08/2026"/>
    <n v="0.98084006999999995"/>
    <m/>
    <n v="16500000"/>
    <n v="16183861.130000001"/>
    <n v="16500000"/>
    <n v="16183861.130000001"/>
    <n v="28674"/>
    <s v="AMOMPY"/>
    <s v="Momentum Capital Investment S.A."/>
    <s v="27/04/2026"/>
    <s v="27/04/2026"/>
    <n v="31"/>
    <s v="No"/>
    <s v=""/>
    <m/>
    <m/>
    <s v="*MAV150901468"/>
    <s v="*MAV150901468"/>
    <n v="2.6486626789875678E-4"/>
  </r>
  <r>
    <x v="9"/>
    <s v="Pesos"/>
    <d v="2026-09-17T00:00:00"/>
    <s v="25/08/2026"/>
    <n v="0.98144666999999997"/>
    <m/>
    <n v="20498755"/>
    <n v="20118434.84"/>
    <n v="20498755"/>
    <n v="20118434.84"/>
    <n v="90044620"/>
    <s v="AMOMPY"/>
    <s v="Momentum Capital Investment S.A."/>
    <s v="22/07/2026"/>
    <s v="22/07/2026"/>
    <n v="30"/>
    <s v="No"/>
    <s v=""/>
    <m/>
    <m/>
    <s v="*MAV150901821"/>
    <s v="*MAV150901821"/>
    <n v="3.2925979216154593E-4"/>
  </r>
  <r>
    <x v="149"/>
    <s v="Pesos"/>
    <d v="2026-09-17T00:00:00"/>
    <s v="25/08/2026"/>
    <n v="0.98266217"/>
    <m/>
    <n v="10737000"/>
    <n v="10550843.689999999"/>
    <n v="10737000"/>
    <n v="10550843.689999999"/>
    <n v="99803061"/>
    <s v="AMOMPY"/>
    <s v="Momentum Capital Investment S.A."/>
    <s v="10/08/2026"/>
    <s v="10/08/2026"/>
    <n v="28"/>
    <s v="No"/>
    <s v=""/>
    <m/>
    <m/>
    <s v="*MAV150901977"/>
    <s v="*MAV150901977"/>
    <n v="1.7267588796675789E-4"/>
  </r>
  <r>
    <x v="149"/>
    <s v="Pesos"/>
    <d v="2026-09-17T00:00:00"/>
    <s v="25/08/2026"/>
    <n v="0.98266217"/>
    <m/>
    <n v="20600000"/>
    <n v="20242840.66"/>
    <n v="20600000"/>
    <n v="20242840.66"/>
    <n v="99803229"/>
    <s v="AMOMPY"/>
    <s v="Momentum Capital Investment S.A."/>
    <s v="10/08/2026"/>
    <s v="10/08/2026"/>
    <n v="28"/>
    <s v="No"/>
    <s v=""/>
    <m/>
    <m/>
    <s v="*MAV150901978"/>
    <s v="*MAV150901978"/>
    <n v="3.3129582701031288E-4"/>
  </r>
  <r>
    <x v="83"/>
    <s v="Pesos"/>
    <d v="2026-09-17T00:00:00"/>
    <s v="25/08/2026"/>
    <n v="0.97842116000000001"/>
    <m/>
    <n v="1500000"/>
    <n v="1467631.74"/>
    <n v="1500000"/>
    <n v="1467631.74"/>
    <n v="3"/>
    <s v="AMOMPY"/>
    <s v="Momentum Capital Investment S.A."/>
    <s v="23/04/2026"/>
    <s v="23/04/2026"/>
    <n v="35"/>
    <s v="No"/>
    <s v=""/>
    <m/>
    <m/>
    <s v="*MAV150901465"/>
    <s v="*MAV150901465"/>
    <n v="2.4019369574481673E-5"/>
  </r>
  <r>
    <x v="68"/>
    <s v="Pesos"/>
    <d v="2026-09-17T00:00:00"/>
    <s v="25/08/2026"/>
    <n v="0.97541425999999998"/>
    <m/>
    <n v="9972899.9900000002"/>
    <n v="9727708.9000000004"/>
    <n v="9972899.9900000002"/>
    <n v="9727708.9000000004"/>
    <n v="1179213"/>
    <s v="AMOMPY"/>
    <s v="Momentum Capital Investment S.A."/>
    <s v="16/04/2026"/>
    <s v="16/04/2026"/>
    <n v="40"/>
    <s v="No"/>
    <s v=""/>
    <m/>
    <m/>
    <s v="*MAV150901457"/>
    <s v="*MAV150901457"/>
    <n v="1.5920440313049825E-4"/>
  </r>
  <r>
    <x v="34"/>
    <s v="Pesos"/>
    <d v="2026-09-17T00:00:00"/>
    <s v="25/08/2026"/>
    <n v="0.97962910000000003"/>
    <m/>
    <n v="10000000"/>
    <n v="9796290.9700000007"/>
    <n v="10000000"/>
    <n v="9796290.9700000007"/>
    <n v="667"/>
    <s v="AMOMPY"/>
    <s v="Momentum Capital Investment S.A."/>
    <s v="22/06/2026"/>
    <s v="22/06/2026"/>
    <n v="33"/>
    <s v="No"/>
    <s v=""/>
    <m/>
    <m/>
    <s v="*MAV150901626"/>
    <s v="*MAV150901626"/>
    <n v="1.6032682235912093E-4"/>
  </r>
  <r>
    <x v="34"/>
    <s v="Pesos"/>
    <d v="2026-09-17T00:00:00"/>
    <s v="25/08/2026"/>
    <n v="0.98144664000000004"/>
    <m/>
    <n v="5000000"/>
    <n v="4907233.21"/>
    <n v="5000000"/>
    <n v="4907233.21"/>
    <n v="780"/>
    <s v="AMOMPY"/>
    <s v="Momentum Capital Investment S.A."/>
    <s v="14/07/2026"/>
    <s v="14/07/2026"/>
    <n v="30"/>
    <s v="No"/>
    <s v=""/>
    <m/>
    <m/>
    <s v="*MAV150901738"/>
    <s v="*MAV150901738"/>
    <n v="8.0312141558862735E-5"/>
  </r>
  <r>
    <x v="34"/>
    <s v="Pesos"/>
    <d v="2026-09-17T00:00:00"/>
    <s v="25/08/2026"/>
    <n v="0.98144666000000003"/>
    <m/>
    <n v="10000000"/>
    <n v="9814466.6300000008"/>
    <n v="10000000"/>
    <n v="9814466.6300000008"/>
    <n v="639"/>
    <s v="AMOMPY"/>
    <s v="Momentum Capital Investment S.A."/>
    <s v="16/06/2026"/>
    <s v="16/06/2026"/>
    <n v="30"/>
    <s v="No"/>
    <s v=""/>
    <m/>
    <m/>
    <s v="*MAV150901591"/>
    <s v="*MAV150901591"/>
    <n v="1.6062428655460101E-4"/>
  </r>
  <r>
    <x v="126"/>
    <s v="Pesos"/>
    <d v="2026-09-17T00:00:00"/>
    <s v="25/08/2026"/>
    <n v="0.98023420000000006"/>
    <m/>
    <n v="50000000"/>
    <n v="49011709.890000001"/>
    <n v="50000000"/>
    <n v="49011709.890000001"/>
    <n v="4775"/>
    <s v="AMOMPY"/>
    <s v="Momentum Capital Investment S.A."/>
    <s v="04/06/2026"/>
    <s v="04/06/2026"/>
    <n v="32"/>
    <s v="No"/>
    <s v=""/>
    <m/>
    <m/>
    <s v="*MAV150901542"/>
    <s v="*MAV150901542"/>
    <n v="8.0212926801732183E-4"/>
  </r>
  <r>
    <x v="16"/>
    <s v="Pesos"/>
    <d v="2026-09-17T00:00:00"/>
    <s v="25/08/2026"/>
    <n v="0.97962910999999997"/>
    <m/>
    <n v="10000000"/>
    <n v="9796291.1099999994"/>
    <n v="10000000"/>
    <n v="9796291.1099999994"/>
    <n v="327"/>
    <s v="AMOMPY"/>
    <s v="Momentum Capital Investment S.A."/>
    <s v="14/05/2026"/>
    <s v="14/05/2026"/>
    <n v="33"/>
    <s v="No"/>
    <s v=""/>
    <m/>
    <m/>
    <s v="*MAV150901500"/>
    <s v="*MAV150901500"/>
    <n v="1.6032682465037126E-4"/>
  </r>
  <r>
    <x v="99"/>
    <s v="Pesos"/>
    <d v="2026-09-17T00:00:00"/>
    <s v="25/08/2026"/>
    <n v="0.98023420000000006"/>
    <m/>
    <n v="15355310.449999999"/>
    <n v="15051800.42"/>
    <n v="15355310.449999999"/>
    <n v="15051800.42"/>
    <n v="30746"/>
    <s v="AMOMPY"/>
    <s v="Momentum Capital Investment S.A."/>
    <s v="04/06/2026"/>
    <s v="04/06/2026"/>
    <n v="32"/>
    <s v="No"/>
    <s v=""/>
    <m/>
    <m/>
    <s v="*MAV150901539"/>
    <s v="*MAV150901539"/>
    <n v="2.4633887861359445E-4"/>
  </r>
  <r>
    <x v="99"/>
    <s v="Pesos"/>
    <d v="2026-09-17T00:00:00"/>
    <s v="25/08/2026"/>
    <n v="0.97962908999999998"/>
    <m/>
    <n v="16005575.68"/>
    <n v="15679527.460000001"/>
    <n v="16005575.68"/>
    <n v="15679527.460000001"/>
    <n v="30722"/>
    <s v="AMOMPY"/>
    <s v="Momentum Capital Investment S.A."/>
    <s v="27/05/2026"/>
    <s v="27/05/2026"/>
    <n v="33"/>
    <s v="No"/>
    <s v=""/>
    <m/>
    <m/>
    <s v="*MAV150901518"/>
    <s v="*MAV150901518"/>
    <n v="2.5661230576477849E-4"/>
  </r>
  <r>
    <x v="145"/>
    <s v="Pesos"/>
    <d v="2026-09-17T00:00:00"/>
    <s v="25/08/2026"/>
    <n v="0.98023420000000006"/>
    <m/>
    <n v="10000000"/>
    <n v="9802341.9900000002"/>
    <n v="10000000"/>
    <n v="9802341.9900000002"/>
    <n v="13795878"/>
    <s v="AMOMPY"/>
    <s v="Momentum Capital Investment S.A."/>
    <s v="04/06/2026"/>
    <s v="04/06/2026"/>
    <n v="32"/>
    <s v="No"/>
    <s v=""/>
    <m/>
    <m/>
    <s v="*MAV150901540"/>
    <s v="*MAV150901540"/>
    <n v="1.6042585379985727E-4"/>
  </r>
  <r>
    <x v="145"/>
    <s v="Pesos"/>
    <d v="2026-09-17T00:00:00"/>
    <s v="25/08/2026"/>
    <n v="0.97962912000000002"/>
    <m/>
    <n v="40000000"/>
    <n v="39185164.859999999"/>
    <n v="40000000"/>
    <n v="39185164.859999999"/>
    <n v="13662783"/>
    <s v="AMOMPY"/>
    <s v="Momentum Capital Investment S.A."/>
    <s v="29/05/2026"/>
    <s v="29/05/2026"/>
    <n v="33"/>
    <s v="No"/>
    <s v=""/>
    <m/>
    <m/>
    <s v="*MAV150901522"/>
    <s v="*MAV150901522"/>
    <n v="6.4130730547523618E-4"/>
  </r>
  <r>
    <x v="150"/>
    <s v="Pesos"/>
    <d v="2026-09-17T00:00:00"/>
    <s v="25/08/2026"/>
    <n v="0.98266217"/>
    <m/>
    <n v="6114926.9199999999"/>
    <n v="6008907.3399999999"/>
    <n v="6114926.9199999999"/>
    <n v="6008907.3399999999"/>
    <n v="5397"/>
    <s v="AMOMPY"/>
    <s v="Momentum Capital Investment S.A."/>
    <s v="10/08/2026"/>
    <s v="10/08/2026"/>
    <n v="28"/>
    <s v="No"/>
    <s v=""/>
    <m/>
    <m/>
    <s v="*MAV150901976"/>
    <s v="*MAV150901976"/>
    <n v="9.8342221828941637E-5"/>
  </r>
  <r>
    <x v="151"/>
    <s v="Pesos"/>
    <d v="2026-09-17T00:00:00"/>
    <s v="25/08/2026"/>
    <n v="0.97902473999999995"/>
    <m/>
    <n v="7498343.4000000004"/>
    <n v="7341063.7300000004"/>
    <n v="7498343.4000000004"/>
    <n v="7341063.7300000004"/>
    <n v="7185"/>
    <s v="AMOMPY"/>
    <s v="Momentum Capital Investment S.A."/>
    <s v="19/08/2026"/>
    <s v="19/08/2026"/>
    <n v="34"/>
    <s v="No"/>
    <s v=""/>
    <m/>
    <m/>
    <s v="*MAV150902111"/>
    <s v="*MAV150902111"/>
    <n v="1.2014439180818817E-4"/>
  </r>
  <r>
    <x v="52"/>
    <s v="Pesos"/>
    <d v="2026-09-17T00:00:00"/>
    <s v="25/08/2026"/>
    <n v="0.97962910999999997"/>
    <m/>
    <n v="12500000"/>
    <n v="12245363.84"/>
    <n v="12500000"/>
    <n v="12245363.84"/>
    <n v="1359"/>
    <s v="AMOMPY"/>
    <s v="Momentum Capital Investment S.A."/>
    <s v="21/05/2026"/>
    <s v="21/05/2026"/>
    <n v="33"/>
    <s v="No"/>
    <s v=""/>
    <m/>
    <m/>
    <s v="*MAV150901509"/>
    <s v="*MAV150901509"/>
    <n v="2.0040853003557558E-4"/>
  </r>
  <r>
    <x v="152"/>
    <s v="Pesos"/>
    <d v="2026-09-17T00:00:00"/>
    <s v="25/08/2026"/>
    <n v="0.98144666000000003"/>
    <m/>
    <n v="100000000"/>
    <n v="98144665.700000003"/>
    <n v="100000000"/>
    <n v="98144665.700000003"/>
    <n v="6601"/>
    <s v="AMOMPY"/>
    <s v="Momentum Capital Investment S.A."/>
    <s v="18/05/2026"/>
    <s v="18/05/2026"/>
    <n v="30"/>
    <s v="No"/>
    <s v=""/>
    <m/>
    <m/>
    <s v="*MAV150901503"/>
    <s v="*MAV150901503"/>
    <n v="1.6062428557263655E-3"/>
  </r>
  <r>
    <x v="41"/>
    <s v="Pesos"/>
    <d v="2026-09-17T00:00:00"/>
    <s v="25/08/2026"/>
    <n v="0.97601417000000001"/>
    <m/>
    <n v="12825509.390000001"/>
    <n v="12517878.9"/>
    <n v="12825509.390000001"/>
    <n v="12517878.9"/>
    <n v="53243197"/>
    <s v="AMOMPY"/>
    <s v="Momentum Capital Investment S.A."/>
    <s v="15/05/2026"/>
    <s v="15/05/2026"/>
    <n v="39"/>
    <s v="No"/>
    <s v=""/>
    <m/>
    <m/>
    <s v="*MAV150901501"/>
    <s v="*MAV150901501"/>
    <n v="2.0486853165747567E-4"/>
  </r>
  <r>
    <x v="24"/>
    <s v="Pesos"/>
    <d v="2026-09-17T00:00:00"/>
    <s v="25/08/2026"/>
    <n v="0.98023420999999999"/>
    <m/>
    <n v="1000000"/>
    <n v="980234.21"/>
    <n v="1000000"/>
    <n v="980234.21"/>
    <n v="67381734"/>
    <s v="AMOMPY"/>
    <s v="Momentum Capital Investment S.A."/>
    <s v="04/06/2026"/>
    <s v="04/06/2026"/>
    <n v="32"/>
    <s v="No"/>
    <s v=""/>
    <m/>
    <m/>
    <s v="*MAV150901538"/>
    <s v="*MAV150901538"/>
    <n v="1.604258556001254E-5"/>
  </r>
  <r>
    <x v="56"/>
    <s v="Pesos"/>
    <d v="2026-09-17T00:00:00"/>
    <s v="25/08/2026"/>
    <n v="0.98144671999999999"/>
    <m/>
    <n v="2870567.11"/>
    <n v="2817308.67"/>
    <n v="2870567.11"/>
    <n v="2817308.67"/>
    <n v="103"/>
    <s v="AMOMPY"/>
    <s v="Momentum Capital Investment S.A."/>
    <s v="20/07/2026"/>
    <s v="20/07/2026"/>
    <n v="30"/>
    <s v="No"/>
    <s v=""/>
    <m/>
    <m/>
    <s v="*MAV150901797"/>
    <s v="*MAV150901797"/>
    <n v="4.6108282006848273E-5"/>
  </r>
  <r>
    <x v="0"/>
    <s v="Pesos"/>
    <d v="2026-09-18T00:00:00"/>
    <s v="25/08/2026"/>
    <n v="0.98065566999999998"/>
    <m/>
    <n v="2000000"/>
    <n v="1961311.33"/>
    <n v="2000000"/>
    <n v="1961311.33"/>
    <n v="9806"/>
    <s v="AMOMPY"/>
    <s v="Momentum Capital Investment S.A."/>
    <s v="04/08/2026"/>
    <s v="04/08/2026"/>
    <n v="30"/>
    <s v="No"/>
    <s v=""/>
    <m/>
    <m/>
    <s v="*MAV160901574"/>
    <s v="*MAV160901574"/>
    <n v="3.2098966247410395E-5"/>
  </r>
  <r>
    <x v="142"/>
    <s v="Pesos"/>
    <d v="2026-09-18T00:00:00"/>
    <s v="25/08/2026"/>
    <n v="0.97939261"/>
    <m/>
    <n v="6428571.6799999997"/>
    <n v="6296095.5999999996"/>
    <n v="6428571.6799999997"/>
    <n v="6296095.5999999996"/>
    <n v="3488"/>
    <s v="AMOMPY"/>
    <s v="Momentum Capital Investment S.A."/>
    <s v="14/07/2026"/>
    <s v="14/07/2026"/>
    <n v="32"/>
    <s v="No"/>
    <s v=""/>
    <m/>
    <m/>
    <s v="*MAV160901441"/>
    <s v="*MAV160901441"/>
    <n v="1.0304236612698764E-4"/>
  </r>
  <r>
    <x v="103"/>
    <s v="Pesos"/>
    <d v="2026-09-18T00:00:00"/>
    <s v="25/08/2026"/>
    <n v="0.97624913999999996"/>
    <m/>
    <n v="3345657.98"/>
    <n v="3266195.71"/>
    <n v="3345657.98"/>
    <n v="3266195.71"/>
    <n v="252"/>
    <s v="AMOMPY"/>
    <s v="Momentum Capital Investment S.A."/>
    <s v="02/07/2026"/>
    <s v="02/07/2026"/>
    <n v="37"/>
    <s v="No"/>
    <s v=""/>
    <m/>
    <m/>
    <s v="*MAV160901407"/>
    <s v="*MAV160901407"/>
    <n v="5.3454800494486825E-5"/>
  </r>
  <r>
    <x v="8"/>
    <s v="Pesos"/>
    <d v="2026-09-18T00:00:00"/>
    <s v="25/08/2026"/>
    <n v="0.98002363999999997"/>
    <m/>
    <n v="3000000"/>
    <n v="2940070.92"/>
    <n v="3000000"/>
    <n v="2940070.92"/>
    <n v="90003467"/>
    <s v="AMOMPY"/>
    <s v="Momentum Capital Investment S.A."/>
    <s v="22/04/2026"/>
    <s v="22/04/2026"/>
    <n v="31"/>
    <s v="No"/>
    <s v=""/>
    <m/>
    <m/>
    <s v="*INP160900050"/>
    <s v="*INP160900050"/>
    <n v="4.811741806746857E-5"/>
  </r>
  <r>
    <x v="33"/>
    <s v="Pesos"/>
    <d v="2026-09-18T00:00:00"/>
    <s v="25/08/2026"/>
    <n v="0.98065559999999996"/>
    <m/>
    <n v="2868835.67"/>
    <n v="2813339.76"/>
    <n v="2868835.67"/>
    <n v="2813339.76"/>
    <n v="6278"/>
    <s v="AMOMPY"/>
    <s v="Momentum Capital Investment S.A."/>
    <s v="17/06/2026"/>
    <s v="17/06/2026"/>
    <n v="30"/>
    <s v="No"/>
    <s v=""/>
    <m/>
    <m/>
    <s v="*MAV160901334"/>
    <s v="*MAV160901334"/>
    <n v="4.6043326532324494E-5"/>
  </r>
  <r>
    <x v="153"/>
    <s v="Pesos"/>
    <d v="2026-09-18T00:00:00"/>
    <s v="25/08/2026"/>
    <n v="0.98192193000000005"/>
    <m/>
    <n v="7098063.4299999997"/>
    <n v="6969744.1399999997"/>
    <n v="7098063.4299999997"/>
    <n v="6969744.1399999997"/>
    <n v="90027048"/>
    <s v="AMOMPY"/>
    <s v="Momentum Capital Investment S.A."/>
    <s v="10/08/2026"/>
    <s v="10/08/2026"/>
    <n v="28"/>
    <s v="No"/>
    <s v=""/>
    <m/>
    <m/>
    <s v="*MAV160901636"/>
    <s v="*MAV160901636"/>
    <n v="1.1406734794263711E-4"/>
  </r>
  <r>
    <x v="82"/>
    <s v="Pesos"/>
    <d v="2026-09-18T00:00:00"/>
    <s v="25/08/2026"/>
    <n v="0.97562289999999996"/>
    <m/>
    <n v="15000000"/>
    <n v="14634343.449999999"/>
    <n v="15000000"/>
    <n v="14634343.449999999"/>
    <n v="70219557"/>
    <s v="AMOMPY"/>
    <s v="Momentum Capital Investment S.A."/>
    <s v="17/07/2026"/>
    <s v="17/07/2026"/>
    <n v="38"/>
    <s v="No"/>
    <s v=""/>
    <m/>
    <m/>
    <s v="*MAV160901466"/>
    <s v="*MAV160901466"/>
    <n v="2.3950674697553566E-4"/>
  </r>
  <r>
    <x v="107"/>
    <s v="Pesos"/>
    <d v="2026-09-18T00:00:00"/>
    <s v="25/08/2026"/>
    <n v="0.97813275"/>
    <m/>
    <n v="15432750"/>
    <n v="15095278.220000001"/>
    <n v="15432750"/>
    <n v="15095278.220000001"/>
    <n v="626"/>
    <s v="AMOMPY"/>
    <s v="Momentum Capital Investment S.A."/>
    <s v="24/08/2026"/>
    <s v="24/08/2026"/>
    <n v="34"/>
    <s v="No"/>
    <s v=""/>
    <m/>
    <m/>
    <s v="*MAV160901778"/>
    <s v="*MAV160901778"/>
    <n v="2.4705043950317118E-4"/>
  </r>
  <r>
    <x v="13"/>
    <s v="Pesos"/>
    <d v="2026-09-18T00:00:00"/>
    <s v="25/08/2026"/>
    <n v="0.98192190999999995"/>
    <m/>
    <n v="10000000"/>
    <n v="9819219.1500000004"/>
    <n v="10000000"/>
    <n v="9819219.1500000004"/>
    <n v="360565"/>
    <s v="AMOMPY"/>
    <s v="Momentum Capital Investment S.A."/>
    <s v="21/04/2026"/>
    <s v="21/04/2026"/>
    <n v="28"/>
    <s v="No"/>
    <s v=""/>
    <m/>
    <m/>
    <s v="*MOV160900067"/>
    <s v="*MOV160900067"/>
    <n v="1.607020666483254E-4"/>
  </r>
  <r>
    <x v="108"/>
    <s v="Pesos"/>
    <d v="2026-09-18T00:00:00"/>
    <s v="25/08/2026"/>
    <n v="0.97876231000000002"/>
    <m/>
    <n v="5000000"/>
    <n v="4893811.55"/>
    <n v="5000000"/>
    <n v="4893811.55"/>
    <n v="3046"/>
    <s v="AMOMPY"/>
    <s v="Momentum Capital Investment S.A."/>
    <s v="21/07/2026"/>
    <s v="21/07/2026"/>
    <n v="33"/>
    <s v="No"/>
    <s v=""/>
    <m/>
    <m/>
    <s v="*MAV160901499"/>
    <s v="*MAV160901499"/>
    <n v="8.0092481678896495E-5"/>
  </r>
  <r>
    <x v="34"/>
    <s v="Pesos"/>
    <d v="2026-09-18T00:00:00"/>
    <s v="25/08/2026"/>
    <n v="0.98065557000000003"/>
    <m/>
    <n v="10000000"/>
    <n v="9806555.75"/>
    <n v="10000000"/>
    <n v="9806555.75"/>
    <n v="673"/>
    <s v="AMOMPY"/>
    <s v="Momentum Capital Investment S.A."/>
    <s v="23/06/2026"/>
    <s v="23/06/2026"/>
    <n v="30"/>
    <s v="No"/>
    <s v=""/>
    <m/>
    <m/>
    <s v="*MAV160901358"/>
    <s v="*MAV160901358"/>
    <n v="1.6049481650758541E-4"/>
  </r>
  <r>
    <x v="34"/>
    <s v="Pesos"/>
    <d v="2026-09-18T00:00:00"/>
    <s v="25/08/2026"/>
    <n v="0.98065570999999996"/>
    <m/>
    <n v="4000000"/>
    <n v="3922622.85"/>
    <n v="4000000"/>
    <n v="3922622.85"/>
    <n v="858"/>
    <s v="AMOMPY"/>
    <s v="Momentum Capital Investment S.A."/>
    <s v="05/08/2026"/>
    <s v="05/08/2026"/>
    <n v="30"/>
    <s v="No"/>
    <s v=""/>
    <m/>
    <m/>
    <s v="*MAV160901583"/>
    <s v="*MAV160901583"/>
    <n v="6.4197935604374826E-5"/>
  </r>
  <r>
    <x v="154"/>
    <s v="Pesos"/>
    <d v="2026-09-18T00:00:00"/>
    <s v="25/08/2026"/>
    <n v="0.97939251000000005"/>
    <m/>
    <n v="2097348.4"/>
    <n v="2054127.32"/>
    <n v="2097348.4"/>
    <n v="2054127.32"/>
    <n v="76510840"/>
    <s v="AMOMPY"/>
    <s v="Momentum Capital Investment S.A."/>
    <s v="22/07/2026"/>
    <s v="22/07/2026"/>
    <n v="32"/>
    <s v="No"/>
    <s v=""/>
    <m/>
    <m/>
    <s v="*MAV160901508"/>
    <s v="*MAV160901508"/>
    <n v="3.3617999602624822E-5"/>
  </r>
  <r>
    <x v="34"/>
    <s v="Pesos"/>
    <d v="2026-09-18T00:00:00"/>
    <s v="25/08/2026"/>
    <n v="0.98065557000000003"/>
    <m/>
    <n v="10000000"/>
    <n v="9806555.6899999995"/>
    <n v="10000000"/>
    <n v="9806555.6899999995"/>
    <n v="569"/>
    <s v="AMOMPY"/>
    <s v="Momentum Capital Investment S.A."/>
    <s v="01/06/2026"/>
    <s v="01/06/2026"/>
    <n v="30"/>
    <s v="No"/>
    <s v=""/>
    <m/>
    <m/>
    <s v="*MAV160901262"/>
    <s v="*MAV160901262"/>
    <n v="1.6049481552562095E-4"/>
  </r>
  <r>
    <x v="34"/>
    <s v="Pesos"/>
    <d v="2026-09-18T00:00:00"/>
    <s v="25/08/2026"/>
    <n v="0.98065557000000003"/>
    <m/>
    <n v="10000000"/>
    <n v="9806555.6899999995"/>
    <n v="10000000"/>
    <n v="9806555.6899999995"/>
    <n v="724"/>
    <s v="AMOMPY"/>
    <s v="Momentum Capital Investment S.A."/>
    <s v="30/06/2026"/>
    <s v="30/06/2026"/>
    <n v="30"/>
    <s v="No"/>
    <s v=""/>
    <m/>
    <m/>
    <s v="*MAV160901392"/>
    <s v="*MAV160901392"/>
    <n v="1.6049481552562095E-4"/>
  </r>
  <r>
    <x v="34"/>
    <s v="Pesos"/>
    <d v="2026-09-18T00:00:00"/>
    <s v="25/08/2026"/>
    <n v="0.98065564999999999"/>
    <m/>
    <n v="5000000"/>
    <n v="4903278.2300000004"/>
    <n v="5000000"/>
    <n v="4903278.2300000004"/>
    <n v="683"/>
    <s v="AMOMPY"/>
    <s v="Momentum Capital Investment S.A."/>
    <s v="26/06/2026"/>
    <s v="26/06/2026"/>
    <n v="30"/>
    <s v="No"/>
    <s v=""/>
    <m/>
    <m/>
    <s v="*MAV160901376"/>
    <s v="*MAV160901376"/>
    <n v="8.0247414063748965E-5"/>
  </r>
  <r>
    <x v="15"/>
    <s v="Pesos"/>
    <d v="2026-09-18T00:00:00"/>
    <s v="25/08/2026"/>
    <n v="0.97750404000000002"/>
    <m/>
    <n v="50000000"/>
    <n v="48875201.93"/>
    <n v="50000000"/>
    <n v="48875201.93"/>
    <n v="2873"/>
    <s v="AMOMPY"/>
    <s v="Momentum Capital Investment S.A."/>
    <s v="16/06/2026"/>
    <s v="16/06/2026"/>
    <n v="35"/>
    <s v="No"/>
    <s v=""/>
    <m/>
    <m/>
    <s v="*MAV160901325"/>
    <s v="*MAV160901325"/>
    <n v="7.9989516865047489E-4"/>
  </r>
  <r>
    <x v="37"/>
    <s v="Pesos"/>
    <d v="2026-09-18T00:00:00"/>
    <s v="25/08/2026"/>
    <n v="0.97876224000000001"/>
    <m/>
    <n v="2500000"/>
    <n v="2446905.6"/>
    <n v="2500000"/>
    <n v="2446905.6"/>
    <n v="1200"/>
    <s v="AMOMPY"/>
    <s v="Momentum Capital Investment S.A."/>
    <s v="19/05/2026"/>
    <s v="19/05/2026"/>
    <n v="33"/>
    <s v="No"/>
    <s v=""/>
    <m/>
    <m/>
    <s v="*MAV160901253"/>
    <s v="*MAV160901253"/>
    <n v="4.0046237975385311E-5"/>
  </r>
  <r>
    <x v="51"/>
    <s v="Pesos"/>
    <d v="2026-09-18T00:00:00"/>
    <s v="25/08/2026"/>
    <n v="0.97876231000000002"/>
    <m/>
    <n v="4750000"/>
    <n v="4649120.9800000004"/>
    <n v="4750000"/>
    <n v="4649120.9800000004"/>
    <n v="938"/>
    <s v="AMOMPY"/>
    <s v="Momentum Capital Investment S.A."/>
    <s v="28/07/2026"/>
    <s v="28/07/2026"/>
    <n v="33"/>
    <s v="No"/>
    <s v=""/>
    <m/>
    <m/>
    <s v="*MAV160901535"/>
    <s v="*MAV160901535"/>
    <n v="7.6087857717697233E-5"/>
  </r>
  <r>
    <x v="99"/>
    <s v="Pesos"/>
    <d v="2026-09-18T00:00:00"/>
    <s v="25/08/2026"/>
    <n v="0.97939257999999996"/>
    <m/>
    <n v="15355310.449999999"/>
    <n v="15038877.039999999"/>
    <n v="15355310.449999999"/>
    <n v="15038877.039999999"/>
    <n v="30747"/>
    <s v="AMOMPY"/>
    <s v="Momentum Capital Investment S.A."/>
    <s v="04/06/2026"/>
    <s v="04/06/2026"/>
    <n v="32"/>
    <s v="No"/>
    <s v=""/>
    <m/>
    <m/>
    <s v="*MAV160901281"/>
    <s v="*MAV160901281"/>
    <n v="2.4612737362095135E-4"/>
  </r>
  <r>
    <x v="145"/>
    <s v="Pesos"/>
    <d v="2026-09-18T00:00:00"/>
    <s v="25/08/2026"/>
    <n v="0.97939257999999996"/>
    <m/>
    <n v="10000000"/>
    <n v="9793925.75"/>
    <n v="10000000"/>
    <n v="9793925.75"/>
    <n v="13795879"/>
    <s v="AMOMPY"/>
    <s v="Momentum Capital Investment S.A."/>
    <s v="04/06/2026"/>
    <s v="04/06/2026"/>
    <n v="32"/>
    <s v="No"/>
    <s v=""/>
    <m/>
    <m/>
    <s v="*MAV160901282"/>
    <s v="*MAV160901282"/>
    <n v="1.6028811299371502E-4"/>
  </r>
  <r>
    <x v="38"/>
    <s v="Pesos"/>
    <d v="2026-09-18T00:00:00"/>
    <s v="25/08/2026"/>
    <n v="0.9831915"/>
    <m/>
    <n v="215007207.40000001"/>
    <n v="211393257.96000001"/>
    <n v="215007207.40000001"/>
    <n v="211393257.96000001"/>
    <n v="568286"/>
    <s v="AMOMPY"/>
    <s v="Momentum Capital Investment S.A."/>
    <s v="24/04/2026"/>
    <s v="24/04/2026"/>
    <n v="26"/>
    <s v="No"/>
    <s v=""/>
    <m/>
    <m/>
    <s v="*MAV160901235"/>
    <s v="*MAV160901235"/>
    <n v="3.4596776903278062E-3"/>
  </r>
  <r>
    <x v="38"/>
    <s v="Pesos"/>
    <d v="2026-09-18T00:00:00"/>
    <s v="25/08/2026"/>
    <n v="0.9831915"/>
    <m/>
    <n v="29857329.09"/>
    <n v="29355472.059999999"/>
    <n v="29857329.09"/>
    <n v="29355472.059999999"/>
    <n v="568285"/>
    <s v="AMOMPY"/>
    <s v="Momentum Capital Investment S.A."/>
    <s v="24/04/2026"/>
    <s v="24/04/2026"/>
    <n v="26"/>
    <s v="No"/>
    <s v=""/>
    <m/>
    <m/>
    <s v="*MAV160901236"/>
    <s v="*MAV160901236"/>
    <n v="4.8043382629658226E-4"/>
  </r>
  <r>
    <x v="38"/>
    <s v="Pesos"/>
    <d v="2026-09-18T00:00:00"/>
    <s v="25/08/2026"/>
    <n v="0.9831915"/>
    <m/>
    <n v="92806889.260000005"/>
    <n v="91246944.319999993"/>
    <n v="92806889.260000005"/>
    <n v="91246944.319999993"/>
    <n v="568306"/>
    <s v="AMOMPY"/>
    <s v="Momentum Capital Investment S.A."/>
    <s v="24/04/2026"/>
    <s v="24/04/2026"/>
    <n v="26"/>
    <s v="No"/>
    <s v=""/>
    <m/>
    <m/>
    <s v="*MAV160901237"/>
    <s v="*MAV160901237"/>
    <n v="1.493354237599298E-3"/>
  </r>
  <r>
    <x v="38"/>
    <s v="Pesos"/>
    <d v="2026-09-18T00:00:00"/>
    <s v="25/08/2026"/>
    <n v="0.9831915"/>
    <m/>
    <n v="20411147.440000001"/>
    <n v="20068066.59"/>
    <n v="20411147.440000001"/>
    <n v="20068066.59"/>
    <n v="568296"/>
    <s v="AMOMPY"/>
    <s v="Momentum Capital Investment S.A."/>
    <s v="24/04/2026"/>
    <s v="24/04/2026"/>
    <n v="26"/>
    <s v="No"/>
    <s v=""/>
    <m/>
    <m/>
    <s v="*MAV160901238"/>
    <s v="*MAV160901238"/>
    <n v="3.2843546165778489E-4"/>
  </r>
  <r>
    <x v="38"/>
    <s v="Pesos"/>
    <d v="2026-09-18T00:00:00"/>
    <s v="25/08/2026"/>
    <n v="0.9831915"/>
    <m/>
    <n v="68728608.280000001"/>
    <n v="67573383.209999993"/>
    <n v="68728608.280000001"/>
    <n v="67573383.209999993"/>
    <n v="568281"/>
    <s v="AMOMPY"/>
    <s v="Momentum Capital Investment S.A."/>
    <s v="24/04/2026"/>
    <s v="24/04/2026"/>
    <n v="26"/>
    <s v="No"/>
    <s v=""/>
    <m/>
    <m/>
    <s v="*MAV160901239"/>
    <s v="*MAV160901239"/>
    <n v="1.1059109860345924E-3"/>
  </r>
  <r>
    <x v="38"/>
    <s v="Pesos"/>
    <d v="2026-09-18T00:00:00"/>
    <s v="25/08/2026"/>
    <n v="0.98319148999999995"/>
    <m/>
    <n v="6875275.0899999999"/>
    <n v="6759711.9900000002"/>
    <n v="6875275.0899999999"/>
    <n v="6759711.9900000002"/>
    <n v="568310"/>
    <s v="AMOMPY"/>
    <s v="Momentum Capital Investment S.A."/>
    <s v="24/04/2026"/>
    <s v="24/04/2026"/>
    <n v="26"/>
    <s v="No"/>
    <s v=""/>
    <m/>
    <m/>
    <s v="*MAV160901240"/>
    <s v="*MAV160901240"/>
    <n v="1.1062994624582387E-4"/>
  </r>
  <r>
    <x v="38"/>
    <s v="Pesos"/>
    <d v="2026-09-18T00:00:00"/>
    <s v="25/08/2026"/>
    <n v="0.9831915"/>
    <m/>
    <n v="6937722.3200000003"/>
    <n v="6821109.5800000001"/>
    <n v="6937722.3200000003"/>
    <n v="6821109.5800000001"/>
    <n v="568313"/>
    <s v="AMOMPY"/>
    <s v="Momentum Capital Investment S.A."/>
    <s v="24/04/2026"/>
    <s v="24/04/2026"/>
    <n v="26"/>
    <s v="No"/>
    <s v=""/>
    <m/>
    <m/>
    <s v="*MAV160901241"/>
    <s v="*MAV160901241"/>
    <n v="1.1163478374354146E-4"/>
  </r>
  <r>
    <x v="38"/>
    <s v="Pesos"/>
    <d v="2026-09-18T00:00:00"/>
    <s v="25/08/2026"/>
    <n v="0.98319148999999995"/>
    <m/>
    <n v="3090146.07"/>
    <n v="3038205.33"/>
    <n v="3090146.07"/>
    <n v="3038205.33"/>
    <n v="568383"/>
    <s v="AMOMPY"/>
    <s v="Momentum Capital Investment S.A."/>
    <s v="24/04/2026"/>
    <s v="24/04/2026"/>
    <n v="26"/>
    <s v="No"/>
    <s v=""/>
    <m/>
    <m/>
    <s v="*MAV160901242"/>
    <s v="*MAV160901242"/>
    <n v="4.9723493077650424E-5"/>
  </r>
  <r>
    <x v="38"/>
    <s v="Pesos"/>
    <d v="2026-09-18T00:00:00"/>
    <s v="25/08/2026"/>
    <n v="0.9831915"/>
    <m/>
    <n v="7075968.3200000003"/>
    <n v="6957031.8799999999"/>
    <n v="7075968.3200000003"/>
    <n v="6957031.8799999999"/>
    <n v="568319"/>
    <s v="AMOMPY"/>
    <s v="Momentum Capital Investment S.A."/>
    <s v="24/04/2026"/>
    <s v="24/04/2026"/>
    <n v="26"/>
    <s v="No"/>
    <s v=""/>
    <m/>
    <m/>
    <s v="*MAV160901244"/>
    <s v="*MAV160901244"/>
    <n v="1.1385929815552437E-4"/>
  </r>
  <r>
    <x v="38"/>
    <s v="Pesos"/>
    <d v="2026-09-18T00:00:00"/>
    <s v="25/08/2026"/>
    <n v="0.9831915"/>
    <m/>
    <n v="11809132.970000001"/>
    <n v="11610639.109999999"/>
    <n v="11809132.970000001"/>
    <n v="11610639.109999999"/>
    <n v="568322"/>
    <s v="AMOMPY"/>
    <s v="Momentum Capital Investment S.A."/>
    <s v="24/04/2026"/>
    <s v="24/04/2026"/>
    <n v="26"/>
    <s v="No"/>
    <s v=""/>
    <m/>
    <m/>
    <s v="*MAV160901245"/>
    <s v="*MAV160901245"/>
    <n v="1.9002057817243782E-4"/>
  </r>
  <r>
    <x v="38"/>
    <s v="Pesos"/>
    <d v="2026-09-18T00:00:00"/>
    <s v="25/08/2026"/>
    <n v="0.9831915"/>
    <m/>
    <n v="31694713.280000001"/>
    <n v="31161972.57"/>
    <n v="31694713.280000001"/>
    <n v="31161972.57"/>
    <n v="568350"/>
    <s v="AMOMPY"/>
    <s v="Momentum Capital Investment S.A."/>
    <s v="24/04/2026"/>
    <s v="24/04/2026"/>
    <n v="26"/>
    <s v="No"/>
    <s v=""/>
    <m/>
    <m/>
    <s v="*MAV160901243"/>
    <s v="*MAV160901243"/>
    <n v="5.0999914721706039E-4"/>
  </r>
  <r>
    <x v="38"/>
    <s v="Pesos"/>
    <d v="2026-09-18T00:00:00"/>
    <s v="25/08/2026"/>
    <n v="0.9831915"/>
    <m/>
    <n v="20011620.16"/>
    <n v="19675254.77"/>
    <n v="20011620.16"/>
    <n v="19675254.77"/>
    <n v="568324"/>
    <s v="AMOMPY"/>
    <s v="Momentum Capital Investment S.A."/>
    <s v="24/04/2026"/>
    <s v="24/04/2026"/>
    <n v="26"/>
    <s v="No"/>
    <s v=""/>
    <m/>
    <m/>
    <s v="*MAV160901246"/>
    <s v="*MAV160901246"/>
    <n v="3.2200667436690445E-4"/>
  </r>
  <r>
    <x v="38"/>
    <s v="Pesos"/>
    <d v="2026-09-18T00:00:00"/>
    <s v="25/08/2026"/>
    <n v="0.9831915"/>
    <m/>
    <n v="34118781"/>
    <n v="33545295.34"/>
    <n v="34118781"/>
    <n v="33545295.34"/>
    <n v="568355"/>
    <s v="AMOMPY"/>
    <s v="Momentum Capital Investment S.A."/>
    <s v="24/04/2026"/>
    <s v="24/04/2026"/>
    <n v="26"/>
    <s v="No"/>
    <s v=""/>
    <m/>
    <m/>
    <s v="*MAV160901247"/>
    <s v="*MAV160901247"/>
    <n v="5.4900478389530996E-4"/>
  </r>
  <r>
    <x v="101"/>
    <s v="Pesos"/>
    <d v="2026-09-18T00:00:00"/>
    <s v="25/08/2026"/>
    <n v="0.98065564999999999"/>
    <m/>
    <n v="1500000"/>
    <n v="1470983.47"/>
    <n v="1500000"/>
    <n v="1470983.47"/>
    <n v="1968"/>
    <s v="AMOMPY"/>
    <s v="Momentum Capital Investment S.A."/>
    <s v="24/07/2026"/>
    <s v="24/07/2026"/>
    <n v="30"/>
    <s v="No"/>
    <s v=""/>
    <m/>
    <m/>
    <s v="*MAV160901521"/>
    <s v="*MAV160901521"/>
    <n v="2.4074224235490758E-5"/>
  </r>
  <r>
    <x v="155"/>
    <s v="Pesos"/>
    <d v="2026-09-18T00:00:00"/>
    <s v="25/08/2026"/>
    <n v="0.98192193000000005"/>
    <m/>
    <n v="10906113.24"/>
    <n v="10708951.75"/>
    <n v="10906113.24"/>
    <n v="10708951.75"/>
    <n v="90001619"/>
    <s v="AMOMPY"/>
    <s v="Momentum Capital Investment S.A."/>
    <s v="10/08/2026"/>
    <s v="10/08/2026"/>
    <n v="28"/>
    <s v="No"/>
    <s v=""/>
    <m/>
    <m/>
    <s v="*MAV160901637"/>
    <s v="*MAV160901637"/>
    <n v="1.7526349616733028E-4"/>
  </r>
  <r>
    <x v="156"/>
    <s v="Pesos"/>
    <d v="2026-09-18T00:00:00"/>
    <s v="25/08/2026"/>
    <n v="0.97813271999999996"/>
    <m/>
    <n v="5000000"/>
    <n v="4890663.5999999996"/>
    <n v="5000000"/>
    <n v="4890663.5999999996"/>
    <n v="11350029"/>
    <s v="AMOMPY"/>
    <s v="Momentum Capital Investment S.A."/>
    <s v="22/07/2026"/>
    <s v="22/07/2026"/>
    <n v="34"/>
    <s v="No"/>
    <s v=""/>
    <m/>
    <m/>
    <s v="*MAV160901509"/>
    <s v="*MAV160901509"/>
    <n v="8.0040962096435031E-5"/>
  </r>
  <r>
    <x v="88"/>
    <s v="Pesos"/>
    <d v="2026-09-18T00:00:00"/>
    <s v="25/08/2026"/>
    <n v="0.97562287999999997"/>
    <m/>
    <n v="60000000"/>
    <n v="58537372.939999998"/>
    <n v="60000000"/>
    <n v="58537372.939999998"/>
    <n v="70379072"/>
    <s v="AMOMPY"/>
    <s v="Momentum Capital Investment S.A."/>
    <s v="22/06/2026"/>
    <s v="22/06/2026"/>
    <n v="38"/>
    <s v="No"/>
    <s v=""/>
    <m/>
    <m/>
    <s v="*MAV160901349"/>
    <s v="*MAV160901349"/>
    <n v="9.5802697382731897E-4"/>
  </r>
  <r>
    <x v="157"/>
    <s v="Pesos"/>
    <d v="2026-09-18T00:00:00"/>
    <s v="25/08/2026"/>
    <n v="0.97939261"/>
    <m/>
    <n v="1444027.42"/>
    <n v="1414269.78"/>
    <n v="1444027.42"/>
    <n v="1414269.78"/>
    <n v="68156242"/>
    <s v="AMOMPY"/>
    <s v="Momentum Capital Investment S.A."/>
    <s v="14/07/2026"/>
    <s v="14/07/2026"/>
    <n v="32"/>
    <s v="No"/>
    <s v=""/>
    <m/>
    <m/>
    <s v="*MAV160901440"/>
    <s v="*MAV160901440"/>
    <n v="2.3146043791503777E-5"/>
  </r>
  <r>
    <x v="2"/>
    <s v="Pesos"/>
    <d v="2026-09-21T00:00:00"/>
    <s v="25/08/2026"/>
    <n v="0.97617076999999997"/>
    <m/>
    <n v="19470985"/>
    <n v="19007006.489999998"/>
    <n v="19470985"/>
    <n v="19007006.489999998"/>
    <n v="1065"/>
    <s v="AMOMPY"/>
    <s v="Momentum Capital Investment S.A."/>
    <s v="16/06/2026"/>
    <s v="16/06/2026"/>
    <n v="33"/>
    <s v="No"/>
    <s v=""/>
    <m/>
    <m/>
    <s v="*MAV170901091"/>
    <s v="*MAV170901091"/>
    <n v="3.1107007360571369E-4"/>
  </r>
  <r>
    <x v="30"/>
    <s v="Pesos"/>
    <d v="2026-09-21T00:00:00"/>
    <s v="25/08/2026"/>
    <n v="0.97265902000000004"/>
    <m/>
    <n v="4463318.82"/>
    <n v="4341287.3099999996"/>
    <n v="4463318.82"/>
    <n v="4341287.3099999996"/>
    <n v="347"/>
    <s v="AMOMPY"/>
    <s v="Momentum Capital Investment S.A."/>
    <s v="17/04/2026"/>
    <s v="17/04/2026"/>
    <n v="38"/>
    <s v="No"/>
    <s v=""/>
    <m/>
    <m/>
    <s v="*MAV170901008"/>
    <s v="*MAV170901008"/>
    <n v="7.1049829113056223E-5"/>
  </r>
  <r>
    <x v="30"/>
    <s v="Pesos"/>
    <d v="2026-09-21T00:00:00"/>
    <s v="25/08/2026"/>
    <n v="0.97265897999999995"/>
    <m/>
    <n v="4500000"/>
    <n v="4376965.41"/>
    <n v="4500000"/>
    <n v="4376965.41"/>
    <n v="559"/>
    <s v="AMOMPY"/>
    <s v="Momentum Capital Investment S.A."/>
    <s v="22/04/2026"/>
    <s v="22/04/2026"/>
    <n v="38"/>
    <s v="No"/>
    <s v=""/>
    <m/>
    <m/>
    <s v="*MAV170901010"/>
    <s v="*MAV170901010"/>
    <n v="7.1633739535718061E-5"/>
  </r>
  <r>
    <x v="106"/>
    <s v="Pesos"/>
    <d v="2026-09-21T00:00:00"/>
    <s v="25/08/2026"/>
    <n v="0.97617074000000004"/>
    <m/>
    <n v="150000000"/>
    <n v="146425611.71000001"/>
    <n v="150000000"/>
    <n v="146425611.71000001"/>
    <n v="70389147"/>
    <s v="AMOMPY"/>
    <s v="Momentum Capital Investment S.A."/>
    <s v="03/07/2026"/>
    <s v="03/07/2026"/>
    <n v="33"/>
    <s v="No"/>
    <s v=""/>
    <m/>
    <m/>
    <s v="*MAV170901158"/>
    <s v="*MAV170901158"/>
    <n v="2.396412388050453E-3"/>
  </r>
  <r>
    <x v="106"/>
    <s v="Pesos"/>
    <d v="2026-09-21T00:00:00"/>
    <s v="25/08/2026"/>
    <n v="0.97126148999999995"/>
    <m/>
    <n v="340000000"/>
    <n v="330228906.32999998"/>
    <n v="340000000"/>
    <n v="330228906.32999998"/>
    <n v="70397167"/>
    <s v="AMOMPY"/>
    <s v="Momentum Capital Investment S.A."/>
    <s v="04/08/2026"/>
    <s v="04/08/2026"/>
    <n v="40"/>
    <s v="No"/>
    <s v=""/>
    <m/>
    <m/>
    <s v="*MAV170901302"/>
    <s v="*MAV170901302"/>
    <n v="5.4045506983360549E-3"/>
  </r>
  <r>
    <x v="103"/>
    <s v="Pesos"/>
    <d v="2026-09-21T00:00:00"/>
    <s v="25/08/2026"/>
    <n v="0.97335938"/>
    <m/>
    <n v="3345657.98"/>
    <n v="3256527.58"/>
    <n v="3345657.98"/>
    <n v="3256527.58"/>
    <n v="253"/>
    <s v="AMOMPY"/>
    <s v="Momentum Capital Investment S.A."/>
    <s v="02/07/2026"/>
    <s v="02/07/2026"/>
    <n v="37"/>
    <s v="No"/>
    <s v=""/>
    <m/>
    <m/>
    <s v="*MAV170901150"/>
    <s v="*MAV170901150"/>
    <n v="5.3296571164039031E-5"/>
  </r>
  <r>
    <x v="47"/>
    <s v="Pesos"/>
    <d v="2026-09-21T00:00:00"/>
    <s v="25/08/2026"/>
    <n v="0.97758266999999999"/>
    <m/>
    <n v="10000000"/>
    <n v="9775826.75"/>
    <n v="10000000"/>
    <n v="9775826.75"/>
    <n v="14004253"/>
    <s v="AMOMPY"/>
    <s v="Momentum Capital Investment S.A."/>
    <s v="31/07/2026"/>
    <s v="31/07/2026"/>
    <n v="31"/>
    <s v="No"/>
    <s v=""/>
    <m/>
    <m/>
    <s v="*MAV170901291"/>
    <s v="*MAV170901291"/>
    <n v="1.5999190342146324E-4"/>
  </r>
  <r>
    <x v="10"/>
    <s v="Pesos"/>
    <d v="2026-09-21T00:00:00"/>
    <s v="25/08/2026"/>
    <n v="0.98041849999999997"/>
    <m/>
    <n v="10000000"/>
    <n v="9804185"/>
    <n v="10000000"/>
    <n v="9804185"/>
    <n v="67205341"/>
    <s v="AMOMPY"/>
    <s v="Momentum Capital Investment S.A."/>
    <s v="04/06/2026"/>
    <s v="04/06/2026"/>
    <n v="27"/>
    <s v="No"/>
    <s v=""/>
    <m/>
    <m/>
    <s v="*MIL170900034"/>
    <s v="*MIL170900034"/>
    <n v="1.604560166377906E-4"/>
  </r>
  <r>
    <x v="10"/>
    <s v="Pesos"/>
    <d v="2026-09-21T00:00:00"/>
    <s v="25/08/2026"/>
    <n v="0.98041849999999997"/>
    <m/>
    <n v="10000000"/>
    <n v="9804185"/>
    <n v="10000000"/>
    <n v="9804185"/>
    <n v="67280466"/>
    <s v="AMOMPY"/>
    <s v="Momentum Capital Investment S.A."/>
    <s v="04/06/2026"/>
    <s v="04/06/2026"/>
    <n v="27"/>
    <s v="No"/>
    <s v=""/>
    <m/>
    <m/>
    <s v="*MIL170900035"/>
    <s v="*MIL170900035"/>
    <n v="1.604560166377906E-4"/>
  </r>
  <r>
    <x v="10"/>
    <s v="Pesos"/>
    <d v="2026-09-21T00:00:00"/>
    <s v="25/08/2026"/>
    <n v="0.98041849999999997"/>
    <m/>
    <n v="5000000"/>
    <n v="4902092.51"/>
    <n v="5000000"/>
    <n v="4902092.51"/>
    <n v="67193052"/>
    <s v="AMOMPY"/>
    <s v="Momentum Capital Investment S.A."/>
    <s v="04/06/2026"/>
    <s v="04/06/2026"/>
    <n v="27"/>
    <s v="No"/>
    <s v=""/>
    <m/>
    <m/>
    <s v="*MIL170900036"/>
    <s v="*MIL170900036"/>
    <n v="8.0228008482556039E-5"/>
  </r>
  <r>
    <x v="10"/>
    <s v="Pesos"/>
    <d v="2026-09-21T00:00:00"/>
    <s v="25/08/2026"/>
    <n v="0.98184273"/>
    <m/>
    <n v="25000000"/>
    <n v="24546068.170000002"/>
    <n v="25000000"/>
    <n v="24546068.170000002"/>
    <n v="68393693"/>
    <s v="AMOMPY"/>
    <s v="Momentum Capital Investment S.A."/>
    <s v="17/07/2026"/>
    <s v="17/07/2026"/>
    <n v="25"/>
    <s v="No"/>
    <s v=""/>
    <m/>
    <m/>
    <s v="*MIL170900038"/>
    <s v="*MIL170900038"/>
    <n v="4.0172276662240285E-4"/>
  </r>
  <r>
    <x v="34"/>
    <s v="Pesos"/>
    <d v="2026-09-21T00:00:00"/>
    <s v="25/08/2026"/>
    <n v="0.97829005000000002"/>
    <m/>
    <n v="10000000"/>
    <n v="9782900.5"/>
    <n v="10000000"/>
    <n v="9782900.5"/>
    <n v="739"/>
    <s v="AMOMPY"/>
    <s v="Momentum Capital Investment S.A."/>
    <s v="08/07/2026"/>
    <s v="08/07/2026"/>
    <n v="30"/>
    <s v="No"/>
    <s v=""/>
    <m/>
    <m/>
    <s v="*MAV170901153"/>
    <s v="*MAV170901153"/>
    <n v="1.601076729370009E-4"/>
  </r>
  <r>
    <x v="34"/>
    <s v="Pesos"/>
    <d v="2026-09-21T00:00:00"/>
    <s v="25/08/2026"/>
    <n v="0.97829001000000004"/>
    <m/>
    <n v="5000000"/>
    <n v="4891450.07"/>
    <n v="5000000"/>
    <n v="4891450.07"/>
    <n v="781"/>
    <s v="AMOMPY"/>
    <s v="Momentum Capital Investment S.A."/>
    <s v="14/07/2026"/>
    <s v="14/07/2026"/>
    <n v="30"/>
    <s v="No"/>
    <s v=""/>
    <m/>
    <m/>
    <s v="*MAV170901192"/>
    <s v="*MAV170901192"/>
    <n v="8.0053833522607137E-5"/>
  </r>
  <r>
    <x v="34"/>
    <s v="Pesos"/>
    <d v="2026-09-21T00:00:00"/>
    <s v="25/08/2026"/>
    <n v="0.97829009"/>
    <m/>
    <n v="10000000"/>
    <n v="9782900.9399999995"/>
    <n v="10000000"/>
    <n v="9782900.9399999995"/>
    <n v="702"/>
    <s v="AMOMPY"/>
    <s v="Momentum Capital Investment S.A."/>
    <s v="29/06/2026"/>
    <s v="29/06/2026"/>
    <n v="30"/>
    <s v="No"/>
    <s v=""/>
    <m/>
    <m/>
    <s v="*MAV170901139"/>
    <s v="*MAV170901139"/>
    <n v="1.6010768013807343E-4"/>
  </r>
  <r>
    <x v="99"/>
    <s v="Pesos"/>
    <d v="2026-09-21T00:00:00"/>
    <s v="25/08/2026"/>
    <n v="0.97687615000000005"/>
    <m/>
    <n v="15355310.449999999"/>
    <n v="15000236.52"/>
    <n v="15355310.449999999"/>
    <n v="15000236.52"/>
    <n v="30748"/>
    <s v="AMOMPY"/>
    <s v="Momentum Capital Investment S.A."/>
    <s v="04/06/2026"/>
    <s v="04/06/2026"/>
    <n v="32"/>
    <s v="No"/>
    <s v=""/>
    <m/>
    <m/>
    <s v="*MAV170901057"/>
    <s v="*MAV170901057"/>
    <n v="2.4549498001352629E-4"/>
  </r>
  <r>
    <x v="145"/>
    <s v="Pesos"/>
    <d v="2026-09-21T00:00:00"/>
    <s v="25/08/2026"/>
    <n v="0.97687615000000005"/>
    <m/>
    <n v="10000000"/>
    <n v="9768761.4800000004"/>
    <n v="10000000"/>
    <n v="9768761.4800000004"/>
    <n v="13795884"/>
    <s v="AMOMPY"/>
    <s v="Momentum Capital Investment S.A."/>
    <s v="04/06/2026"/>
    <s v="04/06/2026"/>
    <n v="32"/>
    <s v="No"/>
    <s v=""/>
    <m/>
    <m/>
    <s v="*MAV170901058"/>
    <s v="*MAV170901058"/>
    <n v="1.598762726902326E-4"/>
  </r>
  <r>
    <x v="145"/>
    <s v="Pesos"/>
    <d v="2026-09-21T00:00:00"/>
    <s v="25/08/2026"/>
    <n v="0.97687615000000005"/>
    <m/>
    <n v="10000000"/>
    <n v="9768761.4800000004"/>
    <n v="10000000"/>
    <n v="9768761.4800000004"/>
    <n v="13795880"/>
    <s v="AMOMPY"/>
    <s v="Momentum Capital Investment S.A."/>
    <s v="04/06/2026"/>
    <s v="04/06/2026"/>
    <n v="32"/>
    <s v="No"/>
    <s v=""/>
    <m/>
    <m/>
    <s v="*MAV170901059"/>
    <s v="*MAV170901059"/>
    <n v="1.598762726902326E-4"/>
  </r>
  <r>
    <x v="145"/>
    <s v="Pesos"/>
    <d v="2026-09-21T00:00:00"/>
    <s v="25/08/2026"/>
    <n v="0.97687615000000005"/>
    <m/>
    <n v="40000000"/>
    <n v="39075045.920000002"/>
    <n v="40000000"/>
    <n v="39075045.920000002"/>
    <n v="13662785"/>
    <s v="AMOMPY"/>
    <s v="Momentum Capital Investment S.A."/>
    <s v="04/06/2026"/>
    <s v="04/06/2026"/>
    <n v="32"/>
    <s v="No"/>
    <s v=""/>
    <m/>
    <m/>
    <s v="*MAV170901060"/>
    <s v="*MAV170901060"/>
    <n v="6.3950509076093041E-4"/>
  </r>
  <r>
    <x v="158"/>
    <s v="Pesos"/>
    <d v="2026-09-21T00:00:00"/>
    <s v="25/08/2026"/>
    <n v="0.97970805000000005"/>
    <m/>
    <n v="9300000"/>
    <n v="9111284.8699999992"/>
    <n v="9300000"/>
    <n v="9111284.8699999992"/>
    <n v="14120348"/>
    <s v="AMOMPY"/>
    <s v="Momentum Capital Investment S.A."/>
    <s v="10/08/2026"/>
    <s v="10/08/2026"/>
    <n v="28"/>
    <s v="No"/>
    <s v=""/>
    <m/>
    <m/>
    <s v="*MAV170901341"/>
    <s v="*MAV170901341"/>
    <n v="1.4911596187672609E-4"/>
  </r>
  <r>
    <x v="156"/>
    <s v="Pesos"/>
    <d v="2026-09-21T00:00:00"/>
    <s v="25/08/2026"/>
    <n v="0.97546639000000002"/>
    <m/>
    <n v="5000000"/>
    <n v="4877331.97"/>
    <n v="5000000"/>
    <n v="4877331.97"/>
    <n v="11350035"/>
    <s v="AMOMPY"/>
    <s v="Momentum Capital Investment S.A."/>
    <s v="22/07/2026"/>
    <s v="22/07/2026"/>
    <n v="34"/>
    <s v="No"/>
    <s v=""/>
    <m/>
    <m/>
    <s v="*MAV170901230"/>
    <s v="*MAV170901230"/>
    <n v="7.9822775654105678E-5"/>
  </r>
  <r>
    <x v="156"/>
    <s v="Pesos"/>
    <d v="2026-09-21T00:00:00"/>
    <s v="25/08/2026"/>
    <n v="0.97546639000000002"/>
    <m/>
    <n v="5000000"/>
    <n v="4877331.97"/>
    <n v="5000000"/>
    <n v="4877331.97"/>
    <n v="11350034"/>
    <s v="AMOMPY"/>
    <s v="Momentum Capital Investment S.A."/>
    <s v="22/07/2026"/>
    <s v="22/07/2026"/>
    <n v="34"/>
    <s v="No"/>
    <s v=""/>
    <m/>
    <m/>
    <s v="*MAV170901229"/>
    <s v="*MAV170901229"/>
    <n v="7.9822775654105678E-5"/>
  </r>
  <r>
    <x v="156"/>
    <s v="Pesos"/>
    <d v="2026-09-21T00:00:00"/>
    <s v="25/08/2026"/>
    <n v="0.97546639000000002"/>
    <m/>
    <n v="5000000"/>
    <n v="4877331.97"/>
    <n v="5000000"/>
    <n v="4877331.97"/>
    <n v="11350033"/>
    <s v="AMOMPY"/>
    <s v="Momentum Capital Investment S.A."/>
    <s v="22/07/2026"/>
    <s v="22/07/2026"/>
    <n v="34"/>
    <s v="No"/>
    <s v=""/>
    <m/>
    <m/>
    <s v="*MAV170901228"/>
    <s v="*MAV170901228"/>
    <n v="7.9822775654105678E-5"/>
  </r>
  <r>
    <x v="56"/>
    <s v="Pesos"/>
    <d v="2026-09-21T00:00:00"/>
    <s v="25/08/2026"/>
    <n v="0.97829009"/>
    <m/>
    <n v="2870567.11"/>
    <n v="2808247.37"/>
    <n v="2870567.11"/>
    <n v="2808247.37"/>
    <n v="104"/>
    <s v="AMOMPY"/>
    <s v="Momentum Capital Investment S.A."/>
    <s v="20/07/2026"/>
    <s v="20/07/2026"/>
    <n v="30"/>
    <s v="No"/>
    <s v=""/>
    <m/>
    <m/>
    <s v="*MAV170901208"/>
    <s v="*MAV170901208"/>
    <n v="4.5959984101049882E-5"/>
  </r>
  <r>
    <x v="131"/>
    <s v="Pesos"/>
    <d v="2026-09-22T00:00:00"/>
    <s v="25/08/2026"/>
    <n v="0.98118280000000002"/>
    <m/>
    <n v="7250000"/>
    <n v="7113575.3300000001"/>
    <n v="7250000"/>
    <n v="7113575.3300000001"/>
    <n v="33954"/>
    <s v="AMOMPY"/>
    <s v="Momentum Capital Investment S.A."/>
    <s v="16/06/2026"/>
    <s v="16/06/2026"/>
    <n v="25"/>
    <s v="No"/>
    <s v=""/>
    <m/>
    <m/>
    <s v="*MAV180901069"/>
    <s v="*MAV180901069"/>
    <n v="1.1642129983314848E-4"/>
  </r>
  <r>
    <x v="159"/>
    <s v="Pesos"/>
    <d v="2026-09-22T00:00:00"/>
    <s v="25/08/2026"/>
    <n v="0.97604022000000001"/>
    <m/>
    <n v="1345452.79"/>
    <n v="1313216.04"/>
    <n v="1345452.79"/>
    <n v="1313216.04"/>
    <n v="14079449"/>
    <s v="AMOMPY"/>
    <s v="Momentum Capital Investment S.A."/>
    <s v="22/07/2026"/>
    <s v="22/07/2026"/>
    <n v="32"/>
    <s v="No"/>
    <s v=""/>
    <m/>
    <m/>
    <s v="*MAV180901320"/>
    <s v="*MAV180901320"/>
    <n v="2.1492190810684775E-5"/>
  </r>
  <r>
    <x v="64"/>
    <s v="Pesos"/>
    <d v="2026-09-22T00:00:00"/>
    <s v="25/08/2026"/>
    <n v="0.97385283"/>
    <m/>
    <n v="7119676.2199999997"/>
    <n v="6933516.8399999999"/>
    <n v="7119676.2199999997"/>
    <n v="6933516.8399999999"/>
    <n v="92"/>
    <s v="AMOMPY"/>
    <s v="Momentum Capital Investment S.A."/>
    <s v="25/08/2026"/>
    <s v="25/08/2026"/>
    <n v="35"/>
    <s v="No"/>
    <s v=""/>
    <m/>
    <m/>
    <s v="%PEP200900001"/>
    <s v="%PEP200900001"/>
    <n v="1.1347444927216708E-4"/>
  </r>
  <r>
    <x v="29"/>
    <s v="Pesos"/>
    <d v="2026-09-22T00:00:00"/>
    <s v="25/08/2026"/>
    <n v="0.98118284"/>
    <m/>
    <n v="20000000"/>
    <n v="19623656.890000001"/>
    <n v="20000000"/>
    <n v="19623656.890000001"/>
    <n v="157021"/>
    <s v="AMOMPY"/>
    <s v="Momentum Capital Investment S.A."/>
    <s v="20/07/2026"/>
    <s v="20/07/2026"/>
    <n v="25"/>
    <s v="No"/>
    <s v=""/>
    <m/>
    <m/>
    <s v="#NEU200960001"/>
    <s v="#NEU200960001"/>
    <n v="3.2116221964764377E-4"/>
  </r>
  <r>
    <x v="3"/>
    <s v="Pesos"/>
    <d v="2026-09-22T00:00:00"/>
    <s v="25/08/2026"/>
    <n v="0.97531000999999995"/>
    <m/>
    <n v="10000000"/>
    <n v="9753100.0999999996"/>
    <n v="10000000"/>
    <n v="9753100.0999999996"/>
    <n v="29692618"/>
    <s v="AMOMPY"/>
    <s v="Momentum Capital Investment S.A."/>
    <s v="16/07/2026"/>
    <s v="16/07/2026"/>
    <n v="33"/>
    <s v="No"/>
    <s v=""/>
    <m/>
    <m/>
    <s v="*MAV180901269"/>
    <s v="*MAV180901269"/>
    <n v="1.5961995738714E-4"/>
  </r>
  <r>
    <x v="160"/>
    <s v="Pesos"/>
    <d v="2026-09-22T00:00:00"/>
    <s v="25/08/2026"/>
    <n v="0.97530998999999996"/>
    <m/>
    <n v="17106704.170000002"/>
    <n v="16684339.41"/>
    <n v="17106704.170000002"/>
    <n v="16684339.41"/>
    <n v="940"/>
    <s v="AMOMPY"/>
    <s v="Momentum Capital Investment S.A."/>
    <s v="02/06/2026"/>
    <s v="02/06/2026"/>
    <n v="33"/>
    <s v="No"/>
    <s v=""/>
    <m/>
    <m/>
    <s v="*MAV180901026"/>
    <s v="*MAV180901026"/>
    <n v="2.7305713243492506E-4"/>
  </r>
  <r>
    <x v="103"/>
    <s v="Pesos"/>
    <d v="2026-09-22T00:00:00"/>
    <s v="25/08/2026"/>
    <n v="0.97239989000000004"/>
    <m/>
    <n v="3345657.98"/>
    <n v="3253317.44"/>
    <n v="3345657.98"/>
    <n v="3253317.44"/>
    <n v="254"/>
    <s v="AMOMPY"/>
    <s v="Momentum Capital Investment S.A."/>
    <s v="02/07/2026"/>
    <s v="02/07/2026"/>
    <n v="37"/>
    <s v="No"/>
    <s v=""/>
    <m/>
    <m/>
    <s v="*MAV180901160"/>
    <s v="*MAV180901160"/>
    <n v="5.3244033775439199E-5"/>
  </r>
  <r>
    <x v="6"/>
    <s v="Pesos"/>
    <d v="2026-09-22T00:00:00"/>
    <s v="25/08/2026"/>
    <n v="0.97458085999999999"/>
    <m/>
    <n v="677500000"/>
    <n v="660278534.21000004"/>
    <n v="677500000"/>
    <n v="660278534.21000004"/>
    <n v="161679"/>
    <s v="AMOMPY"/>
    <s v="Momentum Capital Investment S.A."/>
    <s v="21/08/2026"/>
    <s v="21/08/2026"/>
    <n v="34"/>
    <s v="No"/>
    <s v=""/>
    <m/>
    <m/>
    <s v="#MAV210960102"/>
    <s v="#MAV210960102"/>
    <n v="1.0806167312303447E-2"/>
  </r>
  <r>
    <x v="7"/>
    <s v="Pesos"/>
    <d v="2026-09-22T00:00:00"/>
    <s v="25/08/2026"/>
    <n v="0.97604022000000001"/>
    <m/>
    <n v="4000000"/>
    <n v="3904160.87"/>
    <n v="4000000"/>
    <n v="3904160.87"/>
    <n v="90015802"/>
    <s v="AMOMPY"/>
    <s v="Momentum Capital Investment S.A."/>
    <s v="22/07/2026"/>
    <s v="22/07/2026"/>
    <n v="32"/>
    <s v="No"/>
    <s v=""/>
    <m/>
    <m/>
    <s v="*MAV180901318"/>
    <s v="*MAV180901318"/>
    <n v="6.3895785474604071E-5"/>
  </r>
  <r>
    <x v="161"/>
    <s v="Pesos"/>
    <d v="2026-09-22T00:00:00"/>
    <s v="25/08/2026"/>
    <n v="0.97530998000000002"/>
    <m/>
    <n v="5134985.93"/>
    <n v="5008203.03"/>
    <n v="5134985.93"/>
    <n v="5008203.03"/>
    <n v="403"/>
    <s v="AMOMPY"/>
    <s v="Momentum Capital Investment S.A."/>
    <s v="02/06/2026"/>
    <s v="02/06/2026"/>
    <n v="33"/>
    <s v="No"/>
    <s v=""/>
    <m/>
    <m/>
    <s v="*MAV180901027"/>
    <s v="*MAV180901027"/>
    <n v="8.1964621098756644E-5"/>
  </r>
  <r>
    <x v="62"/>
    <s v="Pesos"/>
    <d v="2026-09-22T00:00:00"/>
    <s v="25/08/2026"/>
    <n v="0.97823757"/>
    <m/>
    <n v="25000000"/>
    <n v="24455939.219999999"/>
    <n v="25000000"/>
    <n v="24455939.219999999"/>
    <n v="66410159"/>
    <s v="AMOMPY"/>
    <s v="Momentum Capital Investment S.A."/>
    <s v="22/04/2026"/>
    <s v="22/04/2026"/>
    <n v="29"/>
    <s v="No"/>
    <s v=""/>
    <m/>
    <m/>
    <s v="*FID180900021"/>
    <s v="*FID180900021"/>
    <n v="4.0024770956250988E-4"/>
  </r>
  <r>
    <x v="12"/>
    <s v="Pesos"/>
    <d v="2026-09-22T00:00:00"/>
    <s v="25/08/2026"/>
    <n v="0.97970802999999995"/>
    <m/>
    <n v="20000000"/>
    <n v="19594160.550000001"/>
    <n v="20000000"/>
    <n v="19594160.550000001"/>
    <n v="67970080"/>
    <s v="AMOMPY"/>
    <s v="Momentum Capital Investment S.A."/>
    <s v="29/06/2026"/>
    <s v="29/06/2026"/>
    <n v="27"/>
    <s v="No"/>
    <s v=""/>
    <m/>
    <m/>
    <s v="*PRO180900014"/>
    <s v="*PRO180900014"/>
    <n v="3.206794803662253E-4"/>
  </r>
  <r>
    <x v="12"/>
    <s v="Pesos"/>
    <d v="2026-09-22T00:00:00"/>
    <s v="25/08/2026"/>
    <n v="0.98192193999999999"/>
    <m/>
    <n v="2500000"/>
    <n v="2454804.85"/>
    <n v="2500000"/>
    <n v="2454804.85"/>
    <n v="16821014"/>
    <s v="AMOMPY"/>
    <s v="Momentum Capital Investment S.A."/>
    <s v="17/07/2026"/>
    <s v="17/07/2026"/>
    <n v="24"/>
    <s v="No"/>
    <s v=""/>
    <m/>
    <m/>
    <s v="*PRO180900018"/>
    <s v="*PRO180900018"/>
    <n v="4.0175517684960974E-5"/>
  </r>
  <r>
    <x v="12"/>
    <s v="Pesos"/>
    <d v="2026-09-22T00:00:00"/>
    <s v="25/08/2026"/>
    <n v="0.98192193999999999"/>
    <m/>
    <n v="4000000"/>
    <n v="3927687.75"/>
    <n v="4000000"/>
    <n v="3927687.75"/>
    <n v="16821012"/>
    <s v="AMOMPY"/>
    <s v="Momentum Capital Investment S.A."/>
    <s v="17/07/2026"/>
    <s v="17/07/2026"/>
    <n v="24"/>
    <s v="No"/>
    <s v=""/>
    <m/>
    <m/>
    <s v="*PRO180900019"/>
    <s v="*PRO180900019"/>
    <n v="6.4280828132276812E-5"/>
  </r>
  <r>
    <x v="12"/>
    <s v="Pesos"/>
    <d v="2026-09-22T00:00:00"/>
    <s v="25/08/2026"/>
    <n v="0.97897221999999995"/>
    <m/>
    <n v="10950000"/>
    <n v="10719745.82"/>
    <n v="10950000"/>
    <n v="10719745.82"/>
    <n v="90000868"/>
    <s v="AMOMPY"/>
    <s v="Momentum Capital Investment S.A."/>
    <s v="13/08/2026"/>
    <s v="13/08/2026"/>
    <n v="28"/>
    <s v="No"/>
    <s v=""/>
    <m/>
    <m/>
    <s v="*PRO180900022"/>
    <s v="*PRO180900022"/>
    <n v="1.754401527150708E-4"/>
  </r>
  <r>
    <x v="8"/>
    <s v="Pesos"/>
    <d v="2026-09-22T00:00:00"/>
    <s v="25/08/2026"/>
    <n v="0.97897221999999995"/>
    <m/>
    <n v="10000000"/>
    <n v="9789722.2300000004"/>
    <n v="10000000"/>
    <n v="9789722.2300000004"/>
    <n v="1406548"/>
    <s v="AMOMPY"/>
    <s v="Momentum Capital Investment S.A."/>
    <s v="05/06/2026"/>
    <s v="05/06/2026"/>
    <n v="28"/>
    <s v="No"/>
    <s v=""/>
    <m/>
    <m/>
    <s v="*INP180900068"/>
    <s v="*INP180900068"/>
    <n v="1.6021931787458404E-4"/>
  </r>
  <r>
    <x v="10"/>
    <s v="Pesos"/>
    <d v="2026-09-22T00:00:00"/>
    <s v="25/08/2026"/>
    <n v="0.97970802999999995"/>
    <m/>
    <n v="5000000"/>
    <n v="4898540.1399999997"/>
    <n v="5000000"/>
    <n v="4898540.1399999997"/>
    <n v="67193053"/>
    <s v="AMOMPY"/>
    <s v="Momentum Capital Investment S.A."/>
    <s v="04/06/2026"/>
    <s v="04/06/2026"/>
    <n v="27"/>
    <s v="No"/>
    <s v=""/>
    <m/>
    <m/>
    <s v="*MIL180900029"/>
    <s v="*MIL180900029"/>
    <n v="8.0169870132471498E-5"/>
  </r>
  <r>
    <x v="10"/>
    <s v="Pesos"/>
    <d v="2026-09-22T00:00:00"/>
    <s v="25/08/2026"/>
    <n v="0.98118285999999999"/>
    <m/>
    <n v="5000000"/>
    <n v="4905914.3"/>
    <n v="5000000"/>
    <n v="4905914.3"/>
    <n v="8744"/>
    <s v="AMOMPY"/>
    <s v="Momentum Capital Investment S.A."/>
    <s v="17/07/2026"/>
    <s v="17/07/2026"/>
    <n v="25"/>
    <s v="No"/>
    <s v=""/>
    <m/>
    <m/>
    <s v="*MIL180900033"/>
    <s v="*MIL180900033"/>
    <n v="8.0290556180281672E-5"/>
  </r>
  <r>
    <x v="108"/>
    <s v="Pesos"/>
    <d v="2026-09-22T00:00:00"/>
    <s v="25/08/2026"/>
    <n v="0.97531007000000003"/>
    <m/>
    <n v="5000000"/>
    <n v="4876550.33"/>
    <n v="5000000"/>
    <n v="4876550.33"/>
    <n v="3045"/>
    <s v="AMOMPY"/>
    <s v="Momentum Capital Investment S.A."/>
    <s v="21/07/2026"/>
    <s v="21/07/2026"/>
    <n v="33"/>
    <s v="No"/>
    <s v=""/>
    <m/>
    <m/>
    <s v="*MAV180901306"/>
    <s v="*MAV180901306"/>
    <n v="7.9809983276070708E-5"/>
  </r>
  <r>
    <x v="15"/>
    <s v="Pesos"/>
    <d v="2026-09-22T00:00:00"/>
    <s v="25/08/2026"/>
    <n v="0.97385281999999995"/>
    <m/>
    <n v="50000000"/>
    <n v="48692640.840000004"/>
    <n v="50000000"/>
    <n v="48692640.840000004"/>
    <n v="2885"/>
    <s v="AMOMPY"/>
    <s v="Momentum Capital Investment S.A."/>
    <s v="19/06/2026"/>
    <s v="19/06/2026"/>
    <n v="35"/>
    <s v="No"/>
    <s v=""/>
    <m/>
    <m/>
    <s v="*MAV180901091"/>
    <s v="*MAV180901091"/>
    <n v="7.9690736035284968E-4"/>
  </r>
  <r>
    <x v="99"/>
    <s v="Pesos"/>
    <d v="2026-09-22T00:00:00"/>
    <s v="25/08/2026"/>
    <n v="0.97604029000000003"/>
    <m/>
    <n v="15355310.449999999"/>
    <n v="14987401.59"/>
    <n v="15355310.449999999"/>
    <n v="14987401.59"/>
    <n v="30749"/>
    <s v="AMOMPY"/>
    <s v="Momentum Capital Investment S.A."/>
    <s v="04/06/2026"/>
    <s v="04/06/2026"/>
    <n v="32"/>
    <s v="No"/>
    <s v=""/>
    <m/>
    <m/>
    <s v="*MAV180901036"/>
    <s v="*MAV180901036"/>
    <n v="2.4528492260012327E-4"/>
  </r>
  <r>
    <x v="145"/>
    <s v="Pesos"/>
    <d v="2026-09-22T00:00:00"/>
    <s v="25/08/2026"/>
    <n v="0.97604029000000003"/>
    <m/>
    <n v="40000000"/>
    <n v="39041611.420000002"/>
    <n v="40000000"/>
    <n v="39041611.420000002"/>
    <n v="13662787"/>
    <s v="AMOMPY"/>
    <s v="Momentum Capital Investment S.A."/>
    <s v="04/06/2026"/>
    <s v="04/06/2026"/>
    <n v="32"/>
    <s v="No"/>
    <s v=""/>
    <m/>
    <m/>
    <s v="*MAV180901037"/>
    <s v="*MAV180901037"/>
    <n v="6.3895789926176185E-4"/>
  </r>
  <r>
    <x v="162"/>
    <s v="Dolar Link"/>
    <d v="2026-09-22T00:00:00"/>
    <s v="25/08/2026"/>
    <n v="0.99087800999999998"/>
    <s v="1 BNA = 1529,9999326800 $"/>
    <n v="5609.52"/>
    <n v="5558.35"/>
    <n v="8582565.2200000007"/>
    <n v="8504275.1300000008"/>
    <n v="90"/>
    <s v="AMOMPY"/>
    <s v="Momentum Capital Investment S.A."/>
    <s v="25/08/2026"/>
    <s v="25/08/2026"/>
    <n v="12"/>
    <s v="No"/>
    <s v=""/>
    <m/>
    <m/>
    <s v="%UON190900001"/>
    <s v="%UON190900001"/>
    <n v="1.3918159558919268E-4"/>
  </r>
  <r>
    <x v="163"/>
    <s v="Pesos"/>
    <d v="2026-09-22T00:00:00"/>
    <s v="25/08/2026"/>
    <n v="0.97897224999999999"/>
    <m/>
    <n v="11398000"/>
    <n v="11158325.720000001"/>
    <n v="11398000"/>
    <n v="11158325.720000001"/>
    <n v="121"/>
    <s v="AMOMPY"/>
    <s v="Momentum Capital Investment S.A."/>
    <s v="10/08/2026"/>
    <s v="10/08/2026"/>
    <n v="28"/>
    <s v="No"/>
    <s v=""/>
    <m/>
    <m/>
    <s v="*MAV180901499"/>
    <s v="*MAV180901499"/>
    <n v="1.8261798378735276E-4"/>
  </r>
  <r>
    <x v="164"/>
    <s v="Pesos"/>
    <d v="2026-09-22T00:00:00"/>
    <s v="25/08/2026"/>
    <n v="0.97897224999999999"/>
    <m/>
    <n v="7700000"/>
    <n v="7538086.3300000001"/>
    <n v="7700000"/>
    <n v="7538086.3300000001"/>
    <n v="90015753"/>
    <s v="AMOMPY"/>
    <s v="Momentum Capital Investment S.A."/>
    <s v="10/08/2026"/>
    <s v="10/08/2026"/>
    <n v="28"/>
    <s v="No"/>
    <s v=""/>
    <m/>
    <m/>
    <s v="*MAV180901497"/>
    <s v="*MAV180901497"/>
    <n v="1.2336887824776686E-4"/>
  </r>
  <r>
    <x v="155"/>
    <s v="Pesos"/>
    <d v="2026-09-22T00:00:00"/>
    <s v="25/08/2026"/>
    <n v="0.97897224999999999"/>
    <m/>
    <n v="8825438.2699999996"/>
    <n v="8639859.1699999999"/>
    <n v="8825438.2699999996"/>
    <n v="8639859.1699999999"/>
    <n v="90001620"/>
    <s v="AMOMPY"/>
    <s v="Momentum Capital Investment S.A."/>
    <s v="10/08/2026"/>
    <s v="10/08/2026"/>
    <n v="28"/>
    <s v="No"/>
    <s v=""/>
    <m/>
    <m/>
    <s v="*MAV180901498"/>
    <s v="*MAV180901498"/>
    <n v="1.4140057401300441E-4"/>
  </r>
  <r>
    <x v="165"/>
    <s v="Pesos"/>
    <d v="2026-09-22T00:00:00"/>
    <s v="25/08/2026"/>
    <n v="0.97897224999999999"/>
    <m/>
    <n v="7000000"/>
    <n v="6852805.7699999996"/>
    <n v="7000000"/>
    <n v="6852805.7699999996"/>
    <n v="1161723"/>
    <s v="AMOMPY"/>
    <s v="Momentum Capital Investment S.A."/>
    <s v="10/08/2026"/>
    <s v="10/08/2026"/>
    <n v="28"/>
    <s v="No"/>
    <s v=""/>
    <m/>
    <m/>
    <s v="*MAV180901496"/>
    <s v="*MAV180901496"/>
    <n v="1.1215352593271827E-4"/>
  </r>
  <r>
    <x v="52"/>
    <s v="Pesos"/>
    <d v="2026-09-22T00:00:00"/>
    <s v="25/08/2026"/>
    <n v="0.97530996000000003"/>
    <m/>
    <n v="12500000"/>
    <n v="12191374.550000001"/>
    <n v="12500000"/>
    <n v="12191374.550000001"/>
    <n v="1360"/>
    <s v="AMOMPY"/>
    <s v="Momentum Capital Investment S.A."/>
    <s v="21/05/2026"/>
    <s v="21/05/2026"/>
    <n v="33"/>
    <s v="No"/>
    <s v=""/>
    <m/>
    <m/>
    <s v="*MAV180901014"/>
    <s v="*MAV180901014"/>
    <n v="1.9952493732343252E-4"/>
  </r>
  <r>
    <x v="115"/>
    <s v="Pesos"/>
    <d v="2026-09-22T00:00:00"/>
    <s v="25/08/2026"/>
    <n v="0.9822919"/>
    <m/>
    <n v="6005225.8799999999"/>
    <n v="5898884.7199999997"/>
    <n v="6005225.8799999999"/>
    <n v="5898884.7199999997"/>
    <n v="95"/>
    <s v="AMOMPY"/>
    <s v="Momentum Capital Investment S.A."/>
    <s v="17/07/2026"/>
    <s v="17/07/2026"/>
    <n v="23.5"/>
    <s v="No"/>
    <s v=""/>
    <m/>
    <m/>
    <s v="%INC200900023"/>
    <s v="%INC200900023"/>
    <n v="9.6541583494877831E-5"/>
  </r>
  <r>
    <x v="24"/>
    <s v="Pesos"/>
    <d v="2026-09-22T00:00:00"/>
    <s v="25/08/2026"/>
    <n v="0.97604029000000003"/>
    <m/>
    <n v="1000000"/>
    <n v="976040.29"/>
    <n v="1000000"/>
    <n v="976040.29"/>
    <n v="67381776"/>
    <s v="AMOMPY"/>
    <s v="Momentum Capital Investment S.A."/>
    <s v="04/06/2026"/>
    <s v="04/06/2026"/>
    <n v="32"/>
    <s v="No"/>
    <s v=""/>
    <m/>
    <m/>
    <s v="*MAV180901035"/>
    <s v="*MAV180901035"/>
    <n v="1.5973947555191379E-5"/>
  </r>
  <r>
    <x v="166"/>
    <s v="Pesos"/>
    <d v="2026-09-22T00:00:00"/>
    <s v="25/08/2026"/>
    <n v="0.97604022999999995"/>
    <m/>
    <n v="10000000"/>
    <n v="9760402.2899999991"/>
    <n v="10000000"/>
    <n v="9760402.2899999991"/>
    <n v="67448929"/>
    <s v="AMOMPY"/>
    <s v="Momentum Capital Investment S.A."/>
    <s v="05/06/2026"/>
    <s v="05/06/2026"/>
    <n v="32"/>
    <s v="No"/>
    <s v=""/>
    <m/>
    <m/>
    <s v="*MAV180901040"/>
    <s v="*MAV180901040"/>
    <n v="1.5973946556860865E-4"/>
  </r>
  <r>
    <x v="74"/>
    <s v="Pesos"/>
    <d v="2026-09-22T00:00:00"/>
    <s v="25/08/2026"/>
    <n v="0.97750402999999997"/>
    <m/>
    <n v="2500000"/>
    <n v="2443760.08"/>
    <n v="2500000"/>
    <n v="2443760.08"/>
    <n v="347"/>
    <s v="AMOMPY"/>
    <s v="Momentum Capital Investment S.A."/>
    <s v="15/07/2026"/>
    <s v="15/07/2026"/>
    <n v="30"/>
    <s v="No"/>
    <s v=""/>
    <m/>
    <m/>
    <s v="*MAV180901257"/>
    <s v="*MAV180901257"/>
    <n v="3.9994758162483522E-5"/>
  </r>
  <r>
    <x v="59"/>
    <s v="Pesos"/>
    <d v="2026-09-22T00:00:00"/>
    <s v="25/08/2026"/>
    <n v="0.97750408"/>
    <m/>
    <n v="5628480.1799999997"/>
    <n v="5501862.3499999996"/>
    <n v="5628480.1799999997"/>
    <n v="5501862.3499999996"/>
    <n v="68199746"/>
    <s v="AMOMPY"/>
    <s v="Momentum Capital Investment S.A."/>
    <s v="13/07/2026"/>
    <s v="13/07/2026"/>
    <n v="30"/>
    <s v="No"/>
    <s v=""/>
    <m/>
    <m/>
    <s v="*MAV180901224"/>
    <s v="*MAV180901224"/>
    <n v="9.0043886031366581E-5"/>
  </r>
  <r>
    <x v="91"/>
    <s v="Pesos"/>
    <d v="2026-09-22T00:00:00"/>
    <s v="25/08/2026"/>
    <n v="0.97750402999999997"/>
    <m/>
    <n v="2500000"/>
    <n v="2443760.08"/>
    <n v="2500000"/>
    <n v="2443760.08"/>
    <n v="382"/>
    <s v="AMOMPY"/>
    <s v="Momentum Capital Investment S.A."/>
    <s v="15/07/2026"/>
    <s v="15/07/2026"/>
    <n v="30"/>
    <s v="No"/>
    <s v=""/>
    <m/>
    <m/>
    <s v="*MAV180901250"/>
    <s v="*MAV180901250"/>
    <n v="3.9994758162483522E-5"/>
  </r>
  <r>
    <x v="167"/>
    <s v="Pesos"/>
    <d v="2026-09-22T00:00:00"/>
    <s v="25/08/2026"/>
    <n v="0.97604022000000001"/>
    <m/>
    <n v="2000000"/>
    <n v="1952080.44"/>
    <n v="2000000"/>
    <n v="1952080.44"/>
    <n v="6888262"/>
    <s v="AMOMPY"/>
    <s v="Momentum Capital Investment S.A."/>
    <s v="22/07/2026"/>
    <s v="22/07/2026"/>
    <n v="32"/>
    <s v="No"/>
    <s v=""/>
    <m/>
    <m/>
    <s v="*MAV180901321"/>
    <s v="*MAV180901321"/>
    <n v="3.1947892819132405E-5"/>
  </r>
  <r>
    <x v="168"/>
    <s v="Pesos"/>
    <d v="2026-09-22T00:00:00"/>
    <s v="25/08/2026"/>
    <n v="0.97604020999999996"/>
    <m/>
    <n v="1587931.5"/>
    <n v="1549885"/>
    <n v="1587931.5"/>
    <n v="1549885"/>
    <n v="90001113"/>
    <s v="AMOMPY"/>
    <s v="Momentum Capital Investment S.A."/>
    <s v="22/07/2026"/>
    <s v="22/07/2026"/>
    <n v="32"/>
    <s v="No"/>
    <s v=""/>
    <m/>
    <m/>
    <s v="*MAV180901317"/>
    <s v="*MAV180901317"/>
    <n v="2.5365532509501004E-5"/>
  </r>
  <r>
    <x v="169"/>
    <s v="Pesos"/>
    <d v="2026-09-22T00:00:00"/>
    <s v="25/08/2026"/>
    <n v="0.97604022000000001"/>
    <m/>
    <n v="1500000"/>
    <n v="1464060.33"/>
    <n v="1500000"/>
    <n v="1464060.33"/>
    <n v="67865082"/>
    <s v="AMOMPY"/>
    <s v="Momentum Capital Investment S.A."/>
    <s v="22/07/2026"/>
    <s v="22/07/2026"/>
    <n v="32"/>
    <s v="No"/>
    <s v=""/>
    <m/>
    <m/>
    <s v="*MAV180901319"/>
    <s v="*MAV180901319"/>
    <n v="2.3960919614349305E-5"/>
  </r>
  <r>
    <x v="0"/>
    <s v="Pesos"/>
    <d v="2026-09-23T00:00:00"/>
    <s v="25/08/2026"/>
    <n v="0.97671931999999995"/>
    <m/>
    <n v="1961936.49"/>
    <n v="1916261.28"/>
    <n v="1961936.49"/>
    <n v="1916261.28"/>
    <n v="9795"/>
    <s v="AMOMPY"/>
    <s v="Momentum Capital Investment S.A."/>
    <s v="13/07/2026"/>
    <s v="13/07/2026"/>
    <n v="30"/>
    <s v="No"/>
    <s v=""/>
    <m/>
    <m/>
    <s v="*MAV200901354"/>
    <s v="*MAV200901354"/>
    <n v="3.1361673798080509E-5"/>
  </r>
  <r>
    <x v="29"/>
    <s v="Pesos"/>
    <d v="2026-09-23T00:00:00"/>
    <s v="25/08/2026"/>
    <n v="0.97671931000000001"/>
    <m/>
    <n v="6000000"/>
    <n v="5860315.8399999999"/>
    <n v="6000000"/>
    <n v="5860315.8399999999"/>
    <n v="10926497"/>
    <s v="AMOMPY"/>
    <s v="Momentum Capital Investment S.A."/>
    <s v="20/04/2026"/>
    <s v="20/04/2026"/>
    <n v="30"/>
    <s v="No"/>
    <s v=""/>
    <m/>
    <m/>
    <s v="*NEU210900016"/>
    <s v="*NEU210900016"/>
    <n v="9.5910362352989853E-5"/>
  </r>
  <r>
    <x v="4"/>
    <s v="Pesos"/>
    <d v="2026-09-23T00:00:00"/>
    <s v="25/08/2026"/>
    <n v="0.97445075000000003"/>
    <m/>
    <n v="4121277.98"/>
    <n v="4015982.42"/>
    <n v="4121277.98"/>
    <n v="4015982.42"/>
    <n v="14052047"/>
    <s v="AMOMPY"/>
    <s v="Momentum Capital Investment S.A."/>
    <s v="11/08/2026"/>
    <s v="11/08/2026"/>
    <n v="33"/>
    <s v="No"/>
    <s v=""/>
    <m/>
    <m/>
    <s v="*MAV210901174"/>
    <s v="*MAV210901174"/>
    <n v="6.5725865230061912E-5"/>
  </r>
  <r>
    <x v="103"/>
    <s v="Pesos"/>
    <d v="2026-09-23T00:00:00"/>
    <s v="25/08/2026"/>
    <n v="0.97144229000000004"/>
    <m/>
    <n v="3345657.98"/>
    <n v="3250113.65"/>
    <n v="3345657.98"/>
    <n v="3250113.65"/>
    <n v="255"/>
    <s v="AMOMPY"/>
    <s v="Momentum Capital Investment S.A."/>
    <s v="02/07/2026"/>
    <s v="02/07/2026"/>
    <n v="37"/>
    <s v="No"/>
    <s v=""/>
    <m/>
    <m/>
    <s v="*MAV190901258"/>
    <s v="*MAV190901258"/>
    <n v="5.3191600311408892E-5"/>
  </r>
  <r>
    <x v="8"/>
    <s v="Pesos"/>
    <d v="2026-09-23T00:00:00"/>
    <s v="25/08/2026"/>
    <n v="0.97596196999999996"/>
    <m/>
    <n v="3000000"/>
    <n v="2927885.92"/>
    <n v="3000000"/>
    <n v="2927885.92"/>
    <n v="90003468"/>
    <s v="AMOMPY"/>
    <s v="Momentum Capital Investment S.A."/>
    <s v="22/04/2026"/>
    <s v="22/04/2026"/>
    <n v="31"/>
    <s v="No"/>
    <s v=""/>
    <m/>
    <m/>
    <s v="*INP210900041"/>
    <s v="*INP210900041"/>
    <n v="4.7917997456501776E-5"/>
  </r>
  <r>
    <x v="34"/>
    <s v="Pesos"/>
    <d v="2026-09-23T00:00:00"/>
    <s v="25/08/2026"/>
    <n v="0.97671934999999999"/>
    <m/>
    <n v="7500000"/>
    <n v="7325395.1600000001"/>
    <n v="7500000"/>
    <n v="7325395.1600000001"/>
    <n v="513"/>
    <s v="AMOMPY"/>
    <s v="Momentum Capital Investment S.A."/>
    <s v="18/05/2026"/>
    <s v="18/05/2026"/>
    <n v="30"/>
    <s v="No"/>
    <s v=""/>
    <m/>
    <m/>
    <s v="*MAV190901194"/>
    <s v="*MAV190901194"/>
    <n v="1.1988795883302395E-4"/>
  </r>
  <r>
    <x v="49"/>
    <s v="Pesos"/>
    <d v="2026-09-23T00:00:00"/>
    <s v="25/08/2026"/>
    <n v="0.97445075000000003"/>
    <m/>
    <n v="5000000"/>
    <n v="4872253.74"/>
    <n v="5000000"/>
    <n v="4872253.74"/>
    <n v="3817585"/>
    <s v="AMOMPY"/>
    <s v="Momentum Capital Investment S.A."/>
    <s v="11/08/2026"/>
    <s v="11/08/2026"/>
    <n v="33"/>
    <s v="No"/>
    <s v=""/>
    <m/>
    <m/>
    <s v="*MAV210901178"/>
    <s v="*MAV210901178"/>
    <n v="7.9739664966438064E-5"/>
  </r>
  <r>
    <x v="47"/>
    <s v="Pesos"/>
    <d v="2026-09-23T00:00:00"/>
    <s v="25/08/2026"/>
    <n v="0.97596196000000002"/>
    <m/>
    <n v="10000000"/>
    <n v="9759619.5800000001"/>
    <n v="10000000"/>
    <n v="9759619.5800000001"/>
    <n v="14004254"/>
    <s v="AMOMPY"/>
    <s v="Momentum Capital Investment S.A."/>
    <s v="31/07/2026"/>
    <s v="31/07/2026"/>
    <n v="31"/>
    <s v="No"/>
    <s v=""/>
    <m/>
    <m/>
    <s v="*MAV210901104"/>
    <s v="*MAV210901104"/>
    <n v="1.5972665567887459E-4"/>
  </r>
  <r>
    <x v="12"/>
    <s v="Pesos"/>
    <d v="2026-09-23T00:00:00"/>
    <s v="25/08/2026"/>
    <n v="0.98128835000000003"/>
    <m/>
    <n v="10000000"/>
    <n v="9812883.4800000004"/>
    <n v="10000000"/>
    <n v="9812883.4800000004"/>
    <n v="90000402"/>
    <s v="AMOMPY"/>
    <s v="Momentum Capital Investment S.A."/>
    <s v="17/07/2026"/>
    <s v="17/07/2026"/>
    <n v="24"/>
    <s v="No"/>
    <s v=""/>
    <m/>
    <m/>
    <s v="*PRO190900006"/>
    <s v="*PRO190900006"/>
    <n v="1.6059837660464186E-4"/>
  </r>
  <r>
    <x v="13"/>
    <s v="Pesos"/>
    <d v="2026-09-23T00:00:00"/>
    <s v="25/08/2026"/>
    <n v="0.97823758999999999"/>
    <m/>
    <n v="10000000"/>
    <n v="9782375.9100000001"/>
    <n v="10000000"/>
    <n v="9782375.9100000001"/>
    <n v="360566"/>
    <s v="AMOMPY"/>
    <s v="Momentum Capital Investment S.A."/>
    <s v="21/04/2026"/>
    <s v="21/04/2026"/>
    <n v="28"/>
    <s v="No"/>
    <s v=""/>
    <m/>
    <m/>
    <s v="*MOV210900051"/>
    <s v="*MOV210900051"/>
    <n v="1.6009908745827237E-4"/>
  </r>
  <r>
    <x v="10"/>
    <s v="Pesos"/>
    <d v="2026-09-23T00:00:00"/>
    <s v="25/08/2026"/>
    <n v="0.97899849999999999"/>
    <m/>
    <n v="35000000"/>
    <n v="34264947.479999997"/>
    <n v="35000000"/>
    <n v="34264947.479999997"/>
    <n v="54027795"/>
    <s v="AMOMPY"/>
    <s v="Momentum Capital Investment S.A."/>
    <s v="25/06/2026"/>
    <s v="25/06/2026"/>
    <n v="27"/>
    <s v="No"/>
    <s v=""/>
    <m/>
    <m/>
    <s v="*MIL210900026"/>
    <s v="*MIL210900026"/>
    <n v="5.6078266403009546E-4"/>
  </r>
  <r>
    <x v="10"/>
    <s v="Pesos"/>
    <d v="2026-09-23T00:00:00"/>
    <s v="25/08/2026"/>
    <n v="0.97899851000000004"/>
    <m/>
    <n v="10000000"/>
    <n v="9789985.1199999992"/>
    <n v="10000000"/>
    <n v="9789985.1199999992"/>
    <n v="67280581"/>
    <s v="AMOMPY"/>
    <s v="Momentum Capital Investment S.A."/>
    <s v="04/06/2026"/>
    <s v="04/06/2026"/>
    <n v="27"/>
    <s v="No"/>
    <s v=""/>
    <m/>
    <m/>
    <s v="*MIL210900024"/>
    <s v="*MIL210900024"/>
    <n v="1.6022362035176228E-4"/>
  </r>
  <r>
    <x v="10"/>
    <s v="Pesos"/>
    <d v="2026-09-23T00:00:00"/>
    <s v="25/08/2026"/>
    <n v="0.97899851000000004"/>
    <m/>
    <n v="10000000"/>
    <n v="9789985.1199999992"/>
    <n v="10000000"/>
    <n v="9789985.1199999992"/>
    <n v="67280500"/>
    <s v="AMOMPY"/>
    <s v="Momentum Capital Investment S.A."/>
    <s v="04/06/2026"/>
    <s v="04/06/2026"/>
    <n v="27"/>
    <s v="No"/>
    <s v=""/>
    <m/>
    <m/>
    <s v="*MIL200900039"/>
    <s v="*MIL200900039"/>
    <n v="1.6022362035176228E-4"/>
  </r>
  <r>
    <x v="10"/>
    <s v="Pesos"/>
    <d v="2026-09-23T00:00:00"/>
    <s v="25/08/2026"/>
    <n v="0.97899851000000004"/>
    <m/>
    <n v="5000000"/>
    <n v="4894992.5599999996"/>
    <n v="5000000"/>
    <n v="4894992.5599999996"/>
    <n v="67193054"/>
    <s v="AMOMPY"/>
    <s v="Momentum Capital Investment S.A."/>
    <s v="04/06/2026"/>
    <s v="04/06/2026"/>
    <n v="27"/>
    <s v="No"/>
    <s v=""/>
    <m/>
    <m/>
    <s v="*MIL190900031"/>
    <s v="*MIL190900031"/>
    <n v="8.0111810175881142E-5"/>
  </r>
  <r>
    <x v="10"/>
    <s v="Pesos"/>
    <d v="2026-09-23T00:00:00"/>
    <s v="25/08/2026"/>
    <n v="0.97899851000000004"/>
    <m/>
    <n v="5000000"/>
    <n v="4894992.5599999996"/>
    <n v="5000000"/>
    <n v="4894992.5599999996"/>
    <n v="67193055"/>
    <s v="AMOMPY"/>
    <s v="Momentum Capital Investment S.A."/>
    <s v="04/06/2026"/>
    <s v="04/06/2026"/>
    <n v="27"/>
    <s v="No"/>
    <s v=""/>
    <m/>
    <m/>
    <s v="*MIL200900040"/>
    <s v="*MIL200900040"/>
    <n v="8.0111810175881142E-5"/>
  </r>
  <r>
    <x v="170"/>
    <s v="Pesos"/>
    <d v="2026-09-23T00:00:00"/>
    <s v="25/08/2026"/>
    <n v="0.97823773000000003"/>
    <m/>
    <n v="6860594.6900000004"/>
    <n v="6711292.5599999996"/>
    <n v="6860594.6900000004"/>
    <n v="6711292.5599999996"/>
    <n v="29780518"/>
    <s v="AMOMPY"/>
    <s v="Momentum Capital Investment S.A."/>
    <s v="10/08/2026"/>
    <s v="10/08/2026"/>
    <n v="28"/>
    <s v="No"/>
    <s v=""/>
    <m/>
    <m/>
    <s v="*MAV200901441"/>
    <s v="*MAV200901441"/>
    <n v="1.0983751027427985E-4"/>
  </r>
  <r>
    <x v="34"/>
    <s v="Pesos"/>
    <d v="2026-09-23T00:00:00"/>
    <s v="25/08/2026"/>
    <n v="0.97671929999999996"/>
    <m/>
    <n v="10000000"/>
    <n v="9767192.9700000007"/>
    <n v="10000000"/>
    <n v="9767192.9700000007"/>
    <n v="580"/>
    <s v="AMOMPY"/>
    <s v="Momentum Capital Investment S.A."/>
    <s v="02/06/2026"/>
    <s v="02/06/2026"/>
    <n v="30"/>
    <s v="No"/>
    <s v=""/>
    <m/>
    <m/>
    <s v="*MAV210900798"/>
    <s v="*MAV210900798"/>
    <n v="1.5985060233959596E-4"/>
  </r>
  <r>
    <x v="37"/>
    <s v="Pesos"/>
    <d v="2026-09-23T00:00:00"/>
    <s v="25/08/2026"/>
    <n v="0.97445071999999999"/>
    <m/>
    <n v="2500000"/>
    <n v="2436126.79"/>
    <n v="2500000"/>
    <n v="2436126.79"/>
    <n v="1201"/>
    <s v="AMOMPY"/>
    <s v="Momentum Capital Investment S.A."/>
    <s v="19/05/2026"/>
    <s v="19/05/2026"/>
    <n v="33"/>
    <s v="No"/>
    <s v=""/>
    <m/>
    <m/>
    <s v="*MAV210900773"/>
    <s v="*MAV210900773"/>
    <n v="3.9869831173933114E-5"/>
  </r>
  <r>
    <x v="99"/>
    <s v="Pesos"/>
    <d v="2026-09-23T00:00:00"/>
    <s v="25/08/2026"/>
    <n v="0.97520578000000002"/>
    <m/>
    <n v="15355310.449999999"/>
    <n v="14974587.43"/>
    <n v="15355310.449999999"/>
    <n v="14974587.43"/>
    <n v="30750"/>
    <s v="AMOMPY"/>
    <s v="Momentum Capital Investment S.A."/>
    <s v="04/06/2026"/>
    <s v="04/06/2026"/>
    <n v="32"/>
    <s v="No"/>
    <s v=""/>
    <m/>
    <m/>
    <s v="*MAV210900806"/>
    <s v="*MAV210900806"/>
    <n v="2.4507520511007599E-4"/>
  </r>
  <r>
    <x v="171"/>
    <s v="Pesos"/>
    <d v="2026-09-23T00:00:00"/>
    <s v="25/08/2026"/>
    <n v="0.97823773000000003"/>
    <m/>
    <n v="12518741.310000001"/>
    <n v="12246305.09"/>
    <n v="12518741.310000001"/>
    <n v="12246305.09"/>
    <n v="29830737"/>
    <s v="AMOMPY"/>
    <s v="Momentum Capital Investment S.A."/>
    <s v="10/08/2026"/>
    <s v="10/08/2026"/>
    <n v="28"/>
    <s v="No"/>
    <s v=""/>
    <m/>
    <m/>
    <s v="*MAV210901172"/>
    <s v="*MAV210901172"/>
    <n v="2.0042393460267222E-4"/>
  </r>
  <r>
    <x v="38"/>
    <s v="Pesos"/>
    <d v="2026-09-23T00:00:00"/>
    <s v="25/08/2026"/>
    <n v="0.98435817999999997"/>
    <m/>
    <n v="603640.62"/>
    <n v="594198.57999999996"/>
    <n v="603640.62"/>
    <n v="594198.57999999996"/>
    <n v="612100"/>
    <s v="AMOMPY"/>
    <s v="Momentum Capital Investment S.A."/>
    <s v="22/06/2026"/>
    <s v="22/06/2026"/>
    <n v="20"/>
    <s v="No"/>
    <s v=""/>
    <m/>
    <m/>
    <s v="*MAV210900845"/>
    <s v="*MAV210900845"/>
    <n v="9.7246978957079602E-6"/>
  </r>
  <r>
    <x v="38"/>
    <s v="Pesos"/>
    <d v="2026-09-23T00:00:00"/>
    <s v="25/08/2026"/>
    <n v="0.98128837999999996"/>
    <m/>
    <n v="685765.71"/>
    <n v="672933.92"/>
    <n v="685765.71"/>
    <n v="672933.92"/>
    <n v="612096"/>
    <s v="AMOMPY"/>
    <s v="Momentum Capital Investment S.A."/>
    <s v="29/05/2026"/>
    <s v="29/05/2026"/>
    <n v="24"/>
    <s v="No"/>
    <s v=""/>
    <m/>
    <m/>
    <s v="*MAV210900782"/>
    <s v="*MAV210900782"/>
    <n v="1.101328629189001E-5"/>
  </r>
  <r>
    <x v="38"/>
    <s v="Pesos"/>
    <d v="2026-09-23T00:00:00"/>
    <s v="25/08/2026"/>
    <n v="0.98128837999999996"/>
    <m/>
    <n v="535280.22"/>
    <n v="525264.26"/>
    <n v="535280.22"/>
    <n v="525264.26"/>
    <n v="612233"/>
    <s v="AMOMPY"/>
    <s v="Momentum Capital Investment S.A."/>
    <s v="29/05/2026"/>
    <s v="29/05/2026"/>
    <n v="24"/>
    <s v="No"/>
    <s v=""/>
    <m/>
    <m/>
    <s v="*MAV210900783"/>
    <s v="*MAV210900783"/>
    <n v="8.5965137175396806E-6"/>
  </r>
  <r>
    <x v="38"/>
    <s v="Pesos"/>
    <d v="2026-09-23T00:00:00"/>
    <s v="25/08/2026"/>
    <n v="0.98128837999999996"/>
    <m/>
    <n v="535280.22"/>
    <n v="525264.26"/>
    <n v="535280.22"/>
    <n v="525264.26"/>
    <n v="612235"/>
    <s v="AMOMPY"/>
    <s v="Momentum Capital Investment S.A."/>
    <s v="29/05/2026"/>
    <s v="29/05/2026"/>
    <n v="24"/>
    <s v="No"/>
    <s v=""/>
    <m/>
    <m/>
    <s v="*MAV210900784"/>
    <s v="*MAV210900784"/>
    <n v="8.5965137175396806E-6"/>
  </r>
  <r>
    <x v="38"/>
    <s v="Pesos"/>
    <d v="2026-09-23T00:00:00"/>
    <s v="25/08/2026"/>
    <n v="0.98128837000000002"/>
    <m/>
    <n v="689115.82"/>
    <n v="676221.34"/>
    <n v="689115.82"/>
    <n v="676221.34"/>
    <n v="612121"/>
    <s v="AMOMPY"/>
    <s v="Momentum Capital Investment S.A."/>
    <s v="29/05/2026"/>
    <s v="29/05/2026"/>
    <n v="24"/>
    <s v="No"/>
    <s v=""/>
    <m/>
    <m/>
    <s v="*MAV210900785"/>
    <s v="*MAV210900785"/>
    <n v="1.1067088450683975E-5"/>
  </r>
  <r>
    <x v="38"/>
    <s v="Pesos"/>
    <d v="2026-09-23T00:00:00"/>
    <s v="25/08/2026"/>
    <n v="0.98128835999999997"/>
    <m/>
    <n v="2688265.68"/>
    <n v="2637963.8199999998"/>
    <n v="2688265.68"/>
    <n v="2637963.8199999998"/>
    <n v="612240"/>
    <s v="AMOMPY"/>
    <s v="Momentum Capital Investment S.A."/>
    <s v="29/05/2026"/>
    <s v="29/05/2026"/>
    <n v="24"/>
    <s v="No"/>
    <s v=""/>
    <m/>
    <m/>
    <s v="*MAV210900786"/>
    <s v="*MAV210900786"/>
    <n v="4.317311093087387E-5"/>
  </r>
  <r>
    <x v="101"/>
    <s v="Pesos"/>
    <d v="2026-09-23T00:00:00"/>
    <s v="25/08/2026"/>
    <n v="0.97671933"/>
    <m/>
    <n v="1500000"/>
    <n v="1465078.99"/>
    <n v="1500000"/>
    <n v="1465078.99"/>
    <n v="1969"/>
    <s v="AMOMPY"/>
    <s v="Momentum Capital Investment S.A."/>
    <s v="24/07/2026"/>
    <s v="24/07/2026"/>
    <n v="30"/>
    <s v="No"/>
    <s v=""/>
    <m/>
    <m/>
    <s v="*MAV190901318"/>
    <s v="*MAV190901318"/>
    <n v="2.3977591079229684E-5"/>
  </r>
  <r>
    <x v="172"/>
    <s v="Pesos"/>
    <d v="2026-09-23T00:00:00"/>
    <s v="25/08/2026"/>
    <n v="0.97823773000000003"/>
    <m/>
    <n v="5584276.4299999997"/>
    <n v="5462749.9000000004"/>
    <n v="5584276.4299999997"/>
    <n v="5462749.9000000004"/>
    <n v="40637680"/>
    <s v="AMOMPY"/>
    <s v="Momentum Capital Investment S.A."/>
    <s v="10/08/2026"/>
    <s v="10/08/2026"/>
    <n v="28"/>
    <s v="No"/>
    <s v=""/>
    <m/>
    <m/>
    <s v="*MAV200901442"/>
    <s v="*MAV200901442"/>
    <n v="8.9403768782666689E-5"/>
  </r>
  <r>
    <x v="173"/>
    <s v="Pesos"/>
    <d v="2026-09-23T00:00:00"/>
    <s v="25/08/2026"/>
    <n v="0.97369686"/>
    <m/>
    <n v="6668567.0099999998"/>
    <n v="6493162.7400000002"/>
    <n v="6668567.0099999998"/>
    <n v="6493162.7400000002"/>
    <n v="977"/>
    <s v="AMOMPY"/>
    <s v="Momentum Capital Investment S.A."/>
    <s v="14/08/2026"/>
    <s v="14/08/2026"/>
    <n v="34"/>
    <s v="No"/>
    <s v=""/>
    <m/>
    <m/>
    <s v="*MAV190901390"/>
    <s v="*MAV190901390"/>
    <n v="1.0626758151149964E-4"/>
  </r>
  <r>
    <x v="29"/>
    <s v="Pesos"/>
    <d v="2026-09-23T00:00:00"/>
    <s v="25/08/2026"/>
    <n v="0.97823758000000005"/>
    <m/>
    <n v="10000000"/>
    <n v="9782375.8499999996"/>
    <n v="10000000"/>
    <n v="9782375.8499999996"/>
    <n v="3487823"/>
    <s v="AMOMPY"/>
    <s v="Momentum Capital Investment S.A."/>
    <s v="05/05/2026"/>
    <s v="05/05/2026"/>
    <n v="28"/>
    <s v="No"/>
    <s v=""/>
    <m/>
    <m/>
    <s v="*NEU190900025"/>
    <s v="*NEU190900025"/>
    <n v="1.6009908647630794E-4"/>
  </r>
  <r>
    <x v="29"/>
    <s v="Pesos"/>
    <d v="2026-09-23T00:00:00"/>
    <s v="25/08/2026"/>
    <n v="0.97976061999999997"/>
    <m/>
    <n v="9000000"/>
    <n v="8817845.5999999996"/>
    <n v="9000000"/>
    <n v="8817845.5999999996"/>
    <n v="3487869"/>
    <s v="AMOMPY"/>
    <s v="Momentum Capital Investment S.A."/>
    <s v="29/05/2026"/>
    <s v="29/05/2026"/>
    <n v="26"/>
    <s v="No"/>
    <s v=""/>
    <m/>
    <m/>
    <s v="*NEU190900027"/>
    <s v="*NEU190900027"/>
    <n v="1.4431351308681636E-4"/>
  </r>
  <r>
    <x v="174"/>
    <s v="Pesos"/>
    <d v="2026-09-23T00:00:00"/>
    <s v="25/08/2026"/>
    <n v="0.97520583000000005"/>
    <m/>
    <n v="22110202.949999999"/>
    <n v="21561998.859999999"/>
    <n v="22110202.949999999"/>
    <n v="21561998.859999999"/>
    <n v="1105"/>
    <s v="AMOMPY"/>
    <s v="Momentum Capital Investment S.A."/>
    <s v="22/07/2026"/>
    <s v="22/07/2026"/>
    <n v="32"/>
    <s v="No"/>
    <s v=""/>
    <m/>
    <m/>
    <s v="*MAV200901380"/>
    <s v="*MAV200901380"/>
    <n v="3.528852676509248E-4"/>
  </r>
  <r>
    <x v="41"/>
    <s v="Pesos"/>
    <d v="2026-09-23T00:00:00"/>
    <s v="25/08/2026"/>
    <n v="0.97294435000000001"/>
    <m/>
    <n v="70000000"/>
    <n v="68106104.430000007"/>
    <n v="70000000"/>
    <n v="68106104.430000007"/>
    <n v="9779382"/>
    <s v="AMOMPY"/>
    <s v="Momentum Capital Investment S.A."/>
    <s v="20/08/2026"/>
    <s v="20/08/2026"/>
    <n v="35"/>
    <s v="No"/>
    <s v=""/>
    <m/>
    <m/>
    <s v="*MAV190901420"/>
    <s v="*MAV190901420"/>
    <n v="1.1146295409108647E-3"/>
  </r>
  <r>
    <x v="175"/>
    <s v="Pesos"/>
    <d v="2026-09-23T00:00:00"/>
    <s v="25/08/2026"/>
    <n v="0.97445071000000005"/>
    <m/>
    <n v="6625114.5199999996"/>
    <n v="6455847.5300000003"/>
    <n v="6625114.5199999996"/>
    <n v="6455847.5300000003"/>
    <n v="90000979"/>
    <s v="AMOMPY"/>
    <s v="Momentum Capital Investment S.A."/>
    <s v="02/06/2026"/>
    <s v="02/06/2026"/>
    <n v="33"/>
    <s v="No"/>
    <s v=""/>
    <m/>
    <m/>
    <s v="*MAV200901305"/>
    <s v="*MAV200901305"/>
    <n v="1.0565687802552884E-4"/>
  </r>
  <r>
    <x v="166"/>
    <s v="Pesos"/>
    <d v="2026-09-23T00:00:00"/>
    <s v="25/08/2026"/>
    <n v="0.97520580000000001"/>
    <m/>
    <n v="10000000"/>
    <n v="9752057.9800000004"/>
    <n v="10000000"/>
    <n v="9752057.9800000004"/>
    <n v="67448971"/>
    <s v="AMOMPY"/>
    <s v="Momentum Capital Investment S.A."/>
    <s v="05/06/2026"/>
    <s v="05/06/2026"/>
    <n v="32"/>
    <s v="No"/>
    <s v=""/>
    <m/>
    <m/>
    <s v="*MAV210900809"/>
    <s v="*MAV210900809"/>
    <n v="1.5960290197416499E-4"/>
  </r>
  <r>
    <x v="176"/>
    <s v="Pesos"/>
    <d v="2026-09-23T00:00:00"/>
    <s v="25/08/2026"/>
    <n v="0.97671933"/>
    <m/>
    <n v="30000000"/>
    <n v="29301579.920000002"/>
    <n v="30000000"/>
    <n v="29301579.920000002"/>
    <n v="738"/>
    <s v="AMOMPY"/>
    <s v="Momentum Capital Investment S.A."/>
    <s v="06/07/2026"/>
    <s v="06/07/2026"/>
    <n v="30"/>
    <s v="No"/>
    <s v=""/>
    <m/>
    <m/>
    <s v="*MAV210900911"/>
    <s v="*MAV210900911"/>
    <n v="4.7955182354852255E-4"/>
  </r>
  <r>
    <x v="45"/>
    <s v="Pesos"/>
    <d v="2026-09-23T00:00:00"/>
    <s v="25/08/2026"/>
    <n v="0.97671940000000002"/>
    <m/>
    <n v="830000"/>
    <n v="810677.1"/>
    <n v="830000"/>
    <n v="810677.1"/>
    <n v="64"/>
    <s v="AMOMPY"/>
    <s v="Momentum Capital Investment S.A."/>
    <s v="15/07/2026"/>
    <s v="15/07/2026"/>
    <n v="30"/>
    <s v="No"/>
    <s v=""/>
    <m/>
    <m/>
    <s v="*MAV210900942"/>
    <s v="*MAV210900942"/>
    <n v="1.3267601360589977E-5"/>
  </r>
  <r>
    <x v="55"/>
    <s v="Pesos"/>
    <d v="2026-09-23T00:00:00"/>
    <s v="25/08/2026"/>
    <n v="0.97445075000000003"/>
    <m/>
    <n v="6308233.75"/>
    <n v="6147063.0999999996"/>
    <n v="6308233.75"/>
    <n v="6147063.0999999996"/>
    <n v="90046586"/>
    <s v="AMOMPY"/>
    <s v="Momentum Capital Investment S.A."/>
    <s v="11/08/2026"/>
    <s v="11/08/2026"/>
    <n v="33"/>
    <s v="No"/>
    <s v=""/>
    <m/>
    <m/>
    <s v="*MAV200901454"/>
    <s v="*MAV200901454"/>
    <n v="1.0060328921242803E-4"/>
  </r>
  <r>
    <x v="177"/>
    <s v="Pesos"/>
    <d v="2026-09-23T00:00:00"/>
    <s v="25/08/2026"/>
    <n v="0.97520583000000005"/>
    <m/>
    <n v="9833333.3300000001"/>
    <n v="9589524"/>
    <n v="9833333.3300000001"/>
    <n v="9589524"/>
    <n v="40696499"/>
    <s v="AMOMPY"/>
    <s v="Momentum Capital Investment S.A."/>
    <s v="22/07/2026"/>
    <s v="22/07/2026"/>
    <n v="32"/>
    <s v="No"/>
    <s v=""/>
    <m/>
    <m/>
    <s v="*MAV210901000"/>
    <s v="*MAV210901000"/>
    <n v="1.5694285883961721E-4"/>
  </r>
  <r>
    <x v="178"/>
    <s v="Pesos"/>
    <d v="2026-09-23T00:00:00"/>
    <s v="25/08/2026"/>
    <n v="0.97520583000000005"/>
    <m/>
    <n v="1000000"/>
    <n v="975205.83"/>
    <n v="1000000"/>
    <n v="975205.83"/>
    <n v="519"/>
    <s v="AMOMPY"/>
    <s v="Momentum Capital Investment S.A."/>
    <s v="22/07/2026"/>
    <s v="22/07/2026"/>
    <n v="32"/>
    <s v="No"/>
    <s v=""/>
    <m/>
    <m/>
    <s v="*MAV200901381"/>
    <s v="*MAV200901381"/>
    <n v="1.5960290721130864E-5"/>
  </r>
  <r>
    <x v="179"/>
    <s v="Pesos"/>
    <d v="2026-09-23T00:00:00"/>
    <s v="25/08/2026"/>
    <n v="0.97369695999999994"/>
    <m/>
    <n v="5000000"/>
    <n v="4868484.78"/>
    <n v="5000000"/>
    <n v="4868484.78"/>
    <n v="302"/>
    <s v="AMOMPY"/>
    <s v="Momentum Capital Investment S.A."/>
    <s v="22/07/2026"/>
    <s v="22/07/2026"/>
    <n v="34"/>
    <s v="No"/>
    <s v=""/>
    <m/>
    <m/>
    <s v="*MAV190901311"/>
    <s v="*MAV190901311"/>
    <n v="7.9677981888398716E-5"/>
  </r>
  <r>
    <x v="179"/>
    <s v="Pesos"/>
    <d v="2026-09-23T00:00:00"/>
    <s v="25/08/2026"/>
    <n v="0.97369695999999994"/>
    <m/>
    <n v="5000000"/>
    <n v="4868484.78"/>
    <n v="5000000"/>
    <n v="4868484.78"/>
    <n v="303"/>
    <s v="AMOMPY"/>
    <s v="Momentum Capital Investment S.A."/>
    <s v="22/07/2026"/>
    <s v="22/07/2026"/>
    <n v="34"/>
    <s v="No"/>
    <s v=""/>
    <m/>
    <m/>
    <s v="*MAV210901004"/>
    <s v="*MAV210901004"/>
    <n v="7.9677981888398716E-5"/>
  </r>
  <r>
    <x v="0"/>
    <s v="Pesos"/>
    <d v="2026-09-24T00:00:00"/>
    <s v="25/08/2026"/>
    <n v="0.97593584"/>
    <m/>
    <n v="2000000"/>
    <n v="1951871.67"/>
    <n v="2000000"/>
    <n v="1951871.67"/>
    <n v="9801"/>
    <s v="AMOMPY"/>
    <s v="Momentum Capital Investment S.A."/>
    <s v="04/08/2026"/>
    <s v="04/08/2026"/>
    <n v="30"/>
    <s v="No"/>
    <s v=""/>
    <m/>
    <m/>
    <s v="*MAV220901538"/>
    <s v="*MAV220901538"/>
    <n v="3.1944476073875815E-5"/>
  </r>
  <r>
    <x v="130"/>
    <s v="Pesos"/>
    <d v="2026-09-24T00:00:00"/>
    <s v="25/08/2026"/>
    <n v="0.97203733000000003"/>
    <m/>
    <n v="115000000"/>
    <n v="111784293.16"/>
    <n v="115000000"/>
    <n v="111784293.16"/>
    <n v="8428"/>
    <s v="AMOMPY"/>
    <s v="Momentum Capital Investment S.A."/>
    <s v="12/06/2026"/>
    <s v="12/06/2026"/>
    <n v="35"/>
    <s v="No"/>
    <s v=""/>
    <m/>
    <m/>
    <s v="*MAV220901299"/>
    <s v="*MAV220901299"/>
    <n v="1.8294700072596164E-3"/>
  </r>
  <r>
    <x v="12"/>
    <s v="Pesos"/>
    <d v="2026-09-24T00:00:00"/>
    <s v="25/08/2026"/>
    <n v="0.97907725999999995"/>
    <m/>
    <n v="20000000"/>
    <n v="19581545.27"/>
    <n v="20000000"/>
    <n v="19581545.27"/>
    <n v="9508919"/>
    <s v="AMOMPY"/>
    <s v="Momentum Capital Investment S.A."/>
    <s v="17/07/2026"/>
    <s v="17/07/2026"/>
    <n v="26"/>
    <s v="No"/>
    <s v=""/>
    <m/>
    <m/>
    <s v="*PRO220900009"/>
    <s v="*PRO220900009"/>
    <n v="3.2047301776096332E-4"/>
  </r>
  <r>
    <x v="50"/>
    <s v="Pesos"/>
    <d v="2026-09-24T00:00:00"/>
    <s v="25/08/2026"/>
    <n v="0.97986578000000002"/>
    <m/>
    <n v="50000000"/>
    <n v="48993288.869999997"/>
    <n v="50000000"/>
    <n v="48993288.869999997"/>
    <n v="4900"/>
    <s v="AMOMPY"/>
    <s v="Momentum Capital Investment S.A."/>
    <s v="25/06/2026"/>
    <s v="25/06/2026"/>
    <n v="25"/>
    <s v="No"/>
    <s v=""/>
    <m/>
    <m/>
    <s v="*BIF220900006"/>
    <s v="*BIF220900006"/>
    <n v="8.0182778824193968E-4"/>
  </r>
  <r>
    <x v="10"/>
    <s v="Pesos"/>
    <d v="2026-09-24T00:00:00"/>
    <s v="25/08/2026"/>
    <n v="0.97829001999999998"/>
    <m/>
    <n v="8000000"/>
    <n v="7826320.2000000002"/>
    <n v="8000000"/>
    <n v="7826320.2000000002"/>
    <n v="67280737"/>
    <s v="AMOMPY"/>
    <s v="Momentum Capital Investment S.A."/>
    <s v="04/06/2026"/>
    <s v="04/06/2026"/>
    <n v="27"/>
    <s v="No"/>
    <s v=""/>
    <m/>
    <m/>
    <s v="*MIL220900044"/>
    <s v="*MIL220900044"/>
    <n v="1.2808613507638594E-4"/>
  </r>
  <r>
    <x v="10"/>
    <s v="Pesos"/>
    <d v="2026-09-24T00:00:00"/>
    <s v="25/08/2026"/>
    <n v="0.97829003000000003"/>
    <m/>
    <n v="5000000"/>
    <n v="4891450.1399999997"/>
    <n v="5000000"/>
    <n v="4891450.1399999997"/>
    <n v="67193056"/>
    <s v="AMOMPY"/>
    <s v="Momentum Capital Investment S.A."/>
    <s v="04/06/2026"/>
    <s v="04/06/2026"/>
    <n v="27"/>
    <s v="No"/>
    <s v=""/>
    <m/>
    <m/>
    <s v="*MIL220900045"/>
    <s v="*MIL220900045"/>
    <n v="8.0053834668232304E-5"/>
  </r>
  <r>
    <x v="108"/>
    <s v="Pesos"/>
    <d v="2026-09-24T00:00:00"/>
    <s v="25/08/2026"/>
    <n v="0.97359298999999999"/>
    <m/>
    <n v="5000000"/>
    <n v="4867964.93"/>
    <n v="5000000"/>
    <n v="4867964.93"/>
    <n v="3044"/>
    <s v="AMOMPY"/>
    <s v="Momentum Capital Investment S.A."/>
    <s v="21/07/2026"/>
    <s v="21/07/2026"/>
    <n v="33"/>
    <s v="No"/>
    <s v=""/>
    <m/>
    <m/>
    <s v="*MAV220901451"/>
    <s v="*MAV220901451"/>
    <n v="7.9669473984860664E-5"/>
  </r>
  <r>
    <x v="34"/>
    <s v="Pesos"/>
    <d v="2026-09-24T00:00:00"/>
    <s v="25/08/2026"/>
    <n v="0.97593589999999997"/>
    <m/>
    <n v="10000000"/>
    <n v="9759358.9900000002"/>
    <n v="10000000"/>
    <n v="9759358.9900000002"/>
    <n v="740"/>
    <s v="AMOMPY"/>
    <s v="Momentum Capital Investment S.A."/>
    <s v="08/07/2026"/>
    <s v="08/07/2026"/>
    <n v="30"/>
    <s v="No"/>
    <s v=""/>
    <m/>
    <m/>
    <s v="*MAV220901389"/>
    <s v="*MAV220901389"/>
    <n v="1.597223908436664E-4"/>
  </r>
  <r>
    <x v="34"/>
    <s v="Pesos"/>
    <d v="2026-09-24T00:00:00"/>
    <s v="25/08/2026"/>
    <n v="0.97593585999999999"/>
    <m/>
    <n v="5000000"/>
    <n v="4879679.3"/>
    <n v="5000000"/>
    <n v="4879679.3"/>
    <n v="782"/>
    <s v="AMOMPY"/>
    <s v="Momentum Capital Investment S.A."/>
    <s v="14/07/2026"/>
    <s v="14/07/2026"/>
    <n v="30"/>
    <s v="No"/>
    <s v=""/>
    <m/>
    <m/>
    <s v="*MAV220901420"/>
    <s v="*MAV220901420"/>
    <n v="7.9861192230448776E-5"/>
  </r>
  <r>
    <x v="108"/>
    <s v="Pesos"/>
    <d v="2026-09-24T00:00:00"/>
    <s v="25/08/2026"/>
    <n v="0.97048670000000004"/>
    <m/>
    <n v="3076923.1"/>
    <n v="2986112.93"/>
    <n v="3076923.1"/>
    <n v="2986112.93"/>
    <n v="2781"/>
    <s v="AMOMPY"/>
    <s v="Momentum Capital Investment S.A."/>
    <s v="02/07/2026"/>
    <s v="02/07/2026"/>
    <n v="37"/>
    <s v="No"/>
    <s v=""/>
    <m/>
    <m/>
    <s v="*MAV220901385"/>
    <s v="*MAV220901385"/>
    <n v="4.887094500750462E-5"/>
  </r>
  <r>
    <x v="154"/>
    <s v="Pesos"/>
    <d v="2026-09-24T00:00:00"/>
    <s v="25/08/2026"/>
    <n v="0.97437273000000002"/>
    <m/>
    <n v="2097348.4"/>
    <n v="2043599.09"/>
    <n v="2097348.4"/>
    <n v="2043599.09"/>
    <n v="76510841"/>
    <s v="AMOMPY"/>
    <s v="Momentum Capital Investment S.A."/>
    <s v="22/07/2026"/>
    <s v="22/07/2026"/>
    <n v="32"/>
    <s v="No"/>
    <s v=""/>
    <m/>
    <m/>
    <s v="*MAV220901460"/>
    <s v="*MAV220901460"/>
    <n v="3.3445693811980676E-5"/>
  </r>
  <r>
    <x v="34"/>
    <s v="Pesos"/>
    <d v="2026-09-24T00:00:00"/>
    <s v="25/08/2026"/>
    <n v="0.97593587000000004"/>
    <m/>
    <n v="10000000"/>
    <n v="9759358.7300000004"/>
    <n v="10000000"/>
    <n v="9759358.7300000004"/>
    <n v="725"/>
    <s v="AMOMPY"/>
    <s v="Momentum Capital Investment S.A."/>
    <s v="30/06/2026"/>
    <s v="30/06/2026"/>
    <n v="30"/>
    <s v="No"/>
    <s v=""/>
    <m/>
    <m/>
    <s v="*MAV220901375"/>
    <s v="*MAV220901375"/>
    <n v="1.5972238658848719E-4"/>
  </r>
  <r>
    <x v="34"/>
    <s v="Pesos"/>
    <d v="2026-09-24T00:00:00"/>
    <s v="25/08/2026"/>
    <n v="0.97593585999999999"/>
    <m/>
    <n v="5000000"/>
    <n v="4879679.3"/>
    <n v="5000000"/>
    <n v="4879679.3"/>
    <n v="684"/>
    <s v="AMOMPY"/>
    <s v="Momentum Capital Investment S.A."/>
    <s v="26/06/2026"/>
    <s v="26/06/2026"/>
    <n v="30"/>
    <s v="No"/>
    <s v=""/>
    <m/>
    <m/>
    <s v="*MAV220901364"/>
    <s v="*MAV220901364"/>
    <n v="7.9861192230448776E-5"/>
  </r>
  <r>
    <x v="63"/>
    <s v="Pesos"/>
    <d v="2026-09-24T00:00:00"/>
    <s v="25/08/2026"/>
    <n v="0.97048659999999998"/>
    <m/>
    <n v="50000000"/>
    <n v="48524329.990000002"/>
    <n v="50000000"/>
    <n v="48524329.990000002"/>
    <n v="67836059"/>
    <s v="AMOMPY"/>
    <s v="Momentum Capital Investment S.A."/>
    <s v="22/06/2026"/>
    <s v="22/06/2026"/>
    <n v="37"/>
    <s v="No"/>
    <s v=""/>
    <m/>
    <m/>
    <s v="*MAV220901329"/>
    <s v="*MAV220901329"/>
    <n v="7.9415277253673631E-4"/>
  </r>
  <r>
    <x v="180"/>
    <s v="Pesos"/>
    <d v="2026-09-24T00:00:00"/>
    <s v="25/08/2026"/>
    <n v="0.97437273000000002"/>
    <m/>
    <n v="6501880"/>
    <n v="6335254.5499999998"/>
    <n v="6501880"/>
    <n v="6335254.5499999998"/>
    <n v="387"/>
    <s v="AMOMPY"/>
    <s v="Momentum Capital Investment S.A."/>
    <s v="22/07/2026"/>
    <s v="22/07/2026"/>
    <n v="32"/>
    <s v="No"/>
    <s v=""/>
    <m/>
    <m/>
    <s v="*MAV220901459"/>
    <s v="*MAV220901459"/>
    <n v="1.0368324439812576E-4"/>
  </r>
  <r>
    <x v="99"/>
    <s v="Pesos"/>
    <d v="2026-09-24T00:00:00"/>
    <s v="25/08/2026"/>
    <n v="0.97437269000000004"/>
    <m/>
    <n v="15355310.449999999"/>
    <n v="14961795.15"/>
    <n v="15355310.449999999"/>
    <n v="14961795.15"/>
    <n v="30751"/>
    <s v="AMOMPY"/>
    <s v="Momentum Capital Investment S.A."/>
    <s v="04/06/2026"/>
    <s v="04/06/2026"/>
    <n v="32"/>
    <s v="No"/>
    <s v=""/>
    <m/>
    <m/>
    <s v="*MAV220901283"/>
    <s v="*MAV220901283"/>
    <n v="2.4486584570972651E-4"/>
  </r>
  <r>
    <x v="87"/>
    <s v="Pesos"/>
    <d v="2026-09-24T00:00:00"/>
    <s v="25/08/2026"/>
    <n v="0.96971308000000001"/>
    <m/>
    <n v="286000000"/>
    <n v="277337939.91000003"/>
    <n v="286000000"/>
    <n v="277337939.91000003"/>
    <n v="70400443"/>
    <s v="AMOMPY"/>
    <s v="Momentum Capital Investment S.A."/>
    <s v="04/08/2026"/>
    <s v="04/08/2026"/>
    <n v="38"/>
    <s v="No"/>
    <s v=""/>
    <m/>
    <m/>
    <s v="*MAV220901540"/>
    <s v="*MAV220901540"/>
    <n v="4.5389332311140127E-3"/>
  </r>
  <r>
    <x v="24"/>
    <s v="Pesos"/>
    <d v="2026-09-24T00:00:00"/>
    <s v="25/08/2026"/>
    <n v="0.97437269999999998"/>
    <m/>
    <n v="1000000"/>
    <n v="974372.7"/>
    <n v="1000000"/>
    <n v="974372.7"/>
    <n v="67381805"/>
    <s v="AMOMPY"/>
    <s v="Momentum Capital Investment S.A."/>
    <s v="04/06/2026"/>
    <s v="04/06/2026"/>
    <n v="32"/>
    <s v="No"/>
    <s v=""/>
    <m/>
    <m/>
    <s v="*MAV220901282"/>
    <s v="*MAV220901282"/>
    <n v="1.5946655653948691E-5"/>
  </r>
  <r>
    <x v="56"/>
    <s v="Pesos"/>
    <d v="2026-09-24T00:00:00"/>
    <s v="25/08/2026"/>
    <n v="0.97593593999999995"/>
    <m/>
    <n v="2870567.11"/>
    <n v="2801489.62"/>
    <n v="2870567.11"/>
    <n v="2801489.62"/>
    <n v="105"/>
    <s v="AMOMPY"/>
    <s v="Momentum Capital Investment S.A."/>
    <s v="20/07/2026"/>
    <s v="20/07/2026"/>
    <n v="30"/>
    <s v="No"/>
    <s v=""/>
    <m/>
    <m/>
    <s v="*MAV220901438"/>
    <s v="*MAV220901438"/>
    <n v="4.5849386264877472E-5"/>
  </r>
  <r>
    <x v="131"/>
    <s v="Pesos"/>
    <d v="2026-09-25T00:00:00"/>
    <s v="25/08/2026"/>
    <n v="0.97920861000000003"/>
    <m/>
    <n v="7250000"/>
    <n v="7099262.3899999997"/>
    <n v="7250000"/>
    <n v="7099262.3899999997"/>
    <n v="33955"/>
    <s v="AMOMPY"/>
    <s v="Momentum Capital Investment S.A."/>
    <s v="16/06/2026"/>
    <s v="16/06/2026"/>
    <n v="25"/>
    <s v="No"/>
    <s v=""/>
    <m/>
    <m/>
    <s v="*MAV230901200"/>
    <s v="*MAV230901200"/>
    <n v="1.1618705319880042E-4"/>
  </r>
  <r>
    <x v="181"/>
    <s v="Pesos"/>
    <d v="2026-09-25T00:00:00"/>
    <s v="25/08/2026"/>
    <n v="0.97113218000000001"/>
    <m/>
    <n v="6000000"/>
    <n v="5826793.0599999996"/>
    <n v="6000000"/>
    <n v="5826793.0599999996"/>
    <n v="40761880"/>
    <s v="AMOMPY"/>
    <s v="Momentum Capital Investment S.A."/>
    <s v="16/07/2026"/>
    <s v="16/07/2026"/>
    <n v="35"/>
    <s v="No"/>
    <s v=""/>
    <m/>
    <m/>
    <s v="*MAV230901313"/>
    <s v="*MAV230901313"/>
    <n v="9.5361726056813776E-5"/>
  </r>
  <r>
    <x v="8"/>
    <s v="Pesos"/>
    <d v="2026-09-25T00:00:00"/>
    <s v="25/08/2026"/>
    <n v="0.98002372999999998"/>
    <m/>
    <n v="25000000"/>
    <n v="24500593.190000001"/>
    <n v="25000000"/>
    <n v="24500593.190000001"/>
    <n v="333"/>
    <s v="AMOMPY"/>
    <s v="Momentum Capital Investment S.A."/>
    <s v="21/07/2026"/>
    <s v="20/07/2026"/>
    <n v="24"/>
    <s v="No"/>
    <s v=""/>
    <m/>
    <m/>
    <s v="*INP230900075"/>
    <s v="*INP230900075"/>
    <n v="4.0097851973727337E-4"/>
  </r>
  <r>
    <x v="8"/>
    <s v="Pesos"/>
    <d v="2026-09-25T00:00:00"/>
    <s v="25/08/2026"/>
    <n v="0.97434666999999997"/>
    <m/>
    <n v="3000000"/>
    <n v="2923040.01"/>
    <n v="3000000"/>
    <n v="2923040.01"/>
    <n v="90003469"/>
    <s v="AMOMPY"/>
    <s v="Momentum Capital Investment S.A."/>
    <s v="22/04/2026"/>
    <s v="22/04/2026"/>
    <n v="31"/>
    <s v="No"/>
    <s v=""/>
    <m/>
    <m/>
    <s v="*INP230900060"/>
    <s v="*INP230900060"/>
    <n v="4.7838688935132052E-5"/>
  </r>
  <r>
    <x v="182"/>
    <s v="Pesos"/>
    <d v="2026-09-25T00:00:00"/>
    <s v="25/08/2026"/>
    <n v="0.97354105000000002"/>
    <m/>
    <n v="3921022.75"/>
    <n v="3817276.62"/>
    <n v="3921022.75"/>
    <n v="3817276.62"/>
    <n v="123178"/>
    <s v="AMOMPY"/>
    <s v="Momentum Capital Investment S.A."/>
    <s v="22/07/2026"/>
    <s v="22/07/2026"/>
    <n v="32"/>
    <s v="No"/>
    <s v=""/>
    <m/>
    <m/>
    <s v="*MAV230901342"/>
    <s v="*MAV230901342"/>
    <n v="6.2473831414826332E-5"/>
  </r>
  <r>
    <x v="8"/>
    <s v="Pesos"/>
    <d v="2026-09-25T00:00:00"/>
    <s v="25/08/2026"/>
    <n v="0.97758265"/>
    <m/>
    <n v="30000000"/>
    <n v="29327479.59"/>
    <n v="30000000"/>
    <n v="29327479.59"/>
    <n v="90000209"/>
    <s v="AMOMPY"/>
    <s v="Momentum Capital Investment S.A."/>
    <s v="03/07/2026"/>
    <s v="03/07/2026"/>
    <n v="27"/>
    <s v="No"/>
    <s v=""/>
    <m/>
    <m/>
    <s v="*INP230900073"/>
    <s v="*INP230900073"/>
    <n v="4.7997569946278093E-4"/>
  </r>
  <r>
    <x v="8"/>
    <s v="Pesos"/>
    <d v="2026-09-25T00:00:00"/>
    <s v="25/08/2026"/>
    <n v="0.97758265"/>
    <m/>
    <n v="22000000"/>
    <n v="21506818.370000001"/>
    <n v="22000000"/>
    <n v="21506818.370000001"/>
    <n v="90000343"/>
    <s v="AMOMPY"/>
    <s v="Momentum Capital Investment S.A."/>
    <s v="03/07/2026"/>
    <s v="03/07/2026"/>
    <n v="27"/>
    <s v="No"/>
    <s v=""/>
    <m/>
    <m/>
    <s v="*INP230900071"/>
    <s v="*INP230900071"/>
    <n v="3.5198217967150362E-4"/>
  </r>
  <r>
    <x v="8"/>
    <s v="Pesos"/>
    <d v="2026-09-25T00:00:00"/>
    <s v="25/08/2026"/>
    <n v="0.97758265"/>
    <m/>
    <n v="10000000"/>
    <n v="9775826.5399999991"/>
    <n v="10000000"/>
    <n v="9775826.5399999991"/>
    <n v="90000267"/>
    <s v="AMOMPY"/>
    <s v="Momentum Capital Investment S.A."/>
    <s v="03/07/2026"/>
    <s v="03/07/2026"/>
    <n v="27"/>
    <s v="No"/>
    <s v=""/>
    <m/>
    <m/>
    <s v="*INP230900072"/>
    <s v="*INP230900072"/>
    <n v="1.599918999845877E-4"/>
  </r>
  <r>
    <x v="8"/>
    <s v="Pesos"/>
    <d v="2026-09-25T00:00:00"/>
    <s v="25/08/2026"/>
    <n v="0.97758265"/>
    <m/>
    <n v="24600000"/>
    <n v="24048533.260000002"/>
    <n v="24600000"/>
    <n v="24048533.260000002"/>
    <n v="90000306"/>
    <s v="AMOMPY"/>
    <s v="Momentum Capital Investment S.A."/>
    <s v="03/07/2026"/>
    <s v="03/07/2026"/>
    <n v="27"/>
    <s v="No"/>
    <s v=""/>
    <m/>
    <m/>
    <s v="*INP230900070"/>
    <s v="*INP230900070"/>
    <n v="3.9358007349728929E-4"/>
  </r>
  <r>
    <x v="8"/>
    <s v="Pesos"/>
    <d v="2026-09-25T00:00:00"/>
    <s v="25/08/2026"/>
    <n v="0.97758265"/>
    <m/>
    <n v="18000000"/>
    <n v="17596487.75"/>
    <n v="18000000"/>
    <n v="17596487.75"/>
    <n v="90000338"/>
    <s v="AMOMPY"/>
    <s v="Momentum Capital Investment S.A."/>
    <s v="03/07/2026"/>
    <s v="03/07/2026"/>
    <n v="27"/>
    <s v="No"/>
    <s v=""/>
    <m/>
    <m/>
    <s v="*INP230900069"/>
    <s v="*INP230900069"/>
    <n v="2.8798541961220424E-4"/>
  </r>
  <r>
    <x v="10"/>
    <s v="Pesos"/>
    <d v="2026-09-25T00:00:00"/>
    <s v="25/08/2026"/>
    <n v="0.97758263000000001"/>
    <m/>
    <n v="35000000"/>
    <n v="34215391.969999999"/>
    <n v="35000000"/>
    <n v="34215391.969999999"/>
    <n v="54027796"/>
    <s v="AMOMPY"/>
    <s v="Momentum Capital Investment S.A."/>
    <s v="25/06/2026"/>
    <s v="25/06/2026"/>
    <n v="27"/>
    <s v="No"/>
    <s v=""/>
    <m/>
    <m/>
    <s v="*MIL230900028"/>
    <s v="*MIL230900028"/>
    <n v="5.5997163488926891E-4"/>
  </r>
  <r>
    <x v="10"/>
    <s v="Pesos"/>
    <d v="2026-09-25T00:00:00"/>
    <s v="25/08/2026"/>
    <n v="0.97758255999999999"/>
    <m/>
    <n v="5000000"/>
    <n v="4887912.8099999996"/>
    <n v="5000000"/>
    <n v="4887912.8099999996"/>
    <n v="67193057"/>
    <s v="AMOMPY"/>
    <s v="Momentum Capital Investment S.A."/>
    <s v="04/06/2026"/>
    <s v="04/06/2026"/>
    <n v="27"/>
    <s v="No"/>
    <s v=""/>
    <m/>
    <m/>
    <s v="*MIL230900027"/>
    <s v="*MIL230900027"/>
    <n v="7.9995942463899832E-5"/>
  </r>
  <r>
    <x v="10"/>
    <s v="Pesos"/>
    <d v="2026-09-25T00:00:00"/>
    <s v="25/08/2026"/>
    <n v="0.97677166999999998"/>
    <m/>
    <n v="9000000"/>
    <n v="8790945.0099999998"/>
    <n v="9000000"/>
    <n v="8790945.0099999998"/>
    <n v="68958366"/>
    <s v="AMOMPY"/>
    <s v="Momentum Capital Investment S.A."/>
    <s v="14/08/2026"/>
    <s v="14/08/2026"/>
    <n v="28"/>
    <s v="No"/>
    <s v=""/>
    <m/>
    <m/>
    <s v="*MIL230900031"/>
    <s v="*MIL230900031"/>
    <n v="1.4387325604182932E-4"/>
  </r>
  <r>
    <x v="34"/>
    <s v="Pesos"/>
    <d v="2026-09-25T00:00:00"/>
    <s v="25/08/2026"/>
    <n v="0.97515366000000003"/>
    <m/>
    <n v="6500000"/>
    <n v="6338498.79"/>
    <n v="6500000"/>
    <n v="6338498.79"/>
    <n v="741"/>
    <s v="AMOMPY"/>
    <s v="Momentum Capital Investment S.A."/>
    <s v="08/07/2026"/>
    <s v="08/07/2026"/>
    <n v="30"/>
    <s v="No"/>
    <s v=""/>
    <m/>
    <m/>
    <s v="*MAV230901295"/>
    <s v="*MAV230901295"/>
    <n v="1.0373633986984697E-4"/>
  </r>
  <r>
    <x v="34"/>
    <s v="Pesos"/>
    <d v="2026-09-25T00:00:00"/>
    <s v="25/08/2026"/>
    <n v="0.97515362000000005"/>
    <m/>
    <n v="5000000"/>
    <n v="4875768.12"/>
    <n v="5000000"/>
    <n v="4875768.12"/>
    <n v="783"/>
    <s v="AMOMPY"/>
    <s v="Momentum Capital Investment S.A."/>
    <s v="14/07/2026"/>
    <s v="14/07/2026"/>
    <n v="30"/>
    <s v="No"/>
    <s v=""/>
    <m/>
    <m/>
    <s v="*MAV230901304"/>
    <s v="*MAV230901304"/>
    <n v="7.9797181569373599E-5"/>
  </r>
  <r>
    <x v="108"/>
    <s v="Pesos"/>
    <d v="2026-09-25T00:00:00"/>
    <s v="25/08/2026"/>
    <n v="0.96953286000000005"/>
    <m/>
    <n v="3076923.1"/>
    <n v="2983178.04"/>
    <n v="3076923.1"/>
    <n v="2983178.04"/>
    <n v="2782"/>
    <s v="AMOMPY"/>
    <s v="Momentum Capital Investment S.A."/>
    <s v="02/07/2026"/>
    <s v="02/07/2026"/>
    <n v="37"/>
    <s v="No"/>
    <s v=""/>
    <m/>
    <m/>
    <s v="*MAV230901281"/>
    <s v="*MAV230901281"/>
    <n v="4.8822912380756952E-5"/>
  </r>
  <r>
    <x v="34"/>
    <s v="Pesos"/>
    <d v="2026-09-25T00:00:00"/>
    <s v="25/08/2026"/>
    <n v="0.97515364000000004"/>
    <m/>
    <n v="10000000"/>
    <n v="9751536.3699999992"/>
    <n v="10000000"/>
    <n v="9751536.3699999992"/>
    <n v="570"/>
    <s v="AMOMPY"/>
    <s v="Momentum Capital Investment S.A."/>
    <s v="01/06/2026"/>
    <s v="01/06/2026"/>
    <n v="30"/>
    <s v="No"/>
    <s v=""/>
    <m/>
    <m/>
    <s v="*MAV230901174"/>
    <s v="*MAV230901174"/>
    <n v="1.5959436526633678E-4"/>
  </r>
  <r>
    <x v="128"/>
    <s v="Pesos"/>
    <d v="2026-09-25T00:00:00"/>
    <s v="25/08/2026"/>
    <n v="0.97354101999999998"/>
    <m/>
    <n v="475000000"/>
    <n v="462431985.5"/>
    <n v="475000000"/>
    <n v="462431985.5"/>
    <n v="929"/>
    <s v="AMOMPY"/>
    <s v="Momentum Capital Investment S.A."/>
    <s v="14/07/2026"/>
    <s v="14/07/2026"/>
    <n v="32"/>
    <s v="No"/>
    <s v=""/>
    <m/>
    <m/>
    <s v="*MAV230901303"/>
    <s v="*MAV230901303"/>
    <n v="7.5681960672135977E-3"/>
  </r>
  <r>
    <x v="126"/>
    <s v="Pesos"/>
    <d v="2026-09-25T00:00:00"/>
    <s v="25/08/2026"/>
    <n v="0.97354110000000005"/>
    <m/>
    <n v="50000000"/>
    <n v="48677055.170000002"/>
    <n v="50000000"/>
    <n v="48677055.170000002"/>
    <n v="4898"/>
    <s v="AMOMPY"/>
    <s v="Momentum Capital Investment S.A."/>
    <s v="25/06/2026"/>
    <s v="25/06/2026"/>
    <n v="32"/>
    <s v="No"/>
    <s v=""/>
    <m/>
    <m/>
    <s v="*MAV230901245"/>
    <s v="*MAV230901245"/>
    <n v="7.9665228412521512E-4"/>
  </r>
  <r>
    <x v="171"/>
    <s v="Pesos"/>
    <d v="2026-09-25T00:00:00"/>
    <s v="25/08/2026"/>
    <n v="0.97677164000000005"/>
    <m/>
    <n v="12000000"/>
    <n v="11721259.689999999"/>
    <n v="12000000"/>
    <n v="11721259.689999999"/>
    <n v="29830734"/>
    <s v="AMOMPY"/>
    <s v="Momentum Capital Investment S.A."/>
    <s v="10/08/2026"/>
    <s v="10/08/2026"/>
    <n v="28"/>
    <s v="No"/>
    <s v=""/>
    <m/>
    <m/>
    <s v="*MAV230901438"/>
    <s v="*MAV230901438"/>
    <n v="1.9183100276407518E-4"/>
  </r>
  <r>
    <x v="183"/>
    <s v="Pesos"/>
    <d v="2026-09-25T00:00:00"/>
    <s v="25/08/2026"/>
    <n v="0.97677164000000005"/>
    <m/>
    <n v="10299910.310000001"/>
    <n v="10060660.289999999"/>
    <n v="10299910.310000001"/>
    <n v="10060660.289999999"/>
    <n v="944"/>
    <s v="AMOMPY"/>
    <s v="Momentum Capital Investment S.A."/>
    <s v="10/08/2026"/>
    <s v="10/08/2026"/>
    <n v="28"/>
    <s v="No"/>
    <s v=""/>
    <m/>
    <m/>
    <s v="*MAV230901439"/>
    <s v="*MAV230901439"/>
    <n v="1.646535101978797E-4"/>
  </r>
  <r>
    <x v="41"/>
    <s v="Pesos"/>
    <d v="2026-09-25T00:00:00"/>
    <s v="25/08/2026"/>
    <n v="0.97434675999999998"/>
    <m/>
    <n v="70000000"/>
    <n v="68204273.280000001"/>
    <n v="70000000"/>
    <n v="68204273.280000001"/>
    <n v="9756468"/>
    <s v="AMOMPY"/>
    <s v="Momentum Capital Investment S.A."/>
    <s v="24/07/2026"/>
    <s v="24/07/2026"/>
    <n v="31"/>
    <s v="No"/>
    <s v=""/>
    <m/>
    <m/>
    <s v="*MAV230901355"/>
    <s v="*MAV230901355"/>
    <n v="1.116236179568633E-3"/>
  </r>
  <r>
    <x v="184"/>
    <s v="Pesos"/>
    <d v="2026-09-25T00:00:00"/>
    <s v="25/08/2026"/>
    <n v="0.97354105000000002"/>
    <m/>
    <n v="1015583.27"/>
    <n v="988712"/>
    <n v="1015583.27"/>
    <n v="988712"/>
    <n v="9625573"/>
    <s v="AMOMPY"/>
    <s v="Momentum Capital Investment S.A."/>
    <s v="22/07/2026"/>
    <s v="22/07/2026"/>
    <n v="32"/>
    <s v="No"/>
    <s v=""/>
    <m/>
    <m/>
    <s v="*MAV230901341"/>
    <s v="*MAV230901341"/>
    <n v="1.6181333698005826E-5"/>
  </r>
  <r>
    <x v="185"/>
    <s v="Pesos"/>
    <d v="2026-09-25T00:00:00"/>
    <s v="25/08/2026"/>
    <n v="0.97354105000000002"/>
    <m/>
    <n v="5880854"/>
    <n v="5725252.7599999998"/>
    <n v="5880854"/>
    <n v="5725252.7599999998"/>
    <n v="10412873"/>
    <s v="AMOMPY"/>
    <s v="Momentum Capital Investment S.A."/>
    <s v="22/07/2026"/>
    <s v="22/07/2026"/>
    <n v="32"/>
    <s v="No"/>
    <s v=""/>
    <m/>
    <m/>
    <s v="*MAV230901343"/>
    <s v="*MAV230901343"/>
    <n v="9.3699909999058216E-5"/>
  </r>
  <r>
    <x v="101"/>
    <s v="Pesos"/>
    <d v="2026-09-25T00:00:00"/>
    <s v="25/08/2026"/>
    <n v="0.97515373000000005"/>
    <m/>
    <n v="1500000"/>
    <n v="1462730.59"/>
    <n v="1500000"/>
    <n v="1462730.59"/>
    <n v="1970"/>
    <s v="AMOMPY"/>
    <s v="Momentum Capital Investment S.A."/>
    <s v="24/07/2026"/>
    <s v="24/07/2026"/>
    <n v="30"/>
    <s v="No"/>
    <s v=""/>
    <m/>
    <m/>
    <s v="*MAV230901357"/>
    <s v="*MAV230901357"/>
    <n v="2.3939156991187468E-5"/>
  </r>
  <r>
    <x v="102"/>
    <s v="Pesos"/>
    <d v="2026-09-28T00:00:00"/>
    <s v="25/08/2026"/>
    <n v="0.96930126000000005"/>
    <m/>
    <n v="100000000"/>
    <n v="96930125.980000004"/>
    <n v="100000000"/>
    <n v="96930125.980000004"/>
    <n v="852"/>
    <s v="AMOMPY"/>
    <s v="Momentum Capital Investment S.A."/>
    <s v="25/08/2026"/>
    <s v="25/08/2026"/>
    <n v="34"/>
    <s v="No"/>
    <s v=""/>
    <m/>
    <m/>
    <s v="*MAV240901368"/>
    <s v="*MAV240901368"/>
    <n v="1.586365608864992E-3"/>
  </r>
  <r>
    <x v="2"/>
    <s v="Pesos"/>
    <d v="2026-09-28T00:00:00"/>
    <s v="25/08/2026"/>
    <n v="0.97017708000000002"/>
    <m/>
    <n v="19470986.34"/>
    <n v="18890304.59"/>
    <n v="19470986.34"/>
    <n v="18890304.59"/>
    <n v="1067"/>
    <s v="AMOMPY"/>
    <s v="Momentum Capital Investment S.A."/>
    <s v="16/06/2026"/>
    <s v="16/06/2026"/>
    <n v="33"/>
    <s v="No"/>
    <s v=""/>
    <m/>
    <m/>
    <s v="*MAV240901000"/>
    <s v="*MAV240901000"/>
    <n v="3.0916012168129959E-4"/>
  </r>
  <r>
    <x v="103"/>
    <s v="Pesos"/>
    <d v="2026-09-28T00:00:00"/>
    <s v="25/08/2026"/>
    <n v="0.96668268000000002"/>
    <m/>
    <n v="3345657.98"/>
    <n v="3234189.62"/>
    <n v="3345657.98"/>
    <n v="3234189.62"/>
    <n v="258"/>
    <s v="AMOMPY"/>
    <s v="Momentum Capital Investment S.A."/>
    <s v="02/07/2026"/>
    <s v="02/07/2026"/>
    <n v="37"/>
    <s v="No"/>
    <s v=""/>
    <m/>
    <m/>
    <s v="*MAV240901066"/>
    <s v="*MAV240901066"/>
    <n v="5.2930986458995797E-5"/>
  </r>
  <r>
    <x v="47"/>
    <s v="Pesos"/>
    <d v="2026-09-28T00:00:00"/>
    <s v="25/08/2026"/>
    <n v="0.97193388999999997"/>
    <m/>
    <n v="10000000"/>
    <n v="9719338.9000000004"/>
    <n v="10000000"/>
    <n v="9719338.9000000004"/>
    <n v="14004255"/>
    <s v="AMOMPY"/>
    <s v="Momentum Capital Investment S.A."/>
    <s v="31/07/2026"/>
    <s v="31/07/2026"/>
    <n v="31"/>
    <s v="No"/>
    <s v=""/>
    <m/>
    <m/>
    <s v="*MAV240901196"/>
    <s v="*MAV240901196"/>
    <n v="1.5906741909161502E-4"/>
  </r>
  <r>
    <x v="12"/>
    <s v="Pesos"/>
    <d v="2026-09-28T00:00:00"/>
    <s v="25/08/2026"/>
    <n v="0.97546641000000001"/>
    <m/>
    <n v="100000000"/>
    <n v="97546641.340000004"/>
    <n v="100000000"/>
    <n v="97546641.340000004"/>
    <n v="14032579"/>
    <s v="AMOMPY"/>
    <s v="Momentum Capital Investment S.A."/>
    <s v="01/07/2026"/>
    <s v="01/07/2026"/>
    <n v="27"/>
    <s v="No"/>
    <s v=""/>
    <m/>
    <m/>
    <s v="*PRO240900017"/>
    <s v="*PRO240900017"/>
    <n v="1.596455544832297E-3"/>
  </r>
  <r>
    <x v="12"/>
    <s v="Pesos"/>
    <d v="2026-09-28T00:00:00"/>
    <s v="25/08/2026"/>
    <n v="0.97724237999999997"/>
    <m/>
    <n v="25000000"/>
    <n v="24431059.609999999"/>
    <n v="25000000"/>
    <n v="24431059.609999999"/>
    <n v="928"/>
    <s v="AMOMPY"/>
    <s v="Momentum Capital Investment S.A."/>
    <s v="02/07/2026"/>
    <s v="02/07/2026"/>
    <n v="25"/>
    <s v="No"/>
    <s v=""/>
    <m/>
    <m/>
    <s v="*PRO240900016"/>
    <s v="*PRO240900016"/>
    <n v="3.9984052802563542E-4"/>
  </r>
  <r>
    <x v="10"/>
    <s v="Pesos"/>
    <d v="2026-09-28T00:00:00"/>
    <s v="25/08/2026"/>
    <n v="0.97546637000000003"/>
    <m/>
    <n v="5000000"/>
    <n v="4877331.87"/>
    <n v="5000000"/>
    <n v="4877331.87"/>
    <n v="67193059"/>
    <s v="AMOMPY"/>
    <s v="Momentum Capital Investment S.A."/>
    <s v="04/06/2026"/>
    <s v="04/06/2026"/>
    <n v="27"/>
    <s v="No"/>
    <s v=""/>
    <m/>
    <m/>
    <s v="*MIL240900034"/>
    <s v="*MIL240900034"/>
    <n v="7.9822774017498284E-5"/>
  </r>
  <r>
    <x v="108"/>
    <s v="Pesos"/>
    <d v="2026-09-28T00:00:00"/>
    <s v="25/08/2026"/>
    <n v="0.97017704000000005"/>
    <m/>
    <n v="5000000"/>
    <n v="4850885.21"/>
    <n v="5000000"/>
    <n v="4850885.21"/>
    <n v="3043"/>
    <s v="AMOMPY"/>
    <s v="Momentum Capital Investment S.A."/>
    <s v="21/07/2026"/>
    <s v="21/07/2026"/>
    <n v="33"/>
    <s v="No"/>
    <s v=""/>
    <m/>
    <m/>
    <s v="*MAV240901128"/>
    <s v="*MAV240901128"/>
    <n v="7.9389946024455111E-5"/>
  </r>
  <r>
    <x v="10"/>
    <s v="Pesos"/>
    <d v="2026-09-28T00:00:00"/>
    <s v="25/08/2026"/>
    <n v="0.97458093000000001"/>
    <m/>
    <n v="9000000"/>
    <n v="8771228.3800000008"/>
    <n v="9000000"/>
    <n v="8771228.3800000008"/>
    <n v="68958369"/>
    <s v="AMOMPY"/>
    <s v="Momentum Capital Investment S.A."/>
    <s v="14/08/2026"/>
    <s v="14/08/2026"/>
    <n v="28"/>
    <s v="No"/>
    <s v=""/>
    <m/>
    <m/>
    <s v="*MIL240900037"/>
    <s v="*MIL240900037"/>
    <n v="1.4355057221738894E-4"/>
  </r>
  <r>
    <x v="34"/>
    <s v="Pesos"/>
    <d v="2026-09-28T00:00:00"/>
    <s v="25/08/2026"/>
    <n v="0.97281454000000001"/>
    <m/>
    <n v="10000000"/>
    <n v="9728145.4199999999"/>
    <n v="10000000"/>
    <n v="9728145.4199999999"/>
    <n v="674"/>
    <s v="AMOMPY"/>
    <s v="Momentum Capital Investment S.A."/>
    <s v="23/06/2026"/>
    <s v="23/06/2026"/>
    <n v="30"/>
    <s v="No"/>
    <s v=""/>
    <m/>
    <m/>
    <s v="*MAV240901025"/>
    <s v="*MAV240901025"/>
    <n v="1.5921154724909481E-4"/>
  </r>
  <r>
    <x v="108"/>
    <s v="Pesos"/>
    <d v="2026-09-28T00:00:00"/>
    <s v="25/08/2026"/>
    <n v="0.96668266999999997"/>
    <m/>
    <n v="3076923.1"/>
    <n v="2974408.24"/>
    <n v="3076923.1"/>
    <n v="2974408.24"/>
    <n v="2783"/>
    <s v="AMOMPY"/>
    <s v="Momentum Capital Investment S.A."/>
    <s v="02/07/2026"/>
    <s v="02/07/2026"/>
    <n v="37"/>
    <s v="No"/>
    <s v=""/>
    <m/>
    <m/>
    <s v="*MAV240901065"/>
    <s v="*MAV240901065"/>
    <n v="4.8679385185512263E-5"/>
  </r>
  <r>
    <x v="34"/>
    <s v="Pesos"/>
    <d v="2026-09-28T00:00:00"/>
    <s v="25/08/2026"/>
    <n v="0.97281457000000005"/>
    <m/>
    <n v="10000000"/>
    <n v="9728145.6699999999"/>
    <n v="10000000"/>
    <n v="9728145.6699999999"/>
    <n v="732"/>
    <s v="AMOMPY"/>
    <s v="Momentum Capital Investment S.A."/>
    <s v="01/07/2026"/>
    <s v="01/07/2026"/>
    <n v="30"/>
    <s v="No"/>
    <s v=""/>
    <m/>
    <m/>
    <s v="*MAV240901058"/>
    <s v="*MAV240901058"/>
    <n v="1.5921155134061328E-4"/>
  </r>
  <r>
    <x v="186"/>
    <s v="Pesos"/>
    <d v="2026-09-28T00:00:00"/>
    <s v="25/08/2026"/>
    <n v="0.97458089999999997"/>
    <m/>
    <n v="7553027.6100000003"/>
    <n v="7361036.46"/>
    <n v="7553027.6100000003"/>
    <n v="7361036.46"/>
    <n v="10537649"/>
    <s v="AMOMPY"/>
    <s v="Momentum Capital Investment S.A."/>
    <s v="10/08/2026"/>
    <s v="10/08/2026"/>
    <n v="28"/>
    <s v="No"/>
    <s v=""/>
    <m/>
    <m/>
    <s v="*MAV240901275"/>
    <s v="*MAV240901275"/>
    <n v="1.2047126698416475E-4"/>
  </r>
  <r>
    <x v="145"/>
    <s v="Pesos"/>
    <d v="2026-09-28T00:00:00"/>
    <s v="25/08/2026"/>
    <n v="0.97105463000000003"/>
    <m/>
    <n v="40000000"/>
    <n v="38842185.219999999"/>
    <n v="40000000"/>
    <n v="38842185.219999999"/>
    <n v="13662790"/>
    <s v="AMOMPY"/>
    <s v="Momentum Capital Investment S.A."/>
    <s v="12/06/2026"/>
    <s v="12/06/2026"/>
    <n v="32"/>
    <s v="No"/>
    <s v=""/>
    <m/>
    <m/>
    <s v="*MAV240900994"/>
    <s v="*MAV240900994"/>
    <n v="6.3569407532685935E-4"/>
  </r>
  <r>
    <x v="187"/>
    <s v="Pesos"/>
    <d v="2026-09-28T00:00:00"/>
    <s v="25/08/2026"/>
    <n v="0.97458089999999997"/>
    <m/>
    <n v="7940103.1200000001"/>
    <n v="7738272.8700000001"/>
    <n v="7940103.1200000001"/>
    <n v="7738272.8700000001"/>
    <n v="13786546"/>
    <s v="AMOMPY"/>
    <s v="Momentum Capital Investment S.A."/>
    <s v="10/08/2026"/>
    <s v="10/08/2026"/>
    <n v="28"/>
    <s v="No"/>
    <s v=""/>
    <m/>
    <m/>
    <s v="*MAV240901276"/>
    <s v="*MAV240901276"/>
    <n v="1.266451459633293E-4"/>
  </r>
  <r>
    <x v="53"/>
    <s v="Pesos"/>
    <d v="2026-09-28T00:00:00"/>
    <s v="25/08/2026"/>
    <n v="0.96930105"/>
    <m/>
    <n v="6110495.9400000004"/>
    <n v="5922910.1399999997"/>
    <n v="6110495.9400000004"/>
    <n v="5922910.1399999997"/>
    <n v="2581"/>
    <s v="AMOMPY"/>
    <s v="Momentum Capital Investment S.A."/>
    <s v="19/08/2026"/>
    <s v="19/08/2026"/>
    <n v="34"/>
    <s v="No"/>
    <s v=""/>
    <m/>
    <m/>
    <s v="*MAV240901326"/>
    <s v="*MAV240901326"/>
    <n v="9.6934785295052948E-5"/>
  </r>
  <r>
    <x v="127"/>
    <s v="Pesos"/>
    <d v="2026-09-28T00:00:00"/>
    <s v="25/08/2026"/>
    <n v="0.97458096000000005"/>
    <m/>
    <n v="63439463.229999997"/>
    <n v="61826892.780000001"/>
    <n v="63439463.229999997"/>
    <n v="61826892.780000001"/>
    <n v="40291968"/>
    <s v="AMOMPY"/>
    <s v="Momentum Capital Investment S.A."/>
    <s v="11/08/2026"/>
    <s v="11/08/2026"/>
    <n v="28"/>
    <s v="No"/>
    <s v=""/>
    <m/>
    <m/>
    <s v="*MAV240901283"/>
    <s v="*MAV240901283"/>
    <n v="1.0118634987579872E-3"/>
  </r>
  <r>
    <x v="56"/>
    <s v="Pesos"/>
    <d v="2026-09-28T00:00:00"/>
    <s v="25/08/2026"/>
    <n v="0.97281461000000002"/>
    <m/>
    <n v="2870567.11"/>
    <n v="2792529.63"/>
    <n v="2870567.11"/>
    <n v="2792529.63"/>
    <n v="106"/>
    <s v="AMOMPY"/>
    <s v="Momentum Capital Investment S.A."/>
    <s v="20/07/2026"/>
    <s v="20/07/2026"/>
    <n v="30"/>
    <s v="No"/>
    <s v=""/>
    <m/>
    <m/>
    <s v="*MAV240901116"/>
    <s v="*MAV240901116"/>
    <n v="4.5702746406029998E-5"/>
  </r>
  <r>
    <x v="188"/>
    <s v="Pesos"/>
    <d v="2026-09-29T00:00:00"/>
    <s v="25/08/2026"/>
    <n v="0.97022861000000005"/>
    <m/>
    <n v="4615815.71"/>
    <n v="4478396.4800000004"/>
    <n v="4615815.71"/>
    <n v="4478396.4800000004"/>
    <n v="10038099"/>
    <s v="AMOMPY"/>
    <s v="Momentum Capital Investment S.A."/>
    <s v="22/07/2026"/>
    <s v="22/07/2026"/>
    <n v="32"/>
    <s v="No"/>
    <s v=""/>
    <m/>
    <m/>
    <s v="*MAV250901367"/>
    <s v="*MAV250901367"/>
    <n v="7.32937679272171E-5"/>
  </r>
  <r>
    <x v="189"/>
    <s v="Pesos"/>
    <d v="2026-09-29T00:00:00"/>
    <s v="25/08/2026"/>
    <n v="0.97385277999999997"/>
    <m/>
    <n v="12995000"/>
    <n v="12655216.84"/>
    <n v="12995000"/>
    <n v="12655216.84"/>
    <n v="7563"/>
    <s v="AMOMPY"/>
    <s v="Momentum Capital Investment S.A."/>
    <s v="10/08/2026"/>
    <s v="10/08/2026"/>
    <n v="28"/>
    <s v="No"/>
    <s v=""/>
    <m/>
    <m/>
    <s v="*MAV250901495"/>
    <s v="*MAV250901495"/>
    <n v="2.0711621453837193E-4"/>
  </r>
  <r>
    <x v="112"/>
    <s v="Pesos"/>
    <d v="2026-09-29T00:00:00"/>
    <s v="25/08/2026"/>
    <n v="0.96484272999999998"/>
    <m/>
    <n v="6899161.7699999996"/>
    <n v="6656606.0599999996"/>
    <n v="6899161.7699999996"/>
    <n v="6656606.0599999996"/>
    <n v="65964605"/>
    <s v="AMOMPY"/>
    <s v="Momentum Capital Investment S.A."/>
    <s v="22/04/2026"/>
    <s v="22/04/2026"/>
    <n v="38"/>
    <s v="No"/>
    <s v=""/>
    <m/>
    <m/>
    <s v="*MAV250901124"/>
    <s v="*MAV250901124"/>
    <n v="1.089425069717246E-4"/>
  </r>
  <r>
    <x v="65"/>
    <s v="Pesos"/>
    <d v="2026-09-29T00:00:00"/>
    <s v="25/08/2026"/>
    <n v="0.97385281999999995"/>
    <m/>
    <n v="12500000"/>
    <n v="12173160.189999999"/>
    <n v="12500000"/>
    <n v="12173160.189999999"/>
    <n v="90027594"/>
    <s v="AMOMPY"/>
    <s v="Momentum Capital Investment S.A."/>
    <s v="03/07/2026"/>
    <s v="03/07/2026"/>
    <n v="28"/>
    <s v="No"/>
    <s v=""/>
    <m/>
    <m/>
    <s v="*CVA250900020"/>
    <s v="*CVA250900020"/>
    <n v="1.9922683976089092E-4"/>
  </r>
  <r>
    <x v="9"/>
    <s v="Pesos"/>
    <d v="2026-09-29T00:00:00"/>
    <s v="25/08/2026"/>
    <n v="0.97022869"/>
    <m/>
    <n v="29575498"/>
    <n v="28694996.579999998"/>
    <n v="29575498"/>
    <n v="28694996.579999998"/>
    <n v="90044735"/>
    <s v="AMOMPY"/>
    <s v="Momentum Capital Investment S.A."/>
    <s v="21/08/2026"/>
    <s v="21/08/2026"/>
    <n v="32"/>
    <s v="No"/>
    <s v=""/>
    <m/>
    <m/>
    <s v="*MAV250901611"/>
    <s v="*MAV250901611"/>
    <n v="4.6962443575491737E-4"/>
  </r>
  <r>
    <x v="34"/>
    <s v="Pesos"/>
    <d v="2026-09-29T00:00:00"/>
    <s v="25/08/2026"/>
    <n v="0.97022872000000004"/>
    <m/>
    <n v="2000000"/>
    <n v="1940457.45"/>
    <n v="2000000"/>
    <n v="1940457.45"/>
    <n v="1008"/>
    <s v="AMOMPY"/>
    <s v="Momentum Capital Investment S.A."/>
    <s v="18/08/2026"/>
    <s v="18/08/2026"/>
    <n v="32"/>
    <s v="No"/>
    <s v=""/>
    <m/>
    <m/>
    <s v="*MAV250901564"/>
    <s v="*MAV250901564"/>
    <n v="3.1757670105380989E-5"/>
  </r>
  <r>
    <x v="57"/>
    <s v="Pesos"/>
    <d v="2026-09-29T00:00:00"/>
    <s v="25/08/2026"/>
    <n v="0.97022870999999999"/>
    <m/>
    <n v="65000000"/>
    <n v="63064866.159999996"/>
    <n v="65000000"/>
    <n v="63064866.159999996"/>
    <n v="334"/>
    <s v="AMOMPY"/>
    <s v="Momentum Capital Investment S.A."/>
    <s v="26/06/2026"/>
    <s v="26/06/2026"/>
    <n v="32"/>
    <s v="No"/>
    <s v=""/>
    <m/>
    <m/>
    <s v="*MAV250901239"/>
    <s v="*MAV250901239"/>
    <n v="1.0321242626316208E-3"/>
  </r>
  <r>
    <x v="12"/>
    <s v="Pesos"/>
    <d v="2026-09-29T00:00:00"/>
    <s v="25/08/2026"/>
    <n v="0.97476306000000001"/>
    <m/>
    <n v="20000000"/>
    <n v="19495261.260000002"/>
    <n v="20000000"/>
    <n v="19495261.260000002"/>
    <n v="67970141"/>
    <s v="AMOMPY"/>
    <s v="Momentum Capital Investment S.A."/>
    <s v="29/06/2026"/>
    <s v="29/06/2026"/>
    <n v="27"/>
    <s v="No"/>
    <s v=""/>
    <m/>
    <m/>
    <s v="*PRO250900016"/>
    <s v="*PRO250900016"/>
    <n v="3.1906088727340777E-4"/>
  </r>
  <r>
    <x v="12"/>
    <s v="Pesos"/>
    <d v="2026-09-29T00:00:00"/>
    <s v="25/08/2026"/>
    <n v="0.97750409999999999"/>
    <m/>
    <n v="4000000"/>
    <n v="3910016.39"/>
    <n v="4000000"/>
    <n v="3910016.39"/>
    <n v="16821013"/>
    <s v="AMOMPY"/>
    <s v="Momentum Capital Investment S.A."/>
    <s v="17/07/2026"/>
    <s v="17/07/2026"/>
    <n v="24"/>
    <s v="No"/>
    <s v=""/>
    <m/>
    <m/>
    <s v="*PRO250900021"/>
    <s v="*PRO250900021"/>
    <n v="6.3991617347885016E-5"/>
  </r>
  <r>
    <x v="12"/>
    <s v="Pesos"/>
    <d v="2026-09-29T00:00:00"/>
    <s v="25/08/2026"/>
    <n v="0.97385275000000004"/>
    <m/>
    <n v="10950000"/>
    <n v="10663687.560000001"/>
    <n v="10950000"/>
    <n v="10663687.560000001"/>
    <n v="90000869"/>
    <s v="AMOMPY"/>
    <s v="Momentum Capital Investment S.A."/>
    <s v="13/08/2026"/>
    <s v="13/08/2026"/>
    <n v="28"/>
    <s v="No"/>
    <s v=""/>
    <m/>
    <m/>
    <s v="*PRO250900023"/>
    <s v="*PRO250900023"/>
    <n v="1.7452269908692676E-4"/>
  </r>
  <r>
    <x v="13"/>
    <s v="Pesos"/>
    <d v="2026-09-29T00:00:00"/>
    <s v="25/08/2026"/>
    <n v="0.97385277000000003"/>
    <m/>
    <n v="10000000"/>
    <n v="9738527.7300000004"/>
    <n v="10000000"/>
    <n v="9738527.7300000004"/>
    <n v="360567"/>
    <s v="AMOMPY"/>
    <s v="Momentum Capital Investment S.A."/>
    <s v="21/04/2026"/>
    <s v="21/04/2026"/>
    <n v="28"/>
    <s v="No"/>
    <s v=""/>
    <m/>
    <m/>
    <s v="*MOV250900071"/>
    <s v="*MOV250900071"/>
    <n v="1.5938146490222953E-4"/>
  </r>
  <r>
    <x v="50"/>
    <s v="Pesos"/>
    <d v="2026-09-29T00:00:00"/>
    <s v="25/08/2026"/>
    <n v="0.97658869000000004"/>
    <m/>
    <n v="50000000"/>
    <n v="48829434.460000001"/>
    <n v="50000000"/>
    <n v="48829434.460000001"/>
    <n v="4899"/>
    <s v="AMOMPY"/>
    <s v="Momentum Capital Investment S.A."/>
    <s v="25/06/2026"/>
    <s v="25/06/2026"/>
    <n v="25"/>
    <s v="No"/>
    <s v=""/>
    <m/>
    <m/>
    <s v="*BIF250900004"/>
    <s v="*BIF250900004"/>
    <n v="7.9914613485237854E-4"/>
  </r>
  <r>
    <x v="10"/>
    <s v="Pesos"/>
    <d v="2026-09-29T00:00:00"/>
    <s v="25/08/2026"/>
    <n v="0.97476304999999996"/>
    <m/>
    <n v="30000000"/>
    <n v="29242891.539999999"/>
    <n v="30000000"/>
    <n v="29242891.539999999"/>
    <n v="54027797"/>
    <s v="AMOMPY"/>
    <s v="Momentum Capital Investment S.A."/>
    <s v="25/06/2026"/>
    <s v="25/06/2026"/>
    <n v="27"/>
    <s v="No"/>
    <s v=""/>
    <m/>
    <m/>
    <s v="*MIL250900032"/>
    <s v="*MIL250900032"/>
    <n v="4.7859132518198567E-4"/>
  </r>
  <r>
    <x v="10"/>
    <s v="Pesos"/>
    <d v="2026-09-29T00:00:00"/>
    <s v="25/08/2026"/>
    <n v="0.97476306000000001"/>
    <m/>
    <n v="5000000"/>
    <n v="4873815.3099999996"/>
    <n v="5000000"/>
    <n v="4873815.3099999996"/>
    <n v="67193060"/>
    <s v="AMOMPY"/>
    <s v="Momentum Capital Investment S.A."/>
    <s v="04/06/2026"/>
    <s v="04/06/2026"/>
    <n v="27"/>
    <s v="No"/>
    <s v=""/>
    <m/>
    <m/>
    <s v="*MIL250900029"/>
    <s v="*MIL250900029"/>
    <n v="7.9765221736521552E-5"/>
  </r>
  <r>
    <x v="10"/>
    <s v="Pesos"/>
    <d v="2026-09-29T00:00:00"/>
    <s v="25/08/2026"/>
    <n v="0.97658871999999997"/>
    <m/>
    <n v="5000000"/>
    <n v="4882943.58"/>
    <n v="5000000"/>
    <n v="4882943.58"/>
    <n v="8743"/>
    <s v="AMOMPY"/>
    <s v="Momentum Capital Investment S.A."/>
    <s v="17/07/2026"/>
    <s v="17/07/2026"/>
    <n v="25"/>
    <s v="No"/>
    <s v=""/>
    <m/>
    <m/>
    <s v="*MIL250900034"/>
    <s v="*MIL250900034"/>
    <n v="7.9914615678291763E-5"/>
  </r>
  <r>
    <x v="10"/>
    <s v="Pesos"/>
    <d v="2026-09-29T00:00:00"/>
    <s v="25/08/2026"/>
    <n v="0.97385279999999996"/>
    <m/>
    <n v="9000000"/>
    <n v="8764675.2100000009"/>
    <n v="9000000"/>
    <n v="8764675.2100000009"/>
    <n v="68958371"/>
    <s v="AMOMPY"/>
    <s v="Momentum Capital Investment S.A."/>
    <s v="14/08/2026"/>
    <s v="14/08/2026"/>
    <n v="28"/>
    <s v="No"/>
    <s v=""/>
    <m/>
    <m/>
    <s v="*MIL250900037"/>
    <s v="*MIL250900037"/>
    <n v="1.434433225526233E-4"/>
  </r>
  <r>
    <x v="154"/>
    <s v="Pesos"/>
    <d v="2026-09-29T00:00:00"/>
    <s v="25/08/2026"/>
    <n v="0.97022861000000005"/>
    <m/>
    <n v="2097348.4"/>
    <n v="2034907.42"/>
    <n v="2097348.4"/>
    <n v="2034907.42"/>
    <n v="76510842"/>
    <s v="AMOMPY"/>
    <s v="Momentum Capital Investment S.A."/>
    <s v="22/07/2026"/>
    <s v="22/07/2026"/>
    <n v="32"/>
    <s v="No"/>
    <s v=""/>
    <m/>
    <m/>
    <s v="*MAV250901366"/>
    <s v="*MAV250901366"/>
    <n v="3.3303445298092965E-5"/>
  </r>
  <r>
    <x v="186"/>
    <s v="Pesos"/>
    <d v="2026-09-29T00:00:00"/>
    <s v="25/08/2026"/>
    <n v="0.97385277999999997"/>
    <m/>
    <n v="7560000"/>
    <n v="7362326.9900000002"/>
    <n v="7560000"/>
    <n v="7362326.9900000002"/>
    <n v="10537648"/>
    <s v="AMOMPY"/>
    <s v="Momentum Capital Investment S.A."/>
    <s v="10/08/2026"/>
    <s v="10/08/2026"/>
    <n v="28"/>
    <s v="No"/>
    <s v=""/>
    <m/>
    <m/>
    <s v="*MAV250901491"/>
    <s v="*MAV250901491"/>
    <n v="1.2049238789356739E-4"/>
  </r>
  <r>
    <x v="190"/>
    <s v="Pesos"/>
    <d v="2026-09-29T00:00:00"/>
    <s v="25/08/2026"/>
    <n v="0.97385288999999997"/>
    <m/>
    <n v="100000000"/>
    <n v="97385288.609999999"/>
    <n v="100000000"/>
    <n v="97385288.609999999"/>
    <n v="83"/>
    <s v="AMOMPY"/>
    <s v="Momentum Capital Investment S.A."/>
    <s v="12/08/2026"/>
    <s v="12/08/2026"/>
    <n v="28"/>
    <s v="No"/>
    <s v=""/>
    <m/>
    <m/>
    <s v="*MAV250901519"/>
    <s v="*MAV250901519"/>
    <n v="1.5938148341225916E-3"/>
  </r>
  <r>
    <x v="171"/>
    <s v="Pesos"/>
    <d v="2026-09-29T00:00:00"/>
    <s v="25/08/2026"/>
    <n v="0.97385277999999997"/>
    <m/>
    <n v="12000000"/>
    <n v="11686233.33"/>
    <n v="12000000"/>
    <n v="11686233.33"/>
    <n v="29830738"/>
    <s v="AMOMPY"/>
    <s v="Momentum Capital Investment S.A."/>
    <s v="10/08/2026"/>
    <s v="10/08/2026"/>
    <n v="28"/>
    <s v="No"/>
    <s v=""/>
    <m/>
    <m/>
    <s v="*MAV250901494"/>
    <s v="*MAV250901494"/>
    <n v="1.9125775876644344E-4"/>
  </r>
  <r>
    <x v="145"/>
    <s v="Pesos"/>
    <d v="2026-09-29T00:00:00"/>
    <s v="25/08/2026"/>
    <n v="0.97022861999999999"/>
    <m/>
    <n v="40000000"/>
    <n v="38809144.609999999"/>
    <n v="40000000"/>
    <n v="38809144.609999999"/>
    <n v="13662791"/>
    <s v="AMOMPY"/>
    <s v="Momentum Capital Investment S.A."/>
    <s v="12/06/2026"/>
    <s v="12/06/2026"/>
    <n v="32"/>
    <s v="No"/>
    <s v=""/>
    <m/>
    <m/>
    <s v="*MAV250901177"/>
    <s v="*MAV250901177"/>
    <n v="6.3515333026055529E-4"/>
  </r>
  <r>
    <x v="191"/>
    <s v="Pesos"/>
    <d v="2026-09-29T00:00:00"/>
    <s v="25/08/2026"/>
    <n v="0.97385277999999997"/>
    <m/>
    <n v="5225717"/>
    <n v="5089079.01"/>
    <n v="5225717"/>
    <n v="5089079.01"/>
    <n v="3171"/>
    <s v="AMOMPY"/>
    <s v="Momentum Capital Investment S.A."/>
    <s v="10/08/2026"/>
    <s v="10/08/2026"/>
    <n v="28"/>
    <s v="No"/>
    <s v=""/>
    <m/>
    <m/>
    <s v="*MAV250901492"/>
    <s v="*MAV250901492"/>
    <n v="8.328824336745899E-5"/>
  </r>
  <r>
    <x v="165"/>
    <s v="Pesos"/>
    <d v="2026-09-29T00:00:00"/>
    <s v="25/08/2026"/>
    <n v="0.97385277999999997"/>
    <m/>
    <n v="8000000"/>
    <n v="7790822.2199999997"/>
    <n v="8000000"/>
    <n v="7790822.2199999997"/>
    <n v="1161724"/>
    <s v="AMOMPY"/>
    <s v="Momentum Capital Investment S.A."/>
    <s v="10/08/2026"/>
    <s v="10/08/2026"/>
    <n v="28"/>
    <s v="No"/>
    <s v=""/>
    <m/>
    <m/>
    <s v="*MAV250901493"/>
    <s v="*MAV250901493"/>
    <n v="1.2750517251096228E-4"/>
  </r>
  <r>
    <x v="140"/>
    <s v="Pesos"/>
    <d v="2026-09-29T00:00:00"/>
    <s v="25/08/2026"/>
    <n v="0.97022872999999998"/>
    <m/>
    <n v="13629007.35"/>
    <n v="13223254.43"/>
    <n v="13629007.35"/>
    <n v="13223254.43"/>
    <n v="68961023"/>
    <s v="AMOMPY"/>
    <s v="Momentum Capital Investment S.A."/>
    <s v="25/08/2026"/>
    <s v="25/08/2026"/>
    <n v="32"/>
    <s v="No"/>
    <s v=""/>
    <m/>
    <m/>
    <s v="*MAV250901651"/>
    <s v="*MAV250901651"/>
    <n v="2.1641275973737935E-4"/>
  </r>
  <r>
    <x v="52"/>
    <s v="Pesos"/>
    <d v="2026-09-29T00:00:00"/>
    <s v="25/08/2026"/>
    <n v="0.96932678999999999"/>
    <m/>
    <n v="12500000"/>
    <n v="12116584.9"/>
    <n v="12500000"/>
    <n v="12116584.9"/>
    <n v="1361"/>
    <s v="AMOMPY"/>
    <s v="Momentum Capital Investment S.A."/>
    <s v="21/05/2026"/>
    <s v="21/05/2026"/>
    <n v="33"/>
    <s v="No"/>
    <s v=""/>
    <m/>
    <m/>
    <s v="*MAV250901137"/>
    <s v="*MAV250901137"/>
    <n v="1.9830092438153732E-4"/>
  </r>
  <r>
    <x v="87"/>
    <s v="Pesos"/>
    <d v="2026-09-29T00:00:00"/>
    <s v="25/08/2026"/>
    <n v="0.96484285999999997"/>
    <m/>
    <n v="145700000"/>
    <n v="140577605.12"/>
    <n v="145700000"/>
    <n v="140577605.12"/>
    <n v="70400444"/>
    <s v="AMOMPY"/>
    <s v="Momentum Capital Investment S.A."/>
    <s v="04/08/2026"/>
    <s v="04/08/2026"/>
    <n v="38"/>
    <s v="No"/>
    <s v=""/>
    <m/>
    <m/>
    <s v="*MAV250901439"/>
    <s v="*MAV250901439"/>
    <n v="2.300703479793117E-3"/>
  </r>
  <r>
    <x v="88"/>
    <s v="Pesos"/>
    <d v="2026-09-29T00:00:00"/>
    <s v="25/08/2026"/>
    <n v="0.96484294000000004"/>
    <m/>
    <n v="555972720.34000003"/>
    <n v="536426351.88"/>
    <n v="555972720.34000003"/>
    <n v="536426351.88"/>
    <n v="160819"/>
    <s v="AMOMPY"/>
    <s v="Momentum Capital Investment S.A."/>
    <s v="12/08/2026"/>
    <s v="12/08/2026"/>
    <n v="38"/>
    <s v="No"/>
    <s v=""/>
    <m/>
    <m/>
    <s v="#MAV280960027"/>
    <s v="#MAV280960027"/>
    <n v="8.7791933385800661E-3"/>
  </r>
  <r>
    <x v="24"/>
    <s v="Pesos"/>
    <d v="2026-09-29T00:00:00"/>
    <s v="25/08/2026"/>
    <n v="0.97022867000000002"/>
    <m/>
    <n v="1008513.5"/>
    <n v="978488.71"/>
    <n v="1008513.5"/>
    <n v="978488.71"/>
    <n v="67381841"/>
    <s v="AMOMPY"/>
    <s v="Momentum Capital Investment S.A."/>
    <s v="04/06/2026"/>
    <s v="04/06/2026"/>
    <n v="32"/>
    <s v="No"/>
    <s v=""/>
    <m/>
    <m/>
    <s v="*MAV250901157"/>
    <s v="*MAV250901157"/>
    <n v="1.6014018577949139E-5"/>
  </r>
  <r>
    <x v="192"/>
    <s v="Pesos"/>
    <d v="2026-09-29T00:00:00"/>
    <s v="25/08/2026"/>
    <n v="0.96932691000000004"/>
    <m/>
    <n v="9828483.25"/>
    <n v="9527013.3000000007"/>
    <n v="9828483.25"/>
    <n v="9527013.3000000007"/>
    <n v="33"/>
    <s v="AMOMPY"/>
    <s v="Momentum Capital Investment S.A."/>
    <s v="14/07/2026"/>
    <s v="14/07/2026"/>
    <n v="33"/>
    <s v="No"/>
    <s v=""/>
    <m/>
    <m/>
    <s v="*MAV250901315"/>
    <s v="*MAV250901315"/>
    <n v="1.5591980410133556E-4"/>
  </r>
  <r>
    <x v="27"/>
    <s v="Pesos"/>
    <d v="2026-09-30T00:00:00"/>
    <s v="25/08/2026"/>
    <n v="0.97126135999999996"/>
    <m/>
    <n v="100000000"/>
    <n v="97126135.760000005"/>
    <n v="100000000"/>
    <n v="97126135.760000005"/>
    <n v="90003961"/>
    <s v="AMOMPY"/>
    <s v="Momentum Capital Investment S.A."/>
    <s v="31/07/2026"/>
    <s v="31/07/2026"/>
    <n v="30"/>
    <s v="No"/>
    <s v=""/>
    <m/>
    <m/>
    <s v="*MAV280901079"/>
    <s v="*MAV280901079"/>
    <n v="1.5895735194175621E-3"/>
  </r>
  <r>
    <x v="181"/>
    <s v="Pesos"/>
    <d v="2026-09-30T00:00:00"/>
    <s v="25/08/2026"/>
    <n v="0.96663138999999998"/>
    <m/>
    <n v="6000000"/>
    <n v="5799788.3200000003"/>
    <n v="6000000"/>
    <n v="5799788.3200000003"/>
    <n v="40761910"/>
    <s v="AMOMPY"/>
    <s v="Momentum Capital Investment S.A."/>
    <s v="16/07/2026"/>
    <s v="16/07/2026"/>
    <n v="35"/>
    <s v="No"/>
    <s v=""/>
    <m/>
    <m/>
    <s v="*MAV280900986"/>
    <s v="*MAV280900986"/>
    <n v="9.4919764485225819E-5"/>
  </r>
  <r>
    <x v="118"/>
    <s v="Pesos"/>
    <d v="2026-09-30T00:00:00"/>
    <s v="25/08/2026"/>
    <n v="0.96387458000000004"/>
    <m/>
    <n v="4500591.28"/>
    <n v="4338005.53"/>
    <n v="4500591.28"/>
    <n v="4338005.53"/>
    <n v="90000179"/>
    <s v="AMOMPY"/>
    <s v="Momentum Capital Investment S.A."/>
    <s v="22/04/2026"/>
    <s v="22/04/2026"/>
    <n v="38"/>
    <s v="No"/>
    <s v=""/>
    <m/>
    <m/>
    <s v="*MAV260901222"/>
    <s v="*MAV260901222"/>
    <n v="7.0996119258919305E-5"/>
  </r>
  <r>
    <x v="193"/>
    <s v="Pesos"/>
    <d v="2026-09-30T00:00:00"/>
    <s v="25/08/2026"/>
    <n v="0.97312573999999996"/>
    <m/>
    <n v="11902483.460000001"/>
    <n v="11582613"/>
    <n v="11902483.460000001"/>
    <n v="11582613"/>
    <n v="31834827"/>
    <s v="AMOMPY"/>
    <s v="Momentum Capital Investment S.A."/>
    <s v="10/08/2026"/>
    <s v="10/08/2026"/>
    <n v="28"/>
    <s v="No"/>
    <s v=""/>
    <m/>
    <m/>
    <s v="*MAV270901096"/>
    <s v="*MAV270901096"/>
    <n v="1.8956190078390909E-4"/>
  </r>
  <r>
    <x v="148"/>
    <s v="Pesos"/>
    <d v="2026-09-30T00:00:00"/>
    <s v="25/08/2026"/>
    <n v="0.97126137000000001"/>
    <m/>
    <n v="50000000"/>
    <n v="48563068.299999997"/>
    <n v="50000000"/>
    <n v="48563068.299999997"/>
    <n v="787"/>
    <s v="AMOMPY"/>
    <s v="Momentum Capital Investment S.A."/>
    <s v="22/04/2026"/>
    <s v="22/04/2026"/>
    <n v="30"/>
    <s v="No"/>
    <s v=""/>
    <m/>
    <m/>
    <s v="*AFB280900003"/>
    <s v="*AFB280900003"/>
    <n v="7.9478676658253195E-4"/>
  </r>
  <r>
    <x v="62"/>
    <s v="Pesos"/>
    <d v="2026-09-30T00:00:00"/>
    <s v="25/08/2026"/>
    <n v="0.97312573999999996"/>
    <m/>
    <n v="35000000"/>
    <n v="34059400.82"/>
    <n v="35000000"/>
    <n v="34059400.82"/>
    <n v="3329633"/>
    <s v="AMOMPY"/>
    <s v="Momentum Capital Investment S.A."/>
    <s v="30/04/2026"/>
    <s v="30/04/2026"/>
    <n v="28"/>
    <s v="No"/>
    <s v=""/>
    <m/>
    <m/>
    <s v="*FID260900031"/>
    <s v="*FID260900031"/>
    <n v="5.5741867219428229E-4"/>
  </r>
  <r>
    <x v="48"/>
    <s v="Pesos"/>
    <d v="2026-09-30T00:00:00"/>
    <s v="25/08/2026"/>
    <n v="0.97593585000000005"/>
    <m/>
    <n v="408135"/>
    <n v="398313.58"/>
    <n v="408135"/>
    <n v="398313.58"/>
    <n v="2227"/>
    <s v="AMOMPY"/>
    <s v="Momentum Capital Investment S.A."/>
    <s v="04/08/2026"/>
    <s v="04/08/2026"/>
    <n v="25"/>
    <s v="No"/>
    <s v=""/>
    <m/>
    <m/>
    <s v="*FED280900127"/>
    <s v="*FED280900127"/>
    <n v="6.5188295018441559E-6"/>
  </r>
  <r>
    <x v="194"/>
    <s v="Pesos"/>
    <d v="2026-09-30T00:00:00"/>
    <s v="25/08/2026"/>
    <n v="0.96847808999999996"/>
    <m/>
    <n v="1716831.66"/>
    <n v="1662713.85"/>
    <n v="1716831.66"/>
    <n v="1662713.85"/>
    <n v="112156"/>
    <s v="AMOMPY"/>
    <s v="Momentum Capital Investment S.A."/>
    <s v="11/08/2026"/>
    <s v="11/08/2026"/>
    <n v="33"/>
    <s v="No"/>
    <s v=""/>
    <m/>
    <m/>
    <s v="*MAV280901151"/>
    <s v="*MAV280901151"/>
    <n v="2.7212097811239271E-5"/>
  </r>
  <r>
    <x v="194"/>
    <s v="Pesos"/>
    <d v="2026-09-30T00:00:00"/>
    <s v="25/08/2026"/>
    <n v="0.96847810000000001"/>
    <m/>
    <n v="21884339.98"/>
    <n v="21194503.949999999"/>
    <n v="21884339.98"/>
    <n v="21194503.949999999"/>
    <n v="112097"/>
    <s v="AMOMPY"/>
    <s v="Momentum Capital Investment S.A."/>
    <s v="11/08/2026"/>
    <s v="11/08/2026"/>
    <n v="33"/>
    <s v="No"/>
    <s v=""/>
    <m/>
    <m/>
    <s v="*MAV280901152"/>
    <s v="*MAV280901152"/>
    <n v="3.4687081878105304E-4"/>
  </r>
  <r>
    <x v="34"/>
    <s v="Pesos"/>
    <d v="2026-09-30T00:00:00"/>
    <s v="25/08/2026"/>
    <n v="0.97126131000000004"/>
    <m/>
    <n v="10000000"/>
    <n v="9712613.0999999996"/>
    <n v="10000000"/>
    <n v="9712613.0999999996"/>
    <n v="514"/>
    <s v="AMOMPY"/>
    <s v="Momentum Capital Investment S.A."/>
    <s v="18/05/2026"/>
    <s v="18/05/2026"/>
    <n v="30"/>
    <s v="No"/>
    <s v=""/>
    <m/>
    <m/>
    <s v="*MAV260901228"/>
    <s v="*MAV260901228"/>
    <n v="1.58957344151505E-4"/>
  </r>
  <r>
    <x v="108"/>
    <s v="Pesos"/>
    <d v="2026-09-30T00:00:00"/>
    <s v="25/08/2026"/>
    <n v="0.96847810999999995"/>
    <m/>
    <n v="5000000"/>
    <n v="4842390.57"/>
    <n v="5000000"/>
    <n v="4842390.57"/>
    <n v="3042"/>
    <s v="AMOMPY"/>
    <s v="Momentum Capital Investment S.A."/>
    <s v="21/07/2026"/>
    <s v="21/07/2026"/>
    <n v="33"/>
    <s v="No"/>
    <s v=""/>
    <m/>
    <m/>
    <s v="*MAV280901016"/>
    <s v="*MAV280901016"/>
    <n v="7.925092211811593E-5"/>
  </r>
  <r>
    <x v="10"/>
    <s v="Pesos"/>
    <d v="2026-09-30T00:00:00"/>
    <s v="25/08/2026"/>
    <n v="0.97312575999999995"/>
    <m/>
    <n v="9000000"/>
    <n v="8758131.8300000001"/>
    <n v="9000000"/>
    <n v="8758131.8300000001"/>
    <n v="68958373"/>
    <s v="AMOMPY"/>
    <s v="Momentum Capital Investment S.A."/>
    <s v="14/08/2026"/>
    <s v="14/08/2026"/>
    <n v="28"/>
    <s v="No"/>
    <s v=""/>
    <m/>
    <m/>
    <s v="*MIL280900025"/>
    <s v="*MIL280900025"/>
    <n v="1.4333623311172153E-4"/>
  </r>
  <r>
    <x v="10"/>
    <s v="Pesos"/>
    <d v="2026-09-30T00:00:00"/>
    <s v="25/08/2026"/>
    <n v="0.97312575999999995"/>
    <m/>
    <n v="14000000"/>
    <n v="13623760.619999999"/>
    <n v="14000000"/>
    <n v="13623760.619999999"/>
    <n v="198"/>
    <s v="AMOMPY"/>
    <s v="Momentum Capital Investment S.A."/>
    <s v="14/08/2026"/>
    <s v="14/08/2026"/>
    <n v="28"/>
    <s v="No"/>
    <s v=""/>
    <m/>
    <m/>
    <s v="*MIL260900036"/>
    <s v="*MIL260900036"/>
    <n v="2.2296747365660647E-4"/>
  </r>
  <r>
    <x v="34"/>
    <s v="Pesos"/>
    <d v="2026-09-30T00:00:00"/>
    <s v="25/08/2026"/>
    <n v="0.97126137000000001"/>
    <m/>
    <n v="3300000"/>
    <n v="3205162.53"/>
    <n v="3300000"/>
    <n v="3205162.53"/>
    <n v="921"/>
    <s v="AMOMPY"/>
    <s v="Momentum Capital Investment S.A."/>
    <s v="11/08/2026"/>
    <s v="11/08/2026"/>
    <n v="30"/>
    <s v="No"/>
    <s v=""/>
    <m/>
    <m/>
    <s v="*MAV280901148"/>
    <s v="*MAV280901148"/>
    <n v="5.2455926957773952E-5"/>
  </r>
  <r>
    <x v="154"/>
    <s v="Pesos"/>
    <d v="2026-09-30T00:00:00"/>
    <s v="25/08/2026"/>
    <n v="0.96940413999999997"/>
    <m/>
    <n v="2097348.4"/>
    <n v="2033178.23"/>
    <n v="2097348.4"/>
    <n v="2033178.23"/>
    <n v="76510843"/>
    <s v="AMOMPY"/>
    <s v="Momentum Capital Investment S.A."/>
    <s v="22/07/2026"/>
    <s v="22/07/2026"/>
    <n v="32"/>
    <s v="No"/>
    <s v=""/>
    <m/>
    <m/>
    <s v="*MAV280901019"/>
    <s v="*MAV280901019"/>
    <n v="3.3275145246695533E-5"/>
  </r>
  <r>
    <x v="34"/>
    <s v="Pesos"/>
    <d v="2026-09-30T00:00:00"/>
    <s v="25/08/2026"/>
    <n v="0.97126131999999998"/>
    <m/>
    <n v="10000000"/>
    <n v="9712613.1899999995"/>
    <n v="10000000"/>
    <n v="9712613.1899999995"/>
    <n v="581"/>
    <s v="AMOMPY"/>
    <s v="Momentum Capital Investment S.A."/>
    <s v="02/06/2026"/>
    <s v="02/06/2026"/>
    <n v="30"/>
    <s v="No"/>
    <s v=""/>
    <m/>
    <m/>
    <s v="*MAV280900830"/>
    <s v="*MAV280900830"/>
    <n v="1.5895734562445166E-4"/>
  </r>
  <r>
    <x v="186"/>
    <s v="Pesos"/>
    <d v="2026-09-30T00:00:00"/>
    <s v="25/08/2026"/>
    <n v="0.97312573999999996"/>
    <m/>
    <n v="19222299.34"/>
    <n v="18705714.23"/>
    <n v="19222299.34"/>
    <n v="18705714.23"/>
    <n v="10537631"/>
    <s v="AMOMPY"/>
    <s v="Momentum Capital Investment S.A."/>
    <s v="10/08/2026"/>
    <s v="10/08/2026"/>
    <n v="28"/>
    <s v="No"/>
    <s v=""/>
    <m/>
    <m/>
    <s v="*MAV280901135"/>
    <s v="*MAV280901135"/>
    <n v="3.0613910220080883E-4"/>
  </r>
  <r>
    <x v="63"/>
    <s v="Pesos"/>
    <d v="2026-09-30T00:00:00"/>
    <s v="25/08/2026"/>
    <n v="0.96663149000000004"/>
    <m/>
    <n v="700000000"/>
    <n v="676642045.94000006"/>
    <n v="700000000"/>
    <n v="676642045.94000006"/>
    <n v="69061605"/>
    <s v="AMOMPY"/>
    <s v="Momentum Capital Investment S.A."/>
    <s v="19/08/2026"/>
    <s v="19/08/2026"/>
    <n v="35"/>
    <s v="No"/>
    <s v=""/>
    <m/>
    <m/>
    <s v="*MAV280901205"/>
    <s v="*MAV280901205"/>
    <n v="1.1073973755205285E-2"/>
  </r>
  <r>
    <x v="37"/>
    <s v="Pesos"/>
    <d v="2026-09-30T00:00:00"/>
    <s v="25/08/2026"/>
    <n v="0.96847806000000003"/>
    <m/>
    <n v="2500000"/>
    <n v="2421195.14"/>
    <n v="2500000"/>
    <n v="2421195.14"/>
    <n v="1202"/>
    <s v="AMOMPY"/>
    <s v="Momentum Capital Investment S.A."/>
    <s v="19/05/2026"/>
    <s v="19/05/2026"/>
    <n v="33"/>
    <s v="No"/>
    <s v=""/>
    <m/>
    <m/>
    <s v="*MAV280900819"/>
    <s v="*MAV280900819"/>
    <n v="3.9625458685977243E-5"/>
  </r>
  <r>
    <x v="17"/>
    <s v="Pesos"/>
    <d v="2026-09-30T00:00:00"/>
    <s v="25/08/2026"/>
    <n v="0.96479181999999997"/>
    <m/>
    <n v="30000000"/>
    <n v="28943754.539999999"/>
    <n v="30000000"/>
    <n v="28943754.539999999"/>
    <n v="4355"/>
    <s v="AMOMPY"/>
    <s v="Momentum Capital Investment S.A."/>
    <s v="30/06/2026"/>
    <s v="30/06/2026"/>
    <n v="37"/>
    <s v="No"/>
    <s v=""/>
    <m/>
    <m/>
    <s v="*MAV280900916"/>
    <s v="*MAV280900916"/>
    <n v="4.7369562692160209E-4"/>
  </r>
  <r>
    <x v="195"/>
    <s v="Pesos"/>
    <d v="2026-09-30T00:00:00"/>
    <s v="25/08/2026"/>
    <n v="0.96940409999999999"/>
    <m/>
    <n v="30000000"/>
    <n v="29082123.079999998"/>
    <n v="30000000"/>
    <n v="29082123.079999998"/>
    <n v="29635892"/>
    <s v="AMOMPY"/>
    <s v="Momentum Capital Investment S.A."/>
    <s v="14/07/2026"/>
    <s v="14/07/2026"/>
    <n v="32"/>
    <s v="No"/>
    <s v=""/>
    <m/>
    <m/>
    <s v="*MAV280900977"/>
    <s v="*MAV280900977"/>
    <n v="4.7596017667830159E-4"/>
  </r>
  <r>
    <x v="171"/>
    <s v="Pesos"/>
    <d v="2026-09-30T00:00:00"/>
    <s v="25/08/2026"/>
    <n v="0.97312573999999996"/>
    <m/>
    <n v="12000000"/>
    <n v="11677508.869999999"/>
    <n v="12000000"/>
    <n v="11677508.869999999"/>
    <n v="29830739"/>
    <s v="AMOMPY"/>
    <s v="Momentum Capital Investment S.A."/>
    <s v="10/08/2026"/>
    <s v="10/08/2026"/>
    <n v="28"/>
    <s v="No"/>
    <s v=""/>
    <m/>
    <m/>
    <s v="*MAV280901136"/>
    <s v="*MAV280901136"/>
    <n v="1.9111497360899119E-4"/>
  </r>
  <r>
    <x v="145"/>
    <s v="Pesos"/>
    <d v="2026-09-30T00:00:00"/>
    <s v="25/08/2026"/>
    <n v="0.96940409999999999"/>
    <m/>
    <n v="40000000"/>
    <n v="38776164.039999999"/>
    <n v="40000000"/>
    <n v="38776164.039999999"/>
    <n v="13662792"/>
    <s v="AMOMPY"/>
    <s v="Momentum Capital Investment S.A."/>
    <s v="12/06/2026"/>
    <s v="12/06/2026"/>
    <n v="32"/>
    <s v="No"/>
    <s v=""/>
    <m/>
    <m/>
    <s v="*MAV280900860"/>
    <s v="*MAV280900860"/>
    <n v="6.3461356781333055E-4"/>
  </r>
  <r>
    <x v="191"/>
    <s v="Pesos"/>
    <d v="2026-09-30T00:00:00"/>
    <s v="25/08/2026"/>
    <n v="0.97312573999999996"/>
    <m/>
    <n v="5225717"/>
    <n v="5085279.72"/>
    <n v="5225717"/>
    <n v="5085279.72"/>
    <n v="3172"/>
    <s v="AMOMPY"/>
    <s v="Momentum Capital Investment S.A."/>
    <s v="10/08/2026"/>
    <s v="10/08/2026"/>
    <n v="28"/>
    <s v="No"/>
    <s v=""/>
    <m/>
    <m/>
    <s v="*MAV260901395"/>
    <s v="*MAV260901395"/>
    <n v="8.3226063906397026E-5"/>
  </r>
  <r>
    <x v="140"/>
    <s v="Pesos"/>
    <d v="2026-09-30T00:00:00"/>
    <s v="25/08/2026"/>
    <n v="0.96847815999999998"/>
    <m/>
    <n v="42880531.420000002"/>
    <n v="41528858.200000003"/>
    <n v="42880531.420000002"/>
    <n v="41528858.200000003"/>
    <n v="68960995"/>
    <s v="AMOMPY"/>
    <s v="Momentum Capital Investment S.A."/>
    <s v="19/08/2026"/>
    <s v="19/08/2026"/>
    <n v="33"/>
    <s v="No"/>
    <s v=""/>
    <m/>
    <m/>
    <s v="*MAV260901429"/>
    <s v="*MAV260901429"/>
    <n v="6.7966436397188016E-4"/>
  </r>
  <r>
    <x v="29"/>
    <s v="Pesos"/>
    <d v="2026-09-30T00:00:00"/>
    <s v="25/08/2026"/>
    <n v="0.97219266000000004"/>
    <m/>
    <n v="10000000"/>
    <n v="9721926.5700000003"/>
    <n v="10000000"/>
    <n v="9721926.5700000003"/>
    <n v="3487824"/>
    <s v="AMOMPY"/>
    <s v="Momentum Capital Investment S.A."/>
    <s v="05/05/2026"/>
    <s v="05/05/2026"/>
    <n v="29"/>
    <s v="No"/>
    <s v=""/>
    <m/>
    <m/>
    <s v="*NEU260900020"/>
    <s v="*NEU260900020"/>
    <n v="1.5910976909016902E-4"/>
  </r>
  <r>
    <x v="45"/>
    <s v="Pesos"/>
    <d v="2026-09-30T00:00:00"/>
    <s v="25/08/2026"/>
    <n v="0.97126144999999997"/>
    <m/>
    <n v="830000"/>
    <n v="806147"/>
    <n v="830000"/>
    <n v="806147"/>
    <n v="90"/>
    <s v="AMOMPY"/>
    <s v="Momentum Capital Investment S.A."/>
    <s v="15/07/2026"/>
    <s v="15/07/2026"/>
    <n v="30"/>
    <s v="No"/>
    <s v=""/>
    <m/>
    <m/>
    <s v="*MAV280900981"/>
    <s v="*MAV280900981"/>
    <n v="1.3193461409031448E-5"/>
  </r>
  <r>
    <x v="91"/>
    <s v="Pesos"/>
    <d v="2026-09-30T00:00:00"/>
    <s v="25/08/2026"/>
    <n v="0.97126142999999998"/>
    <m/>
    <n v="2500000"/>
    <n v="2428153.5699999998"/>
    <n v="2500000"/>
    <n v="2428153.5699999998"/>
    <n v="383"/>
    <s v="AMOMPY"/>
    <s v="Momentum Capital Investment S.A."/>
    <s v="15/07/2026"/>
    <s v="15/07/2026"/>
    <n v="30"/>
    <s v="No"/>
    <s v=""/>
    <m/>
    <m/>
    <s v="*MAV280900982"/>
    <s v="*MAV280900982"/>
    <n v="3.9739340865868063E-5"/>
  </r>
  <r>
    <x v="56"/>
    <s v="Pesos"/>
    <d v="2026-09-30T00:00:00"/>
    <s v="25/08/2026"/>
    <n v="0.97126135000000002"/>
    <m/>
    <n v="2870567.11"/>
    <n v="2788070.89"/>
    <n v="2870567.11"/>
    <n v="2788070.89"/>
    <n v="107"/>
    <s v="AMOMPY"/>
    <s v="Momentum Capital Investment S.A."/>
    <s v="20/07/2026"/>
    <s v="20/07/2026"/>
    <n v="30"/>
    <s v="No"/>
    <s v=""/>
    <m/>
    <m/>
    <s v="*MAV260901324"/>
    <s v="*MAV260901324"/>
    <n v="4.5629774337507878E-5"/>
  </r>
  <r>
    <x v="196"/>
    <s v="Pesos"/>
    <d v="2026-09-30T00:00:00"/>
    <s v="25/08/2026"/>
    <n v="0.97126144000000003"/>
    <m/>
    <n v="555886.5"/>
    <n v="539911.12"/>
    <n v="555886.5"/>
    <n v="539911.12"/>
    <n v="113284"/>
    <s v="AMOMPY"/>
    <s v="Momentum Capital Investment S.A."/>
    <s v="29/07/2026"/>
    <s v="29/07/2026"/>
    <n v="30"/>
    <s v="No"/>
    <s v=""/>
    <m/>
    <m/>
    <s v="*MAV280901048"/>
    <s v="*MAV280901048"/>
    <n v="8.8362253112979983E-6"/>
  </r>
  <r>
    <x v="101"/>
    <s v="Pesos"/>
    <d v="2026-09-30T00:00:00"/>
    <s v="25/08/2026"/>
    <n v="0.97126137000000001"/>
    <m/>
    <n v="1500000"/>
    <n v="1456892.05"/>
    <n v="1500000"/>
    <n v="1456892.05"/>
    <n v="1971"/>
    <s v="AMOMPY"/>
    <s v="Momentum Capital Investment S.A."/>
    <s v="24/07/2026"/>
    <s v="24/07/2026"/>
    <n v="30"/>
    <s v="No"/>
    <s v=""/>
    <m/>
    <m/>
    <s v="*MAV260901340"/>
    <s v="*MAV260901340"/>
    <n v="2.3843603013842038E-5"/>
  </r>
  <r>
    <x v="0"/>
    <s v="Pesos"/>
    <d v="2026-10-01T00:00:00"/>
    <s v="25/08/2026"/>
    <n v="0.97048659999999998"/>
    <m/>
    <n v="2000000"/>
    <n v="1940973.2"/>
    <n v="2000000"/>
    <n v="1940973.2"/>
    <n v="9805"/>
    <s v="AMOMPY"/>
    <s v="Momentum Capital Investment S.A."/>
    <s v="04/08/2026"/>
    <s v="04/08/2026"/>
    <n v="30"/>
    <s v="No"/>
    <s v=""/>
    <m/>
    <m/>
    <s v="*MAV290901408"/>
    <s v="*MAV290901408"/>
    <n v="3.1766110908015878E-5"/>
  </r>
  <r>
    <x v="27"/>
    <s v="Pesos"/>
    <d v="2026-10-01T00:00:00"/>
    <s v="25/08/2026"/>
    <n v="0.97048657000000005"/>
    <m/>
    <n v="100000000"/>
    <n v="97048657.459999993"/>
    <n v="100000000"/>
    <n v="97048657.459999993"/>
    <n v="90003962"/>
    <s v="AMOMPY"/>
    <s v="Momentum Capital Investment S.A."/>
    <s v="31/07/2026"/>
    <s v="31/07/2026"/>
    <n v="30"/>
    <s v="No"/>
    <s v=""/>
    <m/>
    <m/>
    <s v="*MAV290901395"/>
    <s v="*MAV290901395"/>
    <n v="1.5883055038309662E-3"/>
  </r>
  <r>
    <x v="181"/>
    <s v="Pesos"/>
    <d v="2026-10-01T00:00:00"/>
    <s v="25/08/2026"/>
    <n v="0.96573628"/>
    <m/>
    <n v="1500000"/>
    <n v="1448604.42"/>
    <n v="1500000"/>
    <n v="1448604.42"/>
    <n v="40768642"/>
    <s v="AMOMPY"/>
    <s v="Momentum Capital Investment S.A."/>
    <s v="05/08/2026"/>
    <s v="05/08/2026"/>
    <n v="35"/>
    <s v="No"/>
    <s v=""/>
    <m/>
    <m/>
    <s v="*MAV290901416"/>
    <s v="*MAV290901416"/>
    <n v="2.3707967048469303E-5"/>
  </r>
  <r>
    <x v="34"/>
    <s v="Pesos"/>
    <d v="2026-10-01T00:00:00"/>
    <s v="25/08/2026"/>
    <n v="0.96858107000000004"/>
    <m/>
    <n v="2000000"/>
    <n v="1937162.14"/>
    <n v="2000000"/>
    <n v="1937162.14"/>
    <n v="1007"/>
    <s v="AMOMPY"/>
    <s v="Momentum Capital Investment S.A."/>
    <s v="18/08/2026"/>
    <s v="18/08/2026"/>
    <n v="32"/>
    <s v="No"/>
    <s v=""/>
    <m/>
    <m/>
    <s v="*MAV290901491"/>
    <s v="*MAV290901491"/>
    <n v="3.1703738818263632E-5"/>
  </r>
  <r>
    <x v="12"/>
    <s v="Pesos"/>
    <d v="2026-10-01T00:00:00"/>
    <s v="25/08/2026"/>
    <n v="0.97528400000000004"/>
    <m/>
    <n v="32000000"/>
    <n v="31209088.140000001"/>
    <n v="32000000"/>
    <n v="31209088.140000001"/>
    <n v="5311"/>
    <s v="AMOMPY"/>
    <s v="Momentum Capital Investment S.A."/>
    <s v="16/07/2026"/>
    <s v="16/07/2026"/>
    <n v="25"/>
    <s v="No"/>
    <s v=""/>
    <m/>
    <m/>
    <s v="*PRO290900004"/>
    <s v="*PRO290900004"/>
    <n v="5.1077024411943616E-4"/>
  </r>
  <r>
    <x v="10"/>
    <s v="Pesos"/>
    <d v="2026-10-01T00:00:00"/>
    <s v="25/08/2026"/>
    <n v="0.97528391999999997"/>
    <m/>
    <n v="10000000"/>
    <n v="9752839.2200000007"/>
    <n v="10000000"/>
    <n v="9752839.2200000007"/>
    <n v="188"/>
    <s v="AMOMPY"/>
    <s v="Momentum Capital Investment S.A."/>
    <s v="17/07/2026"/>
    <s v="17/07/2026"/>
    <n v="25"/>
    <s v="No"/>
    <s v=""/>
    <m/>
    <m/>
    <s v="*MIL290900039"/>
    <s v="*MIL290900039"/>
    <n v="1.596156878057704E-4"/>
  </r>
  <r>
    <x v="34"/>
    <s v="Pesos"/>
    <d v="2026-10-01T00:00:00"/>
    <s v="25/08/2026"/>
    <n v="0.97048663999999996"/>
    <m/>
    <n v="10000000"/>
    <n v="9704866.3599999994"/>
    <n v="10000000"/>
    <n v="9704866.3599999994"/>
    <n v="675"/>
    <s v="AMOMPY"/>
    <s v="Momentum Capital Investment S.A."/>
    <s v="23/06/2026"/>
    <s v="23/06/2026"/>
    <n v="30"/>
    <s v="No"/>
    <s v=""/>
    <m/>
    <m/>
    <s v="*MAV290901239"/>
    <s v="*MAV290901239"/>
    <n v="1.5883056043186603E-4"/>
  </r>
  <r>
    <x v="34"/>
    <s v="Pesos"/>
    <d v="2026-10-01T00:00:00"/>
    <s v="25/08/2026"/>
    <n v="0.97048661999999997"/>
    <m/>
    <n v="5000000"/>
    <n v="4852433.09"/>
    <n v="5000000"/>
    <n v="4852433.09"/>
    <n v="784"/>
    <s v="AMOMPY"/>
    <s v="Momentum Capital Investment S.A."/>
    <s v="14/07/2026"/>
    <s v="14/07/2026"/>
    <n v="30"/>
    <s v="No"/>
    <s v=""/>
    <m/>
    <m/>
    <s v="*MAV290901311"/>
    <s v="*MAV290901311"/>
    <n v="7.9415278742986359E-5"/>
  </r>
  <r>
    <x v="34"/>
    <s v="Pesos"/>
    <d v="2026-10-01T00:00:00"/>
    <s v="25/08/2026"/>
    <n v="0.97048674999999995"/>
    <m/>
    <n v="2500000"/>
    <n v="2426216.87"/>
    <n v="2500000"/>
    <n v="2426216.87"/>
    <n v="902"/>
    <s v="AMOMPY"/>
    <s v="Momentum Capital Investment S.A."/>
    <s v="07/08/2026"/>
    <s v="07/08/2026"/>
    <n v="30"/>
    <s v="No"/>
    <s v=""/>
    <m/>
    <m/>
    <s v="*MAV290901425"/>
    <s v="*MAV290901425"/>
    <n v="3.9707644690467214E-5"/>
  </r>
  <r>
    <x v="34"/>
    <s v="Pesos"/>
    <d v="2026-10-01T00:00:00"/>
    <s v="25/08/2026"/>
    <n v="0.97048672000000002"/>
    <m/>
    <n v="2500000"/>
    <n v="2426216.79"/>
    <n v="2500000"/>
    <n v="2426216.79"/>
    <n v="911"/>
    <s v="AMOMPY"/>
    <s v="Momentum Capital Investment S.A."/>
    <s v="10/08/2026"/>
    <s v="10/08/2026"/>
    <n v="30"/>
    <s v="No"/>
    <s v=""/>
    <m/>
    <m/>
    <s v="*MAV290901434"/>
    <s v="*MAV290901434"/>
    <n v="3.9707643381181296E-5"/>
  </r>
  <r>
    <x v="197"/>
    <s v="Pesos"/>
    <d v="2026-10-01T00:00:00"/>
    <s v="25/08/2026"/>
    <n v="0.96763085999999998"/>
    <m/>
    <n v="15000000"/>
    <n v="14514462.880000001"/>
    <n v="15000000"/>
    <n v="14514462.880000001"/>
    <n v="2338"/>
    <s v="AMOMPY"/>
    <s v="Momentum Capital Investment S.A."/>
    <s v="08/07/2026"/>
    <s v="08/07/2026"/>
    <n v="33"/>
    <s v="No"/>
    <s v=""/>
    <m/>
    <m/>
    <s v="*MAV290901291"/>
    <s v="*MAV290901291"/>
    <n v="2.3754477270286866E-4"/>
  </r>
  <r>
    <x v="197"/>
    <s v="Pesos"/>
    <d v="2026-10-01T00:00:00"/>
    <s v="25/08/2026"/>
    <n v="0.96763085999999998"/>
    <m/>
    <n v="15000000"/>
    <n v="14514462.880000001"/>
    <n v="15000000"/>
    <n v="14514462.880000001"/>
    <n v="2327"/>
    <s v="AMOMPY"/>
    <s v="Momentum Capital Investment S.A."/>
    <s v="08/07/2026"/>
    <s v="08/07/2026"/>
    <n v="33"/>
    <s v="No"/>
    <s v=""/>
    <m/>
    <m/>
    <s v="*MAV290901292"/>
    <s v="*MAV290901292"/>
    <n v="2.3754477270286866E-4"/>
  </r>
  <r>
    <x v="186"/>
    <s v="Pesos"/>
    <d v="2026-10-01T00:00:00"/>
    <s v="25/08/2026"/>
    <n v="0.97239997"/>
    <m/>
    <n v="19300000"/>
    <n v="18767319.449999999"/>
    <n v="19300000"/>
    <n v="18767319.449999999"/>
    <n v="10537630"/>
    <s v="AMOMPY"/>
    <s v="Momentum Capital Investment S.A."/>
    <s v="10/08/2026"/>
    <s v="10/08/2026"/>
    <n v="28"/>
    <s v="No"/>
    <s v=""/>
    <m/>
    <m/>
    <s v="*MAV290901445"/>
    <s v="*MAV290901445"/>
    <n v="3.0714733778645865E-4"/>
  </r>
  <r>
    <x v="195"/>
    <s v="Pesos"/>
    <d v="2026-10-01T00:00:00"/>
    <s v="25/08/2026"/>
    <n v="0.96858087999999998"/>
    <m/>
    <n v="30000000"/>
    <n v="29057426.420000002"/>
    <n v="30000000"/>
    <n v="29057426.420000002"/>
    <n v="29635891"/>
    <s v="AMOMPY"/>
    <s v="Momentum Capital Investment S.A."/>
    <s v="14/07/2026"/>
    <s v="14/07/2026"/>
    <n v="32"/>
    <s v="No"/>
    <s v=""/>
    <m/>
    <m/>
    <s v="*MAV290901307"/>
    <s v="*MAV290901307"/>
    <n v="4.7555598931465457E-4"/>
  </r>
  <r>
    <x v="191"/>
    <s v="Pesos"/>
    <d v="2026-10-01T00:00:00"/>
    <s v="25/08/2026"/>
    <n v="0.97239997"/>
    <m/>
    <n v="5225717"/>
    <n v="5081487.0599999996"/>
    <n v="5225717"/>
    <n v="5081487.0599999996"/>
    <n v="3173"/>
    <s v="AMOMPY"/>
    <s v="Momentum Capital Investment S.A."/>
    <s v="10/08/2026"/>
    <s v="10/08/2026"/>
    <n v="28"/>
    <s v="No"/>
    <s v=""/>
    <m/>
    <m/>
    <s v="*MAV290901446"/>
    <s v="*MAV290901446"/>
    <n v="8.3163992952405293E-5"/>
  </r>
  <r>
    <x v="87"/>
    <s v="Pesos"/>
    <d v="2026-10-01T00:00:00"/>
    <s v="25/08/2026"/>
    <n v="0.96290852999999998"/>
    <m/>
    <n v="298500000"/>
    <n v="287428195.25"/>
    <n v="298500000"/>
    <n v="287428195.25"/>
    <n v="70403626"/>
    <s v="AMOMPY"/>
    <s v="Momentum Capital Investment S.A."/>
    <s v="18/08/2026"/>
    <s v="18/08/2026"/>
    <n v="38"/>
    <s v="No"/>
    <s v=""/>
    <m/>
    <m/>
    <s v="*MAV290901490"/>
    <s v="*MAV290901490"/>
    <n v="4.7040710960884694E-3"/>
  </r>
  <r>
    <x v="127"/>
    <s v="Pesos"/>
    <d v="2026-10-01T00:00:00"/>
    <s v="25/08/2026"/>
    <n v="0.97239989999999998"/>
    <m/>
    <n v="62410311.859999999"/>
    <n v="60687780.740000002"/>
    <n v="62410311.859999999"/>
    <n v="60687780.740000002"/>
    <n v="40292289"/>
    <s v="AMOMPY"/>
    <s v="Momentum Capital Investment S.A."/>
    <s v="05/08/2026"/>
    <s v="05/08/2026"/>
    <n v="28"/>
    <s v="No"/>
    <s v=""/>
    <m/>
    <m/>
    <s v="*MAV290901415"/>
    <s v="*MAV290901415"/>
    <n v="9.9322070688466491E-4"/>
  </r>
  <r>
    <x v="55"/>
    <s v="Pesos"/>
    <d v="2026-10-01T00:00:00"/>
    <s v="25/08/2026"/>
    <n v="0.96763100999999996"/>
    <m/>
    <n v="12936672"/>
    <n v="12517924.970000001"/>
    <n v="12936672"/>
    <n v="12517924.970000001"/>
    <n v="99913013"/>
    <s v="AMOMPY"/>
    <s v="Momentum Capital Investment S.A."/>
    <s v="18/08/2026"/>
    <s v="18/08/2026"/>
    <n v="33"/>
    <s v="No"/>
    <s v=""/>
    <m/>
    <m/>
    <s v="*MAV290901494"/>
    <s v="*MAV290901494"/>
    <n v="2.0486928564250213E-4"/>
  </r>
  <r>
    <x v="198"/>
    <s v="Pesos"/>
    <d v="2026-10-01T00:00:00"/>
    <s v="25/08/2026"/>
    <n v="0.96858091999999996"/>
    <m/>
    <n v="1391500"/>
    <n v="1347780.35"/>
    <n v="1391500"/>
    <n v="1347780.35"/>
    <n v="90001265"/>
    <s v="AMOMPY"/>
    <s v="Momentum Capital Investment S.A."/>
    <s v="22/07/2026"/>
    <s v="22/07/2026"/>
    <n v="32"/>
    <s v="No"/>
    <s v=""/>
    <m/>
    <m/>
    <s v="*MAV290901342"/>
    <s v="*MAV290901342"/>
    <n v="2.2057872863852251E-5"/>
  </r>
  <r>
    <x v="27"/>
    <s v="Pesos"/>
    <d v="2026-10-02T00:00:00"/>
    <s v="25/08/2026"/>
    <n v="0.96971309999999999"/>
    <m/>
    <n v="100000000"/>
    <n v="96971310.25"/>
    <n v="100000000"/>
    <n v="96971310.25"/>
    <n v="90003950"/>
    <s v="AMOMPY"/>
    <s v="Momentum Capital Investment S.A."/>
    <s v="29/07/2026"/>
    <s v="29/07/2026"/>
    <n v="30"/>
    <s v="No"/>
    <s v=""/>
    <m/>
    <m/>
    <s v="*MAV300902268"/>
    <s v="*MAV300902268"/>
    <n v="1.5870396336730036E-3"/>
  </r>
  <r>
    <x v="27"/>
    <s v="Pesos"/>
    <d v="2026-10-02T00:00:00"/>
    <s v="25/08/2026"/>
    <n v="0.96971320000000005"/>
    <m/>
    <n v="100000000"/>
    <n v="96971319.75"/>
    <n v="100000000"/>
    <n v="96971319.75"/>
    <n v="90003963"/>
    <s v="AMOMPY"/>
    <s v="Momentum Capital Investment S.A."/>
    <s v="31/07/2026"/>
    <s v="31/07/2026"/>
    <n v="30"/>
    <s v="No"/>
    <s v=""/>
    <m/>
    <m/>
    <s v="*MAV300902315"/>
    <s v="*MAV300902315"/>
    <n v="1.5870397891507059E-3"/>
  </r>
  <r>
    <x v="181"/>
    <s v="Pesos"/>
    <d v="2026-10-02T00:00:00"/>
    <s v="25/08/2026"/>
    <n v="0.96484276000000002"/>
    <m/>
    <n v="6500000"/>
    <n v="6271477.96"/>
    <n v="6500000"/>
    <n v="6271477.96"/>
    <n v="40761904"/>
    <s v="AMOMPY"/>
    <s v="Momentum Capital Investment S.A."/>
    <s v="22/07/2026"/>
    <s v="22/07/2026"/>
    <n v="35"/>
    <s v="No"/>
    <s v=""/>
    <m/>
    <m/>
    <s v="*MAV300902203"/>
    <s v="*MAV300902203"/>
    <n v="1.0263947201050339E-4"/>
  </r>
  <r>
    <x v="199"/>
    <s v="Pesos"/>
    <d v="2026-10-02T00:00:00"/>
    <s v="25/08/2026"/>
    <n v="0.96678503000000005"/>
    <m/>
    <n v="3772034.12"/>
    <n v="3646746.12"/>
    <n v="3772034.12"/>
    <n v="3646746.12"/>
    <n v="638"/>
    <s v="AMOMPY"/>
    <s v="Momentum Capital Investment S.A."/>
    <s v="02/06/2026"/>
    <s v="02/06/2026"/>
    <n v="33"/>
    <s v="No"/>
    <s v=""/>
    <m/>
    <m/>
    <s v="*MAV300901921"/>
    <s v="*MAV300901921"/>
    <n v="5.9682916642690688E-5"/>
  </r>
  <r>
    <x v="48"/>
    <s v="Pesos"/>
    <d v="2026-10-02T00:00:00"/>
    <s v="25/08/2026"/>
    <n v="0.97463297000000004"/>
    <m/>
    <n v="1073337.5"/>
    <n v="1046110.12"/>
    <n v="1073337.5"/>
    <n v="1046110.12"/>
    <n v="396"/>
    <s v="AMOMPY"/>
    <s v="Momentum Capital Investment S.A."/>
    <s v="04/08/2026"/>
    <s v="04/08/2026"/>
    <n v="25"/>
    <s v="No"/>
    <s v=""/>
    <m/>
    <m/>
    <s v="*FED300900062"/>
    <s v="*FED300900062"/>
    <n v="1.7120715573980003E-5"/>
  </r>
  <r>
    <x v="67"/>
    <s v="Pesos"/>
    <d v="2026-10-02T00:00:00"/>
    <s v="25/08/2026"/>
    <n v="0.96873511999999995"/>
    <m/>
    <n v="16500000"/>
    <n v="15984129.49"/>
    <n v="16500000"/>
    <n v="15984129.49"/>
    <n v="28675"/>
    <s v="AMOMPY"/>
    <s v="Momentum Capital Investment S.A."/>
    <s v="27/04/2026"/>
    <s v="27/04/2026"/>
    <n v="31"/>
    <s v="No"/>
    <s v=""/>
    <m/>
    <m/>
    <s v="*MAV300901858"/>
    <s v="*MAV300901858"/>
    <n v="2.6159744511022995E-4"/>
  </r>
  <r>
    <x v="82"/>
    <s v="Pesos"/>
    <d v="2026-10-02T00:00:00"/>
    <s v="25/08/2026"/>
    <n v="0.96194407000000004"/>
    <m/>
    <n v="1082000000"/>
    <n v="1040823488.5"/>
    <n v="1082000000"/>
    <n v="1040823488.5"/>
    <n v="70219559"/>
    <s v="AMOMPY"/>
    <s v="Momentum Capital Investment S.A."/>
    <s v="31/07/2026"/>
    <s v="31/07/2026"/>
    <n v="38"/>
    <s v="No"/>
    <s v=""/>
    <m/>
    <m/>
    <s v="*MAV300902301"/>
    <s v="*MAV300902301"/>
    <n v="1.7034194171954044E-2"/>
  </r>
  <r>
    <x v="82"/>
    <s v="Pesos"/>
    <d v="2026-10-02T00:00:00"/>
    <s v="25/08/2026"/>
    <n v="0.96194407000000004"/>
    <m/>
    <n v="100000000"/>
    <n v="96194407.439999998"/>
    <n v="100000000"/>
    <n v="96194407.439999998"/>
    <n v="70219560"/>
    <s v="AMOMPY"/>
    <s v="Momentum Capital Investment S.A."/>
    <s v="31/07/2026"/>
    <s v="31/07/2026"/>
    <n v="38"/>
    <s v="No"/>
    <s v=""/>
    <m/>
    <m/>
    <s v="*MAV300902302"/>
    <s v="*MAV300902302"/>
    <n v="1.5743247848398463E-3"/>
  </r>
  <r>
    <x v="83"/>
    <s v="Pesos"/>
    <d v="2026-10-02T00:00:00"/>
    <s v="25/08/2026"/>
    <n v="0.96678505000000003"/>
    <m/>
    <n v="2000000"/>
    <n v="1933570.1"/>
    <n v="2000000"/>
    <n v="1933570.1"/>
    <n v="41"/>
    <s v="AMOMPY"/>
    <s v="Momentum Capital Investment S.A."/>
    <s v="13/08/2026"/>
    <s v="13/08/2026"/>
    <n v="33"/>
    <s v="No"/>
    <s v=""/>
    <m/>
    <m/>
    <s v="*MAV300902480"/>
    <s v="*MAV300902480"/>
    <n v="3.1644951226025875E-5"/>
  </r>
  <r>
    <x v="47"/>
    <s v="Pesos"/>
    <d v="2026-10-02T00:00:00"/>
    <s v="25/08/2026"/>
    <n v="0.96873520000000002"/>
    <m/>
    <n v="10000000"/>
    <n v="9687352.0199999996"/>
    <n v="10000000"/>
    <n v="9687352.0199999996"/>
    <n v="14004256"/>
    <s v="AMOMPY"/>
    <s v="Momentum Capital Investment S.A."/>
    <s v="31/07/2026"/>
    <s v="31/07/2026"/>
    <n v="31"/>
    <s v="No"/>
    <s v=""/>
    <m/>
    <m/>
    <s v="*MAV300902309"/>
    <s v="*MAV300902309"/>
    <n v="1.5854391944840438E-4"/>
  </r>
  <r>
    <x v="13"/>
    <s v="Pesos"/>
    <d v="2026-10-02T00:00:00"/>
    <s v="25/08/2026"/>
    <n v="0.97167501000000001"/>
    <m/>
    <n v="15000000"/>
    <n v="14575125.18"/>
    <n v="15000000"/>
    <n v="14575125.18"/>
    <n v="360568"/>
    <s v="AMOMPY"/>
    <s v="Momentum Capital Investment S.A."/>
    <s v="21/04/2026"/>
    <s v="21/04/2026"/>
    <n v="28"/>
    <s v="No"/>
    <s v=""/>
    <m/>
    <m/>
    <s v="*MOV300900114"/>
    <s v="*MOV300900114"/>
    <n v="2.3853757639007842E-4"/>
  </r>
  <r>
    <x v="10"/>
    <s v="Pesos"/>
    <d v="2026-10-02T00:00:00"/>
    <s v="25/08/2026"/>
    <n v="0.97364501000000003"/>
    <m/>
    <n v="10000000"/>
    <n v="9736450.0899999999"/>
    <n v="10000000"/>
    <n v="9736450.0899999999"/>
    <n v="9621091"/>
    <s v="AMOMPY"/>
    <s v="Momentum Capital Investment S.A."/>
    <s v="17/07/2026"/>
    <s v="17/07/2026"/>
    <n v="26"/>
    <s v="No"/>
    <s v=""/>
    <m/>
    <m/>
    <s v="*MIL300900039"/>
    <s v="*MIL300900039"/>
    <n v="1.5934746209236749E-4"/>
  </r>
  <r>
    <x v="10"/>
    <s v="Pesos"/>
    <d v="2026-10-02T00:00:00"/>
    <s v="25/08/2026"/>
    <n v="0.97265897999999995"/>
    <m/>
    <n v="24500000"/>
    <n v="23830144.890000001"/>
    <n v="24500000"/>
    <n v="23830144.890000001"/>
    <n v="34218"/>
    <s v="AMOMPY"/>
    <s v="Momentum Capital Investment S.A."/>
    <s v="07/07/2026"/>
    <s v="07/07/2026"/>
    <n v="27"/>
    <s v="No"/>
    <s v=""/>
    <m/>
    <m/>
    <s v="*MIL300900038"/>
    <s v="*MIL300900038"/>
    <n v="3.9000591328609174E-4"/>
  </r>
  <r>
    <x v="34"/>
    <s v="Pesos"/>
    <d v="2026-10-02T00:00:00"/>
    <s v="25/08/2026"/>
    <n v="0.96971308000000001"/>
    <m/>
    <n v="5000000"/>
    <n v="4848565.41"/>
    <n v="5000000"/>
    <n v="4848565.41"/>
    <n v="785"/>
    <s v="AMOMPY"/>
    <s v="Momentum Capital Investment S.A."/>
    <s v="14/07/2026"/>
    <s v="14/07/2026"/>
    <n v="30"/>
    <s v="No"/>
    <s v=""/>
    <m/>
    <m/>
    <s v="*MAV300902141"/>
    <s v="*MAV300902141"/>
    <n v="7.9351980006127593E-5"/>
  </r>
  <r>
    <x v="34"/>
    <s v="Pesos"/>
    <d v="2026-10-02T00:00:00"/>
    <s v="25/08/2026"/>
    <n v="0.96971320000000005"/>
    <m/>
    <n v="2500000"/>
    <n v="2424283.0099999998"/>
    <n v="2500000"/>
    <n v="2424283.0099999998"/>
    <n v="903"/>
    <s v="AMOMPY"/>
    <s v="Momentum Capital Investment S.A."/>
    <s v="07/08/2026"/>
    <s v="07/08/2026"/>
    <n v="30"/>
    <s v="No"/>
    <s v=""/>
    <m/>
    <m/>
    <s v="*MAV300902398"/>
    <s v="*MAV300902398"/>
    <n v="3.9675994994716348E-5"/>
  </r>
  <r>
    <x v="34"/>
    <s v="Pesos"/>
    <d v="2026-10-02T00:00:00"/>
    <s v="25/08/2026"/>
    <n v="0.96971317000000001"/>
    <m/>
    <n v="2500000"/>
    <n v="2424282.9300000002"/>
    <n v="2500000"/>
    <n v="2424282.9300000002"/>
    <n v="912"/>
    <s v="AMOMPY"/>
    <s v="Momentum Capital Investment S.A."/>
    <s v="10/08/2026"/>
    <s v="10/08/2026"/>
    <n v="30"/>
    <s v="No"/>
    <s v=""/>
    <m/>
    <m/>
    <s v="*MAV300902407"/>
    <s v="*MAV300902407"/>
    <n v="3.9675993685430437E-5"/>
  </r>
  <r>
    <x v="108"/>
    <s v="Pesos"/>
    <d v="2026-10-02T00:00:00"/>
    <s v="25/08/2026"/>
    <n v="0.96678498000000002"/>
    <m/>
    <n v="5000000"/>
    <n v="4833924.88"/>
    <n v="5000000"/>
    <n v="4833924.88"/>
    <n v="3041"/>
    <s v="AMOMPY"/>
    <s v="Momentum Capital Investment S.A."/>
    <s v="21/07/2026"/>
    <s v="21/07/2026"/>
    <n v="33"/>
    <s v="No"/>
    <s v=""/>
    <m/>
    <m/>
    <s v="*MAV300902190"/>
    <s v="*MAV300902190"/>
    <n v="7.9112372009617322E-5"/>
  </r>
  <r>
    <x v="34"/>
    <s v="Pesos"/>
    <d v="2026-10-02T00:00:00"/>
    <s v="25/08/2026"/>
    <n v="0.96971309999999999"/>
    <m/>
    <n v="10000000"/>
    <n v="9697130.9800000004"/>
    <n v="10000000"/>
    <n v="9697130.9800000004"/>
    <n v="571"/>
    <s v="AMOMPY"/>
    <s v="Momentum Capital Investment S.A."/>
    <s v="01/06/2026"/>
    <s v="01/06/2026"/>
    <n v="30"/>
    <s v="No"/>
    <s v=""/>
    <m/>
    <m/>
    <s v="*MAV300901898"/>
    <s v="*MAV300901898"/>
    <n v="1.5870396263082702E-4"/>
  </r>
  <r>
    <x v="186"/>
    <s v="Pesos"/>
    <d v="2026-10-02T00:00:00"/>
    <s v="25/08/2026"/>
    <n v="0.97167510000000001"/>
    <m/>
    <n v="19300000"/>
    <n v="18753329.420000002"/>
    <n v="19300000"/>
    <n v="18753329.420000002"/>
    <n v="10537629"/>
    <s v="AMOMPY"/>
    <s v="Momentum Capital Investment S.A."/>
    <s v="10/08/2026"/>
    <s v="10/08/2026"/>
    <n v="28"/>
    <s v="No"/>
    <s v=""/>
    <m/>
    <m/>
    <s v="*MAV300902428"/>
    <s v="*MAV300902428"/>
    <n v="3.0691837592104683E-4"/>
  </r>
  <r>
    <x v="70"/>
    <s v="Pesos"/>
    <d v="2026-10-02T00:00:00"/>
    <s v="25/08/2026"/>
    <n v="0.96775907999999999"/>
    <m/>
    <n v="21607710.25"/>
    <n v="20911057.879999999"/>
    <n v="21607710.25"/>
    <n v="20911057.879999999"/>
    <n v="8292025"/>
    <s v="AMOMPY"/>
    <s v="Momentum Capital Investment S.A."/>
    <s v="22/07/2026"/>
    <s v="22/07/2026"/>
    <n v="32"/>
    <s v="No"/>
    <s v=""/>
    <m/>
    <m/>
    <s v="*MAV300902204"/>
    <s v="*MAV300902204"/>
    <n v="3.4223191944124701E-4"/>
  </r>
  <r>
    <x v="195"/>
    <s v="Pesos"/>
    <d v="2026-10-02T00:00:00"/>
    <s v="25/08/2026"/>
    <n v="0.96775904999999995"/>
    <m/>
    <n v="33683512.119999997"/>
    <n v="32597523.789999999"/>
    <n v="33683512.119999997"/>
    <n v="32597523.789999999"/>
    <n v="29635893"/>
    <s v="AMOMPY"/>
    <s v="Momentum Capital Investment S.A."/>
    <s v="14/07/2026"/>
    <s v="14/07/2026"/>
    <n v="32"/>
    <s v="No"/>
    <s v=""/>
    <m/>
    <m/>
    <s v="*MAV300902138"/>
    <s v="*MAV300902138"/>
    <n v="5.3349348462916754E-4"/>
  </r>
  <r>
    <x v="101"/>
    <s v="Pesos"/>
    <d v="2026-10-02T00:00:00"/>
    <s v="25/08/2026"/>
    <n v="0.96971320000000005"/>
    <m/>
    <n v="1500000"/>
    <n v="1454569.8"/>
    <n v="1500000"/>
    <n v="1454569.8"/>
    <n v="1972"/>
    <s v="AMOMPY"/>
    <s v="Momentum Capital Investment S.A."/>
    <s v="24/07/2026"/>
    <s v="24/07/2026"/>
    <n v="30"/>
    <s v="No"/>
    <s v=""/>
    <m/>
    <m/>
    <s v="*MAV300902232"/>
    <s v="*MAV300902232"/>
    <n v="2.3805596898633368E-5"/>
  </r>
  <r>
    <x v="200"/>
    <s v="Pesos"/>
    <d v="2026-10-02T00:00:00"/>
    <s v="25/08/2026"/>
    <n v="0.96678511"/>
    <m/>
    <n v="11504835.23"/>
    <n v="11122703.42"/>
    <n v="11504835.23"/>
    <n v="11122703.42"/>
    <n v="10061748"/>
    <s v="AMOMPY"/>
    <s v="Momentum Capital Investment S.A."/>
    <s v="24/07/2026"/>
    <s v="24/07/2026"/>
    <n v="33"/>
    <s v="No"/>
    <s v=""/>
    <m/>
    <m/>
    <s v="*MAV300902234"/>
    <s v="*MAV300902234"/>
    <n v="1.8203498659161681E-4"/>
  </r>
  <r>
    <x v="201"/>
    <s v="Pesos"/>
    <d v="2026-10-02T00:00:00"/>
    <s v="25/08/2026"/>
    <n v="0.96678511"/>
    <m/>
    <n v="2113037.46"/>
    <n v="2042853.15"/>
    <n v="2113037.46"/>
    <n v="2042853.15"/>
    <n v="10226062"/>
    <s v="AMOMPY"/>
    <s v="Momentum Capital Investment S.A."/>
    <s v="24/07/2026"/>
    <s v="24/07/2026"/>
    <n v="33"/>
    <s v="No"/>
    <s v=""/>
    <m/>
    <m/>
    <s v="*MAV300902235"/>
    <s v="*MAV300902235"/>
    <n v="3.3433485702785388E-5"/>
  </r>
  <r>
    <x v="85"/>
    <s v="Pesos"/>
    <d v="2026-10-02T00:00:00"/>
    <s v="25/08/2026"/>
    <n v="0.96971322000000004"/>
    <m/>
    <n v="4957748.6399999997"/>
    <n v="4807594.42"/>
    <n v="4957748.6399999997"/>
    <n v="4807594.42"/>
    <n v="68735170"/>
    <s v="AMOMPY"/>
    <s v="Momentum Capital Investment S.A."/>
    <s v="04/08/2026"/>
    <s v="04/08/2026"/>
    <n v="30"/>
    <s v="No"/>
    <s v=""/>
    <m/>
    <m/>
    <s v="*MAV300902342"/>
    <s v="*MAV300902342"/>
    <n v="7.868144575436605E-5"/>
  </r>
  <r>
    <x v="202"/>
    <s v="Pesos"/>
    <d v="2026-10-02T00:00:00"/>
    <s v="25/08/2026"/>
    <n v="0.97167510000000001"/>
    <m/>
    <n v="5437493"/>
    <n v="5283476.55"/>
    <n v="5437493"/>
    <n v="5283476.55"/>
    <n v="68347513"/>
    <s v="AMOMPY"/>
    <s v="Momentum Capital Investment S.A."/>
    <s v="10/08/2026"/>
    <s v="10/08/2026"/>
    <n v="28"/>
    <s v="No"/>
    <s v=""/>
    <m/>
    <m/>
    <s v="*MAV300902427"/>
    <s v="*MAV300902427"/>
    <n v="8.6469767880979046E-5"/>
  </r>
  <r>
    <x v="29"/>
    <s v="Pesos"/>
    <d v="2026-10-02T00:00:00"/>
    <s v="25/08/2026"/>
    <n v="0.96678503000000005"/>
    <m/>
    <n v="21387500"/>
    <n v="20677114.890000001"/>
    <n v="21387500"/>
    <n v="20677114.890000001"/>
    <n v="3233105"/>
    <s v="AMOMPY"/>
    <s v="Momentum Capital Investment S.A."/>
    <s v="20/04/2026"/>
    <s v="20/04/2026"/>
    <n v="33"/>
    <s v="No"/>
    <s v=""/>
    <m/>
    <m/>
    <s v="*NEU300900058"/>
    <s v="*NEU300900058"/>
    <n v="3.3840319116901078E-4"/>
  </r>
  <r>
    <x v="29"/>
    <s v="Pesos"/>
    <d v="2026-10-02T00:00:00"/>
    <s v="25/08/2026"/>
    <n v="0.97069311000000003"/>
    <m/>
    <n v="10000000"/>
    <n v="9706931.1099999994"/>
    <n v="10000000"/>
    <n v="9706931.1099999994"/>
    <n v="3487825"/>
    <s v="AMOMPY"/>
    <s v="Momentum Capital Investment S.A."/>
    <s v="05/05/2026"/>
    <s v="05/05/2026"/>
    <n v="29"/>
    <s v="No"/>
    <s v=""/>
    <m/>
    <m/>
    <s v="*NEU300900061"/>
    <s v="*NEU300900061"/>
    <n v="1.5886435228303498E-4"/>
  </r>
  <r>
    <x v="29"/>
    <s v="Pesos"/>
    <d v="2026-10-02T00:00:00"/>
    <s v="25/08/2026"/>
    <n v="0.97364494000000001"/>
    <m/>
    <n v="9000000"/>
    <n v="8762804.4199999999"/>
    <n v="9000000"/>
    <n v="8762804.4199999999"/>
    <n v="3487870"/>
    <s v="AMOMPY"/>
    <s v="Momentum Capital Investment S.A."/>
    <s v="29/05/2026"/>
    <s v="29/05/2026"/>
    <n v="26"/>
    <s v="No"/>
    <s v=""/>
    <m/>
    <m/>
    <s v="*NEU300900063"/>
    <s v="*NEU300900063"/>
    <n v="1.4341270506515585E-4"/>
  </r>
  <r>
    <x v="29"/>
    <s v="Pesos"/>
    <d v="2026-10-02T00:00:00"/>
    <s v="25/08/2026"/>
    <n v="0.97364494000000001"/>
    <m/>
    <n v="9000000"/>
    <n v="8762804.4199999999"/>
    <n v="9000000"/>
    <n v="8762804.4199999999"/>
    <n v="3385280"/>
    <s v="AMOMPY"/>
    <s v="Momentum Capital Investment S.A."/>
    <s v="29/05/2026"/>
    <s v="29/05/2026"/>
    <n v="26"/>
    <s v="No"/>
    <s v=""/>
    <m/>
    <m/>
    <s v="*NEU300900064"/>
    <s v="*NEU300900064"/>
    <n v="1.4341270506515585E-4"/>
  </r>
  <r>
    <x v="152"/>
    <s v="Pesos"/>
    <d v="2026-10-02T00:00:00"/>
    <s v="25/08/2026"/>
    <n v="0.96775917"/>
    <m/>
    <n v="200000000"/>
    <n v="193551834.96000001"/>
    <n v="200000000"/>
    <n v="193551834.96000001"/>
    <n v="9779580"/>
    <s v="AMOMPY"/>
    <s v="Momentum Capital Investment S.A."/>
    <s v="21/08/2026"/>
    <s v="21/08/2026"/>
    <n v="32"/>
    <s v="No"/>
    <s v=""/>
    <m/>
    <m/>
    <s v="*MAV300902570"/>
    <s v="*MAV300902570"/>
    <n v="3.1676836423034311E-3"/>
  </r>
  <r>
    <x v="152"/>
    <s v="Pesos"/>
    <d v="2026-10-02T00:00:00"/>
    <s v="25/08/2026"/>
    <n v="0.96971317000000001"/>
    <m/>
    <n v="100000000"/>
    <n v="96971317.400000006"/>
    <n v="100000000"/>
    <n v="96971317.400000006"/>
    <n v="9779575"/>
    <s v="AMOMPY"/>
    <s v="Momentum Capital Investment S.A."/>
    <s v="27/07/2026"/>
    <s v="27/07/2026"/>
    <n v="30"/>
    <s v="No"/>
    <s v=""/>
    <m/>
    <m/>
    <s v="*MAV300902241"/>
    <s v="*MAV300902241"/>
    <n v="1.5870397506904323E-3"/>
  </r>
  <r>
    <x v="152"/>
    <s v="Pesos"/>
    <d v="2026-10-02T00:00:00"/>
    <s v="25/08/2026"/>
    <n v="0.96971317000000001"/>
    <m/>
    <n v="100000000"/>
    <n v="96971317.400000006"/>
    <n v="100000000"/>
    <n v="96971317.400000006"/>
    <n v="9779576"/>
    <s v="AMOMPY"/>
    <s v="Momentum Capital Investment S.A."/>
    <s v="27/07/2026"/>
    <s v="27/07/2026"/>
    <n v="30"/>
    <s v="No"/>
    <s v=""/>
    <m/>
    <m/>
    <s v="*MAV300902242"/>
    <s v="*MAV300902242"/>
    <n v="1.5870397506904323E-3"/>
  </r>
  <r>
    <x v="152"/>
    <s v="Pesos"/>
    <d v="2026-10-02T00:00:00"/>
    <s v="25/08/2026"/>
    <n v="0.96971317000000001"/>
    <m/>
    <n v="100000000"/>
    <n v="96971317.400000006"/>
    <n v="100000000"/>
    <n v="96971317.400000006"/>
    <n v="9779578"/>
    <s v="AMOMPY"/>
    <s v="Momentum Capital Investment S.A."/>
    <s v="27/07/2026"/>
    <s v="27/07/2026"/>
    <n v="30"/>
    <s v="No"/>
    <s v=""/>
    <m/>
    <m/>
    <s v="*MAV300902243"/>
    <s v="*MAV300902243"/>
    <n v="1.5870397506904323E-3"/>
  </r>
  <r>
    <x v="152"/>
    <s v="Pesos"/>
    <d v="2026-10-02T00:00:00"/>
    <s v="25/08/2026"/>
    <n v="0.96971317000000001"/>
    <m/>
    <n v="100000000"/>
    <n v="96971317.400000006"/>
    <n v="100000000"/>
    <n v="96971317.400000006"/>
    <n v="9779577"/>
    <s v="AMOMPY"/>
    <s v="Momentum Capital Investment S.A."/>
    <s v="27/07/2026"/>
    <s v="27/07/2026"/>
    <n v="30"/>
    <s v="No"/>
    <s v=""/>
    <m/>
    <m/>
    <s v="*MAV300902245"/>
    <s v="*MAV300902245"/>
    <n v="1.5870397506904323E-3"/>
  </r>
  <r>
    <x v="152"/>
    <s v="Pesos"/>
    <d v="2026-10-02T00:00:00"/>
    <s v="25/08/2026"/>
    <n v="0.96971317000000001"/>
    <m/>
    <n v="100000000"/>
    <n v="96971317.400000006"/>
    <n v="100000000"/>
    <n v="96971317.400000006"/>
    <n v="9779579"/>
    <s v="AMOMPY"/>
    <s v="Momentum Capital Investment S.A."/>
    <s v="27/07/2026"/>
    <s v="27/07/2026"/>
    <n v="30"/>
    <s v="No"/>
    <s v=""/>
    <m/>
    <m/>
    <s v="*MAV300902246"/>
    <s v="*MAV300902246"/>
    <n v="1.5870397506904323E-3"/>
  </r>
  <r>
    <x v="152"/>
    <s v="Pesos"/>
    <d v="2026-10-02T00:00:00"/>
    <s v="25/08/2026"/>
    <n v="0.96971311000000004"/>
    <m/>
    <n v="100000000"/>
    <n v="96971311.230000004"/>
    <n v="100000000"/>
    <n v="96971311.230000004"/>
    <n v="6676"/>
    <s v="AMOMPY"/>
    <s v="Momentum Capital Investment S.A."/>
    <s v="16/06/2026"/>
    <s v="16/06/2026"/>
    <n v="30"/>
    <s v="No"/>
    <s v=""/>
    <m/>
    <m/>
    <s v="*MAV300901974"/>
    <s v="*MAV300901974"/>
    <n v="1.5870396497117559E-3"/>
  </r>
  <r>
    <x v="87"/>
    <s v="Pesos"/>
    <d v="2026-10-02T00:00:00"/>
    <s v="25/08/2026"/>
    <n v="0.96484283000000004"/>
    <m/>
    <n v="250000000"/>
    <n v="241210707.44999999"/>
    <n v="250000000"/>
    <n v="241210707.44999999"/>
    <n v="70400474"/>
    <s v="AMOMPY"/>
    <s v="Momentum Capital Investment S.A."/>
    <s v="10/08/2026"/>
    <s v="10/08/2026"/>
    <n v="35"/>
    <s v="No"/>
    <s v=""/>
    <m/>
    <m/>
    <s v="*MAV300902422"/>
    <s v="*MAV300902422"/>
    <n v="3.9476722734026791E-3"/>
  </r>
  <r>
    <x v="27"/>
    <s v="Pesos"/>
    <d v="2026-10-05T00:00:00"/>
    <s v="25/08/2026"/>
    <n v="0.96740000999999998"/>
    <m/>
    <n v="100000000"/>
    <n v="96740001.010000005"/>
    <n v="100000000"/>
    <n v="96740001.010000005"/>
    <n v="90003951"/>
    <s v="AMOMPY"/>
    <s v="Momentum Capital Investment S.A."/>
    <s v="29/07/2026"/>
    <s v="29/07/2026"/>
    <n v="30"/>
    <s v="No"/>
    <s v=""/>
    <m/>
    <m/>
    <s v="*MAV011001168"/>
    <s v="*MAV011001168"/>
    <n v="1.5832540095480085E-3"/>
  </r>
  <r>
    <x v="203"/>
    <s v="Pesos"/>
    <d v="2026-10-05T00:00:00"/>
    <s v="25/08/2026"/>
    <n v="0.95906248999999999"/>
    <m/>
    <n v="6500236.5700000003"/>
    <n v="6234133.0700000003"/>
    <n v="6500236.5700000003"/>
    <n v="6234133.0700000003"/>
    <n v="90000580"/>
    <s v="AMOMPY"/>
    <s v="Momentum Capital Investment S.A."/>
    <s v="24/04/2026"/>
    <s v="24/04/2026"/>
    <n v="38"/>
    <s v="No"/>
    <s v=""/>
    <m/>
    <m/>
    <s v="*MAV011001000"/>
    <s v="*MAV011001000"/>
    <n v="1.0202828277945803E-4"/>
  </r>
  <r>
    <x v="97"/>
    <s v="Dolar 3500"/>
    <d v="2026-10-05T00:00:00"/>
    <s v="25/08/2026"/>
    <n v="0.99109373000000001"/>
    <s v="1 US3 = 1511,5325398191 $"/>
    <n v="188100"/>
    <n v="186424.73"/>
    <n v="284319270.74000001"/>
    <n v="281787045.62"/>
    <n v="160721"/>
    <s v="AMOMPY"/>
    <s v="Momentum Capital Investment S.A."/>
    <s v="12/08/2026"/>
    <s v="12/08/2026"/>
    <n v="8"/>
    <s v="No"/>
    <s v=""/>
    <m/>
    <m/>
    <s v="#UMV011060030"/>
    <s v="#UMV011060030"/>
    <n v="4.6117476241336313E-3"/>
  </r>
  <r>
    <x v="97"/>
    <s v="Dolar 3500"/>
    <d v="2026-10-05T00:00:00"/>
    <s v="25/08/2026"/>
    <n v="0.99219840000000004"/>
    <s v="1 US3 = 1511,5325398191 $"/>
    <n v="50000"/>
    <n v="49609.919999999998"/>
    <n v="75576626.989999995"/>
    <n v="74987008.379999995"/>
    <n v="150093"/>
    <s v="AMOMPY"/>
    <s v="Momentum Capital Investment S.A."/>
    <s v="15/05/2026"/>
    <s v="15/05/2026"/>
    <n v="7"/>
    <s v="No"/>
    <s v=""/>
    <m/>
    <m/>
    <s v="#UMV011060013"/>
    <s v="#UMV011060013"/>
    <n v="1.2272429237350604E-3"/>
  </r>
  <r>
    <x v="97"/>
    <s v="Dolar 3500"/>
    <d v="2026-10-05T00:00:00"/>
    <s v="25/08/2026"/>
    <n v="0.98999199999999998"/>
    <s v="1 US3 = 1511,5325398191 $"/>
    <n v="25000"/>
    <n v="24749.8"/>
    <n v="37788313.5"/>
    <n v="37410128.049999997"/>
    <n v="150614"/>
    <s v="AMOMPY"/>
    <s v="Momentum Capital Investment S.A."/>
    <s v="19/05/2026"/>
    <s v="19/05/2026"/>
    <n v="9"/>
    <s v="No"/>
    <s v=""/>
    <m/>
    <m/>
    <s v="#UMV011060014"/>
    <s v="#UMV011060014"/>
    <n v="6.1225692179540437E-4"/>
  </r>
  <r>
    <x v="34"/>
    <s v="Pesos"/>
    <d v="2026-10-05T00:00:00"/>
    <s v="25/08/2026"/>
    <n v="0.96530225000000003"/>
    <m/>
    <n v="3000000"/>
    <n v="2895906.75"/>
    <n v="3000000"/>
    <n v="2895906.75"/>
    <n v="1034"/>
    <s v="AMOMPY"/>
    <s v="Momentum Capital Investment S.A."/>
    <s v="25/08/2026"/>
    <s v="25/08/2026"/>
    <n v="32"/>
    <s v="No"/>
    <s v=""/>
    <m/>
    <m/>
    <s v="*MAV011001354"/>
    <s v="*MAV011001354"/>
    <n v="4.7394623995721231E-5"/>
  </r>
  <r>
    <x v="204"/>
    <s v="Pesos"/>
    <d v="2026-10-05T00:00:00"/>
    <s v="25/08/2026"/>
    <n v="0.95700054000000001"/>
    <m/>
    <n v="7203888"/>
    <n v="6894124.7000000002"/>
    <n v="7203888"/>
    <n v="6894124.7000000002"/>
    <n v="66329827"/>
    <s v="AMOMPY"/>
    <s v="Momentum Capital Investment S.A."/>
    <s v="17/04/2026"/>
    <s v="17/04/2026"/>
    <n v="40"/>
    <s v="No"/>
    <s v=""/>
    <m/>
    <m/>
    <s v="*MAV011000998"/>
    <s v="*MAV011000998"/>
    <n v="1.1282975459624673E-4"/>
  </r>
  <r>
    <x v="10"/>
    <s v="Pesos"/>
    <d v="2026-10-05T00:00:00"/>
    <s v="25/08/2026"/>
    <n v="0.97268498999999997"/>
    <m/>
    <n v="8650000"/>
    <n v="8413725.1699999999"/>
    <n v="8650000"/>
    <n v="8413725.1699999999"/>
    <n v="34383"/>
    <s v="AMOMPY"/>
    <s v="Momentum Capital Investment S.A."/>
    <s v="20/07/2026"/>
    <s v="20/07/2026"/>
    <n v="25"/>
    <s v="No"/>
    <s v=""/>
    <m/>
    <m/>
    <s v="*MIL011000030"/>
    <s v="*MIL011000030"/>
    <n v="1.3769964824850996E-4"/>
  </r>
  <r>
    <x v="34"/>
    <s v="Pesos"/>
    <d v="2026-10-05T00:00:00"/>
    <s v="25/08/2026"/>
    <n v="0.96739998000000005"/>
    <m/>
    <n v="5000000"/>
    <n v="4836999.9000000004"/>
    <n v="5000000"/>
    <n v="4836999.9000000004"/>
    <n v="788"/>
    <s v="AMOMPY"/>
    <s v="Momentum Capital Investment S.A."/>
    <s v="14/07/2026"/>
    <s v="14/07/2026"/>
    <n v="30"/>
    <s v="No"/>
    <s v=""/>
    <m/>
    <m/>
    <s v="*MAV011001109"/>
    <s v="*MAV011001109"/>
    <n v="7.9162698014306293E-5"/>
  </r>
  <r>
    <x v="34"/>
    <s v="Pesos"/>
    <d v="2026-10-05T00:00:00"/>
    <s v="25/08/2026"/>
    <n v="0.96740013999999996"/>
    <m/>
    <n v="3300000"/>
    <n v="3192420.47"/>
    <n v="3300000"/>
    <n v="3192420.47"/>
    <n v="922"/>
    <s v="AMOMPY"/>
    <s v="Momentum Capital Investment S.A."/>
    <s v="11/08/2026"/>
    <s v="11/08/2026"/>
    <n v="30"/>
    <s v="No"/>
    <s v=""/>
    <m/>
    <m/>
    <s v="*MAV011001284"/>
    <s v="*MAV011001284"/>
    <n v="5.2247389461657785E-5"/>
  </r>
  <r>
    <x v="34"/>
    <s v="Pesos"/>
    <d v="2026-10-05T00:00:00"/>
    <s v="25/08/2026"/>
    <n v="0.96740011000000004"/>
    <m/>
    <n v="2500000"/>
    <n v="2418500.2799999998"/>
    <n v="2500000"/>
    <n v="2418500.2799999998"/>
    <n v="904"/>
    <s v="AMOMPY"/>
    <s v="Momentum Capital Investment S.A."/>
    <s v="07/08/2026"/>
    <s v="07/08/2026"/>
    <n v="30"/>
    <s v="No"/>
    <s v=""/>
    <m/>
    <m/>
    <s v="*MAV011001237"/>
    <s v="*MAV011001237"/>
    <n v="3.9581354407957543E-5"/>
  </r>
  <r>
    <x v="205"/>
    <s v="Pesos"/>
    <d v="2026-10-05T00:00:00"/>
    <s v="25/08/2026"/>
    <n v="0.96950714000000004"/>
    <m/>
    <n v="7523782.9100000001"/>
    <n v="7294361.2400000002"/>
    <n v="7523782.9100000001"/>
    <n v="7294361.2400000002"/>
    <n v="3215694"/>
    <s v="AMOMPY"/>
    <s v="Momentum Capital Investment S.A."/>
    <s v="10/08/2026"/>
    <s v="10/08/2026"/>
    <n v="28"/>
    <s v="No"/>
    <s v=""/>
    <m/>
    <m/>
    <s v="*MAV011001274"/>
    <s v="*MAV011001274"/>
    <n v="1.1938005540363579E-4"/>
  </r>
  <r>
    <x v="206"/>
    <s v="Pesos"/>
    <d v="2026-10-05T00:00:00"/>
    <s v="25/08/2026"/>
    <n v="0.96530218000000001"/>
    <m/>
    <n v="1016376"/>
    <n v="981109.97"/>
    <n v="1016376"/>
    <n v="981109.97"/>
    <n v="68280012"/>
    <s v="AMOMPY"/>
    <s v="Momentum Capital Investment S.A."/>
    <s v="31/07/2026"/>
    <s v="31/07/2026"/>
    <n v="32"/>
    <s v="No"/>
    <s v=""/>
    <m/>
    <m/>
    <s v="*MAV011001179"/>
    <s v="*MAV011001179"/>
    <n v="1.60569183129268E-5"/>
  </r>
  <r>
    <x v="155"/>
    <s v="Pesos"/>
    <d v="2026-10-05T00:00:00"/>
    <s v="25/08/2026"/>
    <n v="0.96530225000000003"/>
    <m/>
    <n v="6000000"/>
    <n v="5791813.5"/>
    <n v="6000000"/>
    <n v="5791813.5"/>
    <n v="90001649"/>
    <s v="AMOMPY"/>
    <s v="Momentum Capital Investment S.A."/>
    <s v="25/08/2026"/>
    <s v="25/08/2026"/>
    <n v="32"/>
    <s v="No"/>
    <s v=""/>
    <m/>
    <m/>
    <s v="*MAV011001363"/>
    <s v="*MAV011001363"/>
    <n v="9.4789247991442462E-5"/>
  </r>
  <r>
    <x v="191"/>
    <s v="Pesos"/>
    <d v="2026-10-05T00:00:00"/>
    <s v="25/08/2026"/>
    <n v="0.96530225000000003"/>
    <m/>
    <n v="5444206"/>
    <n v="5255304.3"/>
    <n v="5444206"/>
    <n v="5255304.3"/>
    <n v="3438"/>
    <s v="AMOMPY"/>
    <s v="Momentum Capital Investment S.A."/>
    <s v="25/08/2026"/>
    <s v="25/08/2026"/>
    <n v="32"/>
    <s v="No"/>
    <s v=""/>
    <m/>
    <m/>
    <s v="*MAV011001362"/>
    <s v="*MAV011001362"/>
    <n v="8.6008698754404633E-5"/>
  </r>
  <r>
    <x v="130"/>
    <s v="Pesos"/>
    <d v="2026-10-06T00:00:00"/>
    <s v="25/08/2026"/>
    <n v="0.96022319"/>
    <m/>
    <n v="100000000"/>
    <n v="96022318.930000007"/>
    <n v="100000000"/>
    <n v="96022318.930000007"/>
    <n v="8439"/>
    <s v="AMOMPY"/>
    <s v="Momentum Capital Investment S.A."/>
    <s v="02/07/2026"/>
    <s v="02/07/2026"/>
    <n v="36"/>
    <s v="No"/>
    <s v=""/>
    <m/>
    <m/>
    <s v="*MAV021000989"/>
    <s v="*MAV021000989"/>
    <n v="1.5715083715608506E-3"/>
  </r>
  <r>
    <x v="27"/>
    <s v="Pesos"/>
    <d v="2026-10-06T00:00:00"/>
    <s v="25/08/2026"/>
    <n v="0.96663136999999999"/>
    <m/>
    <n v="100000000"/>
    <n v="96663137.209999993"/>
    <n v="100000000"/>
    <n v="96663137.209999993"/>
    <n v="90003952"/>
    <s v="AMOMPY"/>
    <s v="Momentum Capital Investment S.A."/>
    <s v="29/07/2026"/>
    <s v="29/07/2026"/>
    <n v="30"/>
    <s v="No"/>
    <s v=""/>
    <m/>
    <m/>
    <s v="*MAV021001096"/>
    <s v="*MAV021001096"/>
    <n v="1.5819960509138491E-3"/>
  </r>
  <r>
    <x v="131"/>
    <s v="Pesos"/>
    <d v="2026-10-06T00:00:00"/>
    <s v="25/08/2026"/>
    <n v="0.97530996999999997"/>
    <m/>
    <n v="13000000"/>
    <n v="12679029.67"/>
    <n v="13000000"/>
    <n v="12679029.67"/>
    <n v="34113"/>
    <s v="AMOMPY"/>
    <s v="Momentum Capital Investment S.A."/>
    <s v="30/06/2026"/>
    <s v="30/06/2026"/>
    <n v="22"/>
    <s v="No"/>
    <s v=""/>
    <m/>
    <m/>
    <s v="*MAV021000966"/>
    <s v="*MAV021000966"/>
    <n v="2.0750593707488801E-4"/>
  </r>
  <r>
    <x v="181"/>
    <s v="Pesos"/>
    <d v="2026-10-06T00:00:00"/>
    <s v="25/08/2026"/>
    <n v="0.96128533000000005"/>
    <m/>
    <n v="6000000"/>
    <n v="5767712"/>
    <n v="6000000"/>
    <n v="5767712"/>
    <n v="40761920"/>
    <s v="AMOMPY"/>
    <s v="Momentum Capital Investment S.A."/>
    <s v="20/07/2026"/>
    <s v="20/07/2026"/>
    <n v="35"/>
    <s v="No"/>
    <s v=""/>
    <m/>
    <m/>
    <s v="*MAV021001042"/>
    <s v="*MAV021001042"/>
    <n v="9.4394801060361928E-5"/>
  </r>
  <r>
    <x v="181"/>
    <s v="Pesos"/>
    <d v="2026-10-06T00:00:00"/>
    <s v="25/08/2026"/>
    <n v="0.96128533000000005"/>
    <m/>
    <n v="4765832.3099999996"/>
    <n v="4581324.67"/>
    <n v="4765832.3099999996"/>
    <n v="4581324.67"/>
    <n v="40768614"/>
    <s v="AMOMPY"/>
    <s v="Momentum Capital Investment S.A."/>
    <s v="03/08/2026"/>
    <s v="03/08/2026"/>
    <n v="35"/>
    <s v="No"/>
    <s v=""/>
    <m/>
    <m/>
    <s v="*MAV021001114"/>
    <s v="*MAV021001114"/>
    <n v="7.4978298295334139E-5"/>
  </r>
  <r>
    <x v="8"/>
    <s v="Pesos"/>
    <d v="2026-10-06T00:00:00"/>
    <s v="25/08/2026"/>
    <n v="0.97312584999999996"/>
    <m/>
    <n v="5000000"/>
    <n v="4865629.2300000004"/>
    <n v="5000000"/>
    <n v="4865629.2300000004"/>
    <n v="16831529"/>
    <s v="AMOMPY"/>
    <s v="Momentum Capital Investment S.A."/>
    <s v="21/07/2026"/>
    <s v="21/07/2026"/>
    <n v="24"/>
    <s v="No"/>
    <s v=""/>
    <m/>
    <m/>
    <s v="*INP021000033"/>
    <s v="*INP021000033"/>
    <n v="7.9631247745957508E-5"/>
  </r>
  <r>
    <x v="82"/>
    <s v="Pesos"/>
    <d v="2026-10-06T00:00:00"/>
    <s v="25/08/2026"/>
    <n v="0.95810594000000004"/>
    <m/>
    <n v="20000000"/>
    <n v="19162118.890000001"/>
    <n v="20000000"/>
    <n v="19162118.890000001"/>
    <n v="70219564"/>
    <s v="AMOMPY"/>
    <s v="Momentum Capital Investment S.A."/>
    <s v="03/08/2026"/>
    <s v="03/08/2026"/>
    <n v="38"/>
    <s v="No"/>
    <s v=""/>
    <m/>
    <m/>
    <s v="*MAV021001116"/>
    <s v="*MAV021001116"/>
    <n v="3.1360865461322506E-4"/>
  </r>
  <r>
    <x v="82"/>
    <s v="Pesos"/>
    <d v="2026-10-06T00:00:00"/>
    <s v="25/08/2026"/>
    <n v="0.95810594000000004"/>
    <m/>
    <n v="20000000"/>
    <n v="19162118.890000001"/>
    <n v="20000000"/>
    <n v="19162118.890000001"/>
    <n v="70219565"/>
    <s v="AMOMPY"/>
    <s v="Momentum Capital Investment S.A."/>
    <s v="03/08/2026"/>
    <s v="03/08/2026"/>
    <n v="38"/>
    <s v="No"/>
    <s v=""/>
    <m/>
    <m/>
    <s v="*MAV021001117"/>
    <s v="*MAV021001117"/>
    <n v="3.1360865461322506E-4"/>
  </r>
  <r>
    <x v="12"/>
    <s v="Pesos"/>
    <d v="2026-10-06T00:00:00"/>
    <s v="25/08/2026"/>
    <n v="0.97312582000000003"/>
    <m/>
    <n v="2500000"/>
    <n v="2432814.56"/>
    <n v="2500000"/>
    <n v="2432814.56"/>
    <n v="16821015"/>
    <s v="AMOMPY"/>
    <s v="Momentum Capital Investment S.A."/>
    <s v="17/07/2026"/>
    <s v="17/07/2026"/>
    <n v="24"/>
    <s v="No"/>
    <s v=""/>
    <m/>
    <m/>
    <s v="*PRO021000009"/>
    <s v="*PRO021000009"/>
    <n v="3.9815622972844681E-5"/>
  </r>
  <r>
    <x v="13"/>
    <s v="Pesos"/>
    <d v="2026-10-06T00:00:00"/>
    <s v="25/08/2026"/>
    <n v="0.96878651999999998"/>
    <m/>
    <n v="2500000"/>
    <n v="2421966.31"/>
    <n v="2500000"/>
    <n v="2421966.31"/>
    <n v="90031811"/>
    <s v="AMOMPY"/>
    <s v="Momentum Capital Investment S.A."/>
    <s v="22/04/2026"/>
    <s v="22/04/2026"/>
    <n v="28"/>
    <s v="No"/>
    <s v=""/>
    <m/>
    <m/>
    <s v="*MOV021000044"/>
    <s v="*MOV021000044"/>
    <n v="3.963807971121805E-5"/>
  </r>
  <r>
    <x v="13"/>
    <s v="Pesos"/>
    <d v="2026-10-06T00:00:00"/>
    <s v="25/08/2026"/>
    <n v="0.96878655999999996"/>
    <m/>
    <n v="25000000"/>
    <n v="24219663.98"/>
    <n v="25000000"/>
    <n v="24219663.98"/>
    <n v="360569"/>
    <s v="AMOMPY"/>
    <s v="Momentum Capital Investment S.A."/>
    <s v="21/04/2026"/>
    <s v="21/04/2026"/>
    <n v="28"/>
    <s v="No"/>
    <s v=""/>
    <m/>
    <m/>
    <s v="*MOV021000043"/>
    <s v="*MOV021000043"/>
    <n v="3.9638081151432557E-4"/>
  </r>
  <r>
    <x v="10"/>
    <s v="Pesos"/>
    <d v="2026-10-06T00:00:00"/>
    <s v="25/08/2026"/>
    <n v="0.97203737999999995"/>
    <m/>
    <n v="25000000"/>
    <n v="24300934.57"/>
    <n v="25000000"/>
    <n v="24300934.57"/>
    <n v="68393694"/>
    <s v="AMOMPY"/>
    <s v="Momentum Capital Investment S.A."/>
    <s v="17/07/2026"/>
    <s v="17/07/2026"/>
    <n v="25"/>
    <s v="No"/>
    <s v=""/>
    <m/>
    <m/>
    <s v="*MIL021000029"/>
    <s v="*MIL021000029"/>
    <n v="3.9771089199946568E-4"/>
  </r>
  <r>
    <x v="10"/>
    <s v="Pesos"/>
    <d v="2026-10-06T00:00:00"/>
    <s v="25/08/2026"/>
    <n v="0.96986768000000001"/>
    <m/>
    <n v="10000000"/>
    <n v="9698676.8000000007"/>
    <n v="10000000"/>
    <n v="9698676.8000000007"/>
    <n v="2009"/>
    <s v="AMOMPY"/>
    <s v="Momentum Capital Investment S.A."/>
    <s v="07/07/2026"/>
    <s v="07/07/2026"/>
    <n v="27"/>
    <s v="No"/>
    <s v=""/>
    <m/>
    <m/>
    <s v="*MIL021000028"/>
    <s v="*MIL021000028"/>
    <n v="1.5872926163524597E-4"/>
  </r>
  <r>
    <x v="108"/>
    <s v="Pesos"/>
    <d v="2026-10-06T00:00:00"/>
    <s v="25/08/2026"/>
    <n v="0.96341672"/>
    <m/>
    <n v="5000000"/>
    <n v="4817083.5999999996"/>
    <n v="5000000"/>
    <n v="4817083.5999999996"/>
    <n v="3040"/>
    <s v="AMOMPY"/>
    <s v="Momentum Capital Investment S.A."/>
    <s v="21/07/2026"/>
    <s v="21/07/2026"/>
    <n v="33"/>
    <s v="No"/>
    <s v=""/>
    <m/>
    <m/>
    <s v="*MAV021001048"/>
    <s v="*MAV021001048"/>
    <n v="7.8836746375882162E-5"/>
  </r>
  <r>
    <x v="34"/>
    <s v="Pesos"/>
    <d v="2026-10-06T00:00:00"/>
    <s v="25/08/2026"/>
    <n v="0.96448593000000005"/>
    <m/>
    <n v="3000000"/>
    <n v="2893457.79"/>
    <n v="3000000"/>
    <n v="2893457.79"/>
    <n v="1035"/>
    <s v="AMOMPY"/>
    <s v="Momentum Capital Investment S.A."/>
    <s v="25/08/2026"/>
    <s v="25/08/2026"/>
    <n v="32"/>
    <s v="No"/>
    <s v=""/>
    <m/>
    <m/>
    <s v="*MAV021001284"/>
    <s v="*MAV021001284"/>
    <n v="4.7354544135283544E-5"/>
  </r>
  <r>
    <x v="38"/>
    <s v="Pesos"/>
    <d v="2026-10-06T00:00:00"/>
    <s v="25/08/2026"/>
    <n v="0.96878657000000001"/>
    <m/>
    <n v="8584260.9900000002"/>
    <n v="8316316.75"/>
    <n v="8584260.9900000002"/>
    <n v="8316316.75"/>
    <n v="629236"/>
    <s v="AMOMPY"/>
    <s v="Momentum Capital Investment S.A."/>
    <s v="10/08/2026"/>
    <s v="10/08/2026"/>
    <n v="28"/>
    <s v="No"/>
    <s v=""/>
    <m/>
    <m/>
    <s v="*MAV021001181"/>
    <s v="*MAV021001181"/>
    <n v="1.3610545484434827E-4"/>
  </r>
  <r>
    <x v="38"/>
    <s v="Pesos"/>
    <d v="2026-10-06T00:00:00"/>
    <s v="25/08/2026"/>
    <n v="0.96878657000000001"/>
    <m/>
    <n v="8584260.9900000002"/>
    <n v="8316316.75"/>
    <n v="8584260.9900000002"/>
    <n v="8316316.75"/>
    <n v="629242"/>
    <s v="AMOMPY"/>
    <s v="Momentum Capital Investment S.A."/>
    <s v="10/08/2026"/>
    <s v="10/08/2026"/>
    <n v="28"/>
    <s v="No"/>
    <s v=""/>
    <m/>
    <m/>
    <s v="*MAV021001182"/>
    <s v="*MAV021001182"/>
    <n v="1.3610545484434827E-4"/>
  </r>
  <r>
    <x v="38"/>
    <s v="Pesos"/>
    <d v="2026-10-06T00:00:00"/>
    <s v="25/08/2026"/>
    <n v="0.96878657000000001"/>
    <m/>
    <n v="8584260.9900000002"/>
    <n v="8316316.75"/>
    <n v="8584260.9900000002"/>
    <n v="8316316.75"/>
    <n v="629234"/>
    <s v="AMOMPY"/>
    <s v="Momentum Capital Investment S.A."/>
    <s v="10/08/2026"/>
    <s v="10/08/2026"/>
    <n v="28"/>
    <s v="No"/>
    <s v=""/>
    <m/>
    <m/>
    <s v="*MAV021001183"/>
    <s v="*MAV021001183"/>
    <n v="1.3610545484434827E-4"/>
  </r>
  <r>
    <x v="191"/>
    <s v="Pesos"/>
    <d v="2026-10-06T00:00:00"/>
    <s v="25/08/2026"/>
    <n v="0.96448593000000005"/>
    <m/>
    <n v="5444206"/>
    <n v="5250860.09"/>
    <n v="5444206"/>
    <n v="5250860.09"/>
    <n v="3439"/>
    <s v="AMOMPY"/>
    <s v="Momentum Capital Investment S.A."/>
    <s v="25/08/2026"/>
    <s v="25/08/2026"/>
    <n v="32"/>
    <s v="No"/>
    <s v=""/>
    <m/>
    <m/>
    <s v="*MAV021001298"/>
    <s v="*MAV021001298"/>
    <n v="8.5935964484936859E-5"/>
  </r>
  <r>
    <x v="52"/>
    <s v="Pesos"/>
    <d v="2026-10-06T00:00:00"/>
    <s v="25/08/2026"/>
    <n v="0.96341657999999997"/>
    <m/>
    <n v="12500000"/>
    <n v="12042707.300000001"/>
    <n v="12500000"/>
    <n v="12042707.300000001"/>
    <n v="1362"/>
    <s v="AMOMPY"/>
    <s v="Momentum Capital Investment S.A."/>
    <s v="21/05/2026"/>
    <s v="21/05/2026"/>
    <n v="33"/>
    <s v="No"/>
    <s v=""/>
    <m/>
    <m/>
    <s v="*MAV021000917"/>
    <s v="*MAV021000917"/>
    <n v="1.9709183811737974E-4"/>
  </r>
  <r>
    <x v="176"/>
    <s v="Pesos"/>
    <d v="2026-10-06T00:00:00"/>
    <s v="25/08/2026"/>
    <n v="0.96663146"/>
    <m/>
    <n v="15000000"/>
    <n v="14499471.859999999"/>
    <n v="15000000"/>
    <n v="14499471.859999999"/>
    <n v="728"/>
    <s v="AMOMPY"/>
    <s v="Momentum Capital Investment S.A."/>
    <s v="06/07/2026"/>
    <s v="06/07/2026"/>
    <n v="30"/>
    <s v="No"/>
    <s v=""/>
    <m/>
    <m/>
    <s v="*MAV021000994"/>
    <s v="*MAV021000994"/>
    <n v="2.372994285611029E-4"/>
  </r>
  <r>
    <x v="207"/>
    <s v="Pesos"/>
    <d v="2026-10-06T00:00:00"/>
    <s v="25/08/2026"/>
    <n v="0.96448593000000005"/>
    <m/>
    <n v="1588021.51"/>
    <n v="1531624.4"/>
    <n v="1588021.51"/>
    <n v="1531624.4"/>
    <n v="535"/>
    <s v="AMOMPY"/>
    <s v="Momentum Capital Investment S.A."/>
    <s v="14/07/2026"/>
    <s v="14/07/2026"/>
    <n v="32"/>
    <s v="No"/>
    <s v=""/>
    <m/>
    <m/>
    <s v="*MAV021001028"/>
    <s v="*MAV021001028"/>
    <n v="2.506667817970041E-5"/>
  </r>
  <r>
    <x v="91"/>
    <s v="Pesos"/>
    <d v="2026-10-06T00:00:00"/>
    <s v="25/08/2026"/>
    <n v="0.96663140999999997"/>
    <m/>
    <n v="2584602.4700000002"/>
    <n v="2498357.92"/>
    <n v="2584602.4700000002"/>
    <n v="2498357.92"/>
    <n v="384"/>
    <s v="AMOMPY"/>
    <s v="Momentum Capital Investment S.A."/>
    <s v="15/07/2026"/>
    <s v="15/07/2026"/>
    <n v="30"/>
    <s v="No"/>
    <s v=""/>
    <m/>
    <m/>
    <s v="*MAV021001033"/>
    <s v="*MAV021001033"/>
    <n v="4.0888310448923186E-5"/>
  </r>
  <r>
    <x v="27"/>
    <s v="Pesos"/>
    <d v="2026-10-07T00:00:00"/>
    <s v="25/08/2026"/>
    <n v="0.96586406999999996"/>
    <m/>
    <n v="100000000"/>
    <n v="96586407.310000002"/>
    <n v="100000000"/>
    <n v="96586407.310000002"/>
    <n v="90003979"/>
    <s v="AMOMPY"/>
    <s v="Momentum Capital Investment S.A."/>
    <s v="04/08/2026"/>
    <s v="04/08/2026"/>
    <n v="30"/>
    <s v="No"/>
    <s v=""/>
    <m/>
    <m/>
    <s v="*MAV051001132"/>
    <s v="*MAV051001132"/>
    <n v="1.5807402836969908E-3"/>
  </r>
  <r>
    <x v="102"/>
    <s v="Pesos"/>
    <d v="2026-10-07T00:00:00"/>
    <s v="25/08/2026"/>
    <n v="0.96148787000000002"/>
    <m/>
    <n v="100000000"/>
    <n v="96148787.219999999"/>
    <n v="100000000"/>
    <n v="96148787.219999999"/>
    <n v="853"/>
    <s v="AMOMPY"/>
    <s v="Momentum Capital Investment S.A."/>
    <s v="25/08/2026"/>
    <s v="25/08/2026"/>
    <n v="34"/>
    <s v="No"/>
    <s v=""/>
    <m/>
    <m/>
    <s v="*MAV051001293"/>
    <s v="*MAV051001293"/>
    <n v="1.5735781609461377E-3"/>
  </r>
  <r>
    <x v="181"/>
    <s v="Pesos"/>
    <d v="2026-10-07T00:00:00"/>
    <s v="25/08/2026"/>
    <n v="0.96148791"/>
    <m/>
    <n v="4300000"/>
    <n v="4134398.01"/>
    <n v="4300000"/>
    <n v="4134398.01"/>
    <n v="40768561"/>
    <s v="AMOMPY"/>
    <s v="Momentum Capital Investment S.A."/>
    <s v="28/07/2026"/>
    <s v="28/07/2026"/>
    <n v="34"/>
    <s v="No"/>
    <s v=""/>
    <m/>
    <m/>
    <s v="*MAV051001068"/>
    <s v="*MAV051001068"/>
    <n v="6.7663863531727358E-5"/>
  </r>
  <r>
    <x v="181"/>
    <s v="Pesos"/>
    <d v="2026-10-07T00:00:00"/>
    <s v="25/08/2026"/>
    <n v="0.96039998999999998"/>
    <m/>
    <n v="4750000"/>
    <n v="4561899.95"/>
    <n v="4750000"/>
    <n v="4561899.95"/>
    <n v="40768615"/>
    <s v="AMOMPY"/>
    <s v="Momentum Capital Investment S.A."/>
    <s v="03/08/2026"/>
    <s v="03/08/2026"/>
    <n v="35"/>
    <s v="No"/>
    <s v=""/>
    <m/>
    <m/>
    <s v="*MAV051001116"/>
    <s v="*MAV051001116"/>
    <n v="7.4660391891537769E-5"/>
  </r>
  <r>
    <x v="111"/>
    <s v="Pesos"/>
    <d v="2026-10-07T00:00:00"/>
    <s v="25/08/2026"/>
    <n v="0.96257819"/>
    <m/>
    <n v="30000000"/>
    <n v="28877345.68"/>
    <n v="30000000"/>
    <n v="28877345.68"/>
    <n v="475882"/>
    <s v="AMOMPY"/>
    <s v="Momentum Capital Investment S.A."/>
    <s v="07/08/2026"/>
    <s v="07/08/2026"/>
    <n v="33"/>
    <s v="No"/>
    <s v=""/>
    <m/>
    <m/>
    <s v="*MAV031001248"/>
    <s v="*MAV031001248"/>
    <n v="4.7260877460852799E-4"/>
  </r>
  <r>
    <x v="111"/>
    <s v="Pesos"/>
    <d v="2026-10-07T00:00:00"/>
    <s v="25/08/2026"/>
    <n v="0.96257822000000004"/>
    <m/>
    <n v="25000000"/>
    <n v="24064455.579999998"/>
    <n v="25000000"/>
    <n v="24064455.579999998"/>
    <n v="1233892"/>
    <s v="AMOMPY"/>
    <s v="Momentum Capital Investment S.A."/>
    <s v="01/06/2026"/>
    <s v="01/06/2026"/>
    <n v="33"/>
    <s v="No"/>
    <s v=""/>
    <m/>
    <m/>
    <s v="*MAV031001149"/>
    <s v="*MAV031001149"/>
    <n v="3.9384065936371587E-4"/>
  </r>
  <r>
    <x v="57"/>
    <s v="Pesos"/>
    <d v="2026-10-07T00:00:00"/>
    <s v="25/08/2026"/>
    <n v="0.96586406999999996"/>
    <m/>
    <n v="75000000"/>
    <n v="72439805.480000004"/>
    <n v="75000000"/>
    <n v="72439805.480000004"/>
    <n v="340"/>
    <s v="AMOMPY"/>
    <s v="Momentum Capital Investment S.A."/>
    <s v="04/08/2026"/>
    <s v="04/08/2026"/>
    <n v="30"/>
    <s v="No"/>
    <s v=""/>
    <m/>
    <m/>
    <s v="*MAV051001126"/>
    <s v="*MAV051001126"/>
    <n v="1.1855552127318278E-3"/>
  </r>
  <r>
    <x v="204"/>
    <s v="Pesos"/>
    <d v="2026-10-07T00:00:00"/>
    <s v="25/08/2026"/>
    <n v="0.95499743999999998"/>
    <m/>
    <n v="7203888"/>
    <n v="6879694.5899999999"/>
    <n v="7203888"/>
    <n v="6879694.5899999999"/>
    <n v="66329877"/>
    <s v="AMOMPY"/>
    <s v="Momentum Capital Investment S.A."/>
    <s v="17/04/2026"/>
    <s v="17/04/2026"/>
    <n v="40"/>
    <s v="No"/>
    <s v=""/>
    <m/>
    <m/>
    <s v="*MAV051000897"/>
    <s v="*MAV051000897"/>
    <n v="1.1259359034901505E-4"/>
  </r>
  <r>
    <x v="204"/>
    <s v="Pesos"/>
    <d v="2026-10-07T00:00:00"/>
    <s v="25/08/2026"/>
    <n v="0.95499743999999998"/>
    <m/>
    <n v="7900000"/>
    <n v="7544479.7599999998"/>
    <n v="7900000"/>
    <n v="7544479.7599999998"/>
    <n v="877"/>
    <s v="AMOMPY"/>
    <s v="Momentum Capital Investment S.A."/>
    <s v="17/04/2026"/>
    <s v="17/04/2026"/>
    <n v="40"/>
    <s v="No"/>
    <s v=""/>
    <m/>
    <m/>
    <s v="*MAV051000898"/>
    <s v="*MAV051000898"/>
    <n v="1.2347351359588119E-4"/>
  </r>
  <r>
    <x v="12"/>
    <s v="Pesos"/>
    <d v="2026-10-07T00:00:00"/>
    <s v="25/08/2026"/>
    <n v="0.97250353"/>
    <m/>
    <n v="6250000"/>
    <n v="6078147.0499999998"/>
    <n v="6250000"/>
    <n v="6078147.0499999998"/>
    <n v="50459992"/>
    <s v="AMOMPY"/>
    <s v="Momentum Capital Investment S.A."/>
    <s v="17/07/2026"/>
    <s v="17/07/2026"/>
    <n v="24"/>
    <s v="No"/>
    <s v=""/>
    <m/>
    <m/>
    <s v="*PRO051000011"/>
    <s v="*PRO051000011"/>
    <n v="9.9475404042430649E-5"/>
  </r>
  <r>
    <x v="13"/>
    <s v="Pesos"/>
    <d v="2026-10-07T00:00:00"/>
    <s v="25/08/2026"/>
    <n v="0.96806711000000001"/>
    <m/>
    <n v="2500000"/>
    <n v="2420167.7799999998"/>
    <n v="2500000"/>
    <n v="2420167.7799999998"/>
    <n v="90031812"/>
    <s v="AMOMPY"/>
    <s v="Momentum Capital Investment S.A."/>
    <s v="22/04/2026"/>
    <s v="22/04/2026"/>
    <n v="28"/>
    <s v="No"/>
    <s v=""/>
    <m/>
    <m/>
    <s v="*MOV051000047"/>
    <s v="*MOV051000047"/>
    <n v="3.9608644836253571E-5"/>
  </r>
  <r>
    <x v="10"/>
    <s v="Pesos"/>
    <d v="2026-10-07T00:00:00"/>
    <s v="25/08/2026"/>
    <n v="0.97139059999999999"/>
    <m/>
    <n v="8650000"/>
    <n v="8402528.6699999999"/>
    <n v="8650000"/>
    <n v="8402528.6699999999"/>
    <n v="34384"/>
    <s v="AMOMPY"/>
    <s v="Momentum Capital Investment S.A."/>
    <s v="20/07/2026"/>
    <s v="20/07/2026"/>
    <n v="25"/>
    <s v="No"/>
    <s v=""/>
    <m/>
    <m/>
    <s v="*MIL051000025"/>
    <s v="*MIL051000025"/>
    <n v="1.3751640550163351E-4"/>
  </r>
  <r>
    <x v="10"/>
    <s v="Pesos"/>
    <d v="2026-10-07T00:00:00"/>
    <s v="25/08/2026"/>
    <n v="0.96917244999999996"/>
    <m/>
    <n v="1650000"/>
    <n v="1599134.55"/>
    <n v="1650000"/>
    <n v="1599134.55"/>
    <n v="583"/>
    <s v="AMOMPY"/>
    <s v="Momentum Capital Investment S.A."/>
    <s v="07/07/2026"/>
    <s v="07/07/2026"/>
    <n v="27"/>
    <s v="No"/>
    <s v=""/>
    <m/>
    <m/>
    <s v="*MIL051000023"/>
    <s v="*MIL051000023"/>
    <n v="2.6171554286344637E-5"/>
  </r>
  <r>
    <x v="10"/>
    <s v="Pesos"/>
    <d v="2026-10-07T00:00:00"/>
    <s v="25/08/2026"/>
    <n v="0.96917238999999999"/>
    <m/>
    <n v="15000000"/>
    <n v="14537585.82"/>
    <n v="15000000"/>
    <n v="14537585.82"/>
    <n v="11338649"/>
    <s v="AMOMPY"/>
    <s v="Momentum Capital Investment S.A."/>
    <s v="16/07/2026"/>
    <s v="16/07/2026"/>
    <n v="27"/>
    <s v="No"/>
    <s v=""/>
    <m/>
    <m/>
    <s v="*MIL051000024"/>
    <s v="*MIL051000024"/>
    <n v="2.3792320444863382E-4"/>
  </r>
  <r>
    <x v="34"/>
    <s v="Pesos"/>
    <d v="2026-10-07T00:00:00"/>
    <s v="25/08/2026"/>
    <n v="0.96586406000000002"/>
    <m/>
    <n v="3300000"/>
    <n v="3187351.41"/>
    <n v="3300000"/>
    <n v="3187351.41"/>
    <n v="923"/>
    <s v="AMOMPY"/>
    <s v="Momentum Capital Investment S.A."/>
    <s v="11/08/2026"/>
    <s v="11/08/2026"/>
    <n v="30"/>
    <s v="No"/>
    <s v=""/>
    <m/>
    <m/>
    <s v="*MAV051001194"/>
    <s v="*MAV051001194"/>
    <n v="5.2164428850888209E-5"/>
  </r>
  <r>
    <x v="208"/>
    <s v="Pesos"/>
    <d v="2026-10-07T00:00:00"/>
    <s v="25/08/2026"/>
    <n v="0.96367104000000003"/>
    <m/>
    <n v="3216984.09"/>
    <n v="3100114.39"/>
    <n v="3216984.09"/>
    <n v="3100114.39"/>
    <n v="98"/>
    <s v="AMOMPY"/>
    <s v="Momentum Capital Investment S.A."/>
    <s v="14/07/2026"/>
    <s v="14/07/2026"/>
    <n v="32"/>
    <s v="No"/>
    <s v=""/>
    <m/>
    <m/>
    <s v="*MAV031001194"/>
    <s v="*MAV031001194"/>
    <n v="5.0736701331206431E-5"/>
  </r>
  <r>
    <x v="186"/>
    <s v="Pesos"/>
    <d v="2026-10-07T00:00:00"/>
    <s v="25/08/2026"/>
    <n v="0.96806707000000003"/>
    <m/>
    <n v="9778370.3499999996"/>
    <n v="9466118.3300000001"/>
    <n v="9778370.3499999996"/>
    <n v="9466118.3300000001"/>
    <n v="10537627"/>
    <s v="AMOMPY"/>
    <s v="Momentum Capital Investment S.A."/>
    <s v="10/08/2026"/>
    <s v="10/08/2026"/>
    <n v="28"/>
    <s v="No"/>
    <s v=""/>
    <m/>
    <m/>
    <s v="*MAV051001188"/>
    <s v="*MAV051001188"/>
    <n v="1.5492319251970201E-4"/>
  </r>
  <r>
    <x v="14"/>
    <s v="Pesos"/>
    <d v="2026-10-07T00:00:00"/>
    <s v="25/08/2026"/>
    <n v="0.96040011000000003"/>
    <m/>
    <n v="10000000"/>
    <n v="9604001.0999999996"/>
    <n v="10000000"/>
    <n v="9604001.0999999996"/>
    <n v="16835551"/>
    <s v="AMOMPY"/>
    <s v="Momentum Capital Investment S.A."/>
    <s v="05/08/2026"/>
    <s v="05/08/2026"/>
    <n v="35"/>
    <s v="No"/>
    <s v=""/>
    <m/>
    <m/>
    <s v="*MAV051001142"/>
    <s v="*MAV051001142"/>
    <n v="1.5717979212866336E-4"/>
  </r>
  <r>
    <x v="209"/>
    <s v="Pesos"/>
    <d v="2026-10-07T00:00:00"/>
    <s v="25/08/2026"/>
    <n v="0.96367099000000001"/>
    <m/>
    <n v="5084000"/>
    <n v="4899303.32"/>
    <n v="5084000"/>
    <n v="4899303.32"/>
    <n v="69012951"/>
    <s v="AMOMPY"/>
    <s v="Momentum Capital Investment S.A."/>
    <s v="25/08/2026"/>
    <s v="25/08/2026"/>
    <n v="32"/>
    <s v="No"/>
    <s v=""/>
    <m/>
    <m/>
    <s v="*MAV051001299"/>
    <s v="*MAV051001299"/>
    <n v="8.0182360392781535E-5"/>
  </r>
  <r>
    <x v="210"/>
    <s v="Pesos"/>
    <d v="2026-10-07T00:00:00"/>
    <s v="25/08/2026"/>
    <n v="0.96367099000000001"/>
    <m/>
    <n v="7000000"/>
    <n v="6745696.9400000004"/>
    <n v="7000000"/>
    <n v="6745696.9400000004"/>
    <n v="10604194"/>
    <s v="AMOMPY"/>
    <s v="Momentum Capital Investment S.A."/>
    <s v="25/08/2026"/>
    <s v="25/08/2026"/>
    <n v="32"/>
    <s v="No"/>
    <s v=""/>
    <m/>
    <m/>
    <s v="*MAV051001298"/>
    <s v="*MAV051001298"/>
    <n v="1.10400574901242E-4"/>
  </r>
  <r>
    <x v="211"/>
    <s v="Pesos"/>
    <d v="2026-10-07T00:00:00"/>
    <s v="25/08/2026"/>
    <n v="0.96367099000000001"/>
    <m/>
    <n v="12000000"/>
    <n v="11564051.9"/>
    <n v="12000000"/>
    <n v="11564051.9"/>
    <n v="68962213"/>
    <s v="AMOMPY"/>
    <s v="Momentum Capital Investment S.A."/>
    <s v="25/08/2026"/>
    <s v="25/08/2026"/>
    <n v="32"/>
    <s v="No"/>
    <s v=""/>
    <m/>
    <m/>
    <s v="*MAV031001317"/>
    <s v="*MAV031001317"/>
    <n v="1.8925812844888934E-4"/>
  </r>
  <r>
    <x v="99"/>
    <s v="Pesos"/>
    <d v="2026-10-07T00:00:00"/>
    <s v="25/08/2026"/>
    <n v="0.96367102999999998"/>
    <m/>
    <n v="14479899.689999999"/>
    <n v="13953859.83"/>
    <n v="14479899.689999999"/>
    <n v="13953859.83"/>
    <n v="9933008"/>
    <s v="AMOMPY"/>
    <s v="Momentum Capital Investment S.A."/>
    <s v="12/06/2026"/>
    <s v="12/06/2026"/>
    <n v="32"/>
    <s v="No"/>
    <s v=""/>
    <m/>
    <m/>
    <s v="*MAV051000919"/>
    <s v="*MAV051000919"/>
    <n v="2.2836990173521595E-4"/>
  </r>
  <r>
    <x v="212"/>
    <s v="Pesos"/>
    <d v="2026-10-07T00:00:00"/>
    <s v="25/08/2026"/>
    <n v="0.96257828000000001"/>
    <m/>
    <n v="56057920.039999999"/>
    <n v="53960136.310000002"/>
    <n v="56057920.039999999"/>
    <n v="53960136.310000002"/>
    <n v="13510"/>
    <s v="AMOMPY"/>
    <s v="Momentum Capital Investment S.A."/>
    <s v="19/08/2026"/>
    <s v="19/08/2026"/>
    <n v="33"/>
    <s v="No"/>
    <s v=""/>
    <m/>
    <m/>
    <s v="*MAV051001249"/>
    <s v="*MAV051001249"/>
    <n v="8.8311558069689732E-4"/>
  </r>
  <r>
    <x v="38"/>
    <s v="Pesos"/>
    <d v="2026-10-07T00:00:00"/>
    <s v="25/08/2026"/>
    <n v="0.96806707000000003"/>
    <m/>
    <n v="10524359.310000001"/>
    <n v="10188285.689999999"/>
    <n v="10524359.310000001"/>
    <n v="10188285.689999999"/>
    <n v="646229"/>
    <s v="AMOMPY"/>
    <s v="Momentum Capital Investment S.A."/>
    <s v="10/08/2026"/>
    <s v="10/08/2026"/>
    <n v="28"/>
    <s v="No"/>
    <s v=""/>
    <m/>
    <m/>
    <s v="*MAV051001189"/>
    <s v="*MAV051001189"/>
    <n v="1.6674223693098446E-4"/>
  </r>
  <r>
    <x v="114"/>
    <s v="Pesos"/>
    <d v="2026-10-07T00:00:00"/>
    <s v="25/08/2026"/>
    <n v="0.97473706000000004"/>
    <m/>
    <n v="5200000"/>
    <n v="5068632.72"/>
    <n v="5200000"/>
    <n v="5068632.72"/>
    <n v="2"/>
    <s v="AMOMPY"/>
    <s v="Momentum Capital Investment S.A."/>
    <s v="05/08/2026"/>
    <s v="05/08/2026"/>
    <n v="22"/>
    <s v="No"/>
    <s v=""/>
    <m/>
    <m/>
    <s v="*MAV051001143"/>
    <s v="*MAV051001143"/>
    <n v="8.2953617873507068E-5"/>
  </r>
  <r>
    <x v="155"/>
    <s v="Pesos"/>
    <d v="2026-10-07T00:00:00"/>
    <s v="25/08/2026"/>
    <n v="0.96367099000000001"/>
    <m/>
    <n v="6000000"/>
    <n v="5782025.9500000002"/>
    <n v="6000000"/>
    <n v="5782025.9500000002"/>
    <n v="90001650"/>
    <s v="AMOMPY"/>
    <s v="Momentum Capital Investment S.A."/>
    <s v="25/08/2026"/>
    <s v="25/08/2026"/>
    <n v="32"/>
    <s v="No"/>
    <s v=""/>
    <m/>
    <m/>
    <s v="*MAV031001319"/>
    <s v="*MAV031001319"/>
    <n v="9.4629064224444669E-5"/>
  </r>
  <r>
    <x v="191"/>
    <s v="Pesos"/>
    <d v="2026-10-07T00:00:00"/>
    <s v="25/08/2026"/>
    <n v="0.96367099000000001"/>
    <m/>
    <n v="5444206"/>
    <n v="5246423.3899999997"/>
    <n v="5444206"/>
    <n v="5246423.3899999997"/>
    <n v="3440"/>
    <s v="AMOMPY"/>
    <s v="Momentum Capital Investment S.A."/>
    <s v="25/08/2026"/>
    <s v="25/08/2026"/>
    <n v="32"/>
    <s v="No"/>
    <s v=""/>
    <m/>
    <m/>
    <s v="*MAV031001318"/>
    <s v="*MAV031001318"/>
    <n v="8.5863353124684388E-5"/>
  </r>
  <r>
    <x v="213"/>
    <s v="Pesos"/>
    <d v="2026-10-07T00:00:00"/>
    <s v="25/08/2026"/>
    <n v="0.96367100000000006"/>
    <m/>
    <n v="104500000"/>
    <n v="100703619.79000001"/>
    <n v="104500000"/>
    <n v="100703619.79000001"/>
    <n v="323"/>
    <s v="AMOMPY"/>
    <s v="Momentum Capital Investment S.A."/>
    <s v="18/08/2026"/>
    <s v="18/08/2026"/>
    <n v="32"/>
    <s v="No"/>
    <s v=""/>
    <m/>
    <m/>
    <s v="*MAV051001227"/>
    <s v="*MAV051001227"/>
    <n v="1.6481228875740289E-3"/>
  </r>
  <r>
    <x v="88"/>
    <s v="Pesos"/>
    <d v="2026-10-07T00:00:00"/>
    <s v="25/08/2026"/>
    <n v="0.95715114000000001"/>
    <m/>
    <n v="25000000"/>
    <n v="23928778.579999998"/>
    <n v="25000000"/>
    <n v="23928778.579999998"/>
    <n v="70393026"/>
    <s v="AMOMPY"/>
    <s v="Momentum Capital Investment S.A."/>
    <s v="03/08/2026"/>
    <s v="03/08/2026"/>
    <n v="38"/>
    <s v="No"/>
    <s v=""/>
    <m/>
    <m/>
    <s v="*MAV051001119"/>
    <s v="*MAV051001119"/>
    <n v="3.9162015954967059E-4"/>
  </r>
  <r>
    <x v="192"/>
    <s v="Pesos"/>
    <d v="2026-10-07T00:00:00"/>
    <s v="25/08/2026"/>
    <n v="0.96257822000000004"/>
    <m/>
    <n v="10044547.85"/>
    <n v="9668662.9399999995"/>
    <n v="10044547.85"/>
    <n v="9668662.9399999995"/>
    <n v="38"/>
    <s v="AMOMPY"/>
    <s v="Momentum Capital Investment S.A."/>
    <s v="11/08/2026"/>
    <s v="11/08/2026"/>
    <n v="33"/>
    <s v="No"/>
    <s v=""/>
    <m/>
    <m/>
    <s v="*MAV041001144"/>
    <s v="*MAV041001144"/>
    <n v="1.5823805258324169E-4"/>
  </r>
  <r>
    <x v="196"/>
    <s v="Pesos"/>
    <d v="2026-10-07T00:00:00"/>
    <s v="25/08/2026"/>
    <n v="0.96586406000000002"/>
    <m/>
    <n v="262422.81"/>
    <n v="253464.76"/>
    <n v="262422.81"/>
    <n v="253464.76"/>
    <n v="30093658"/>
    <s v="AMOMPY"/>
    <s v="Momentum Capital Investment S.A."/>
    <s v="04/08/2026"/>
    <s v="04/08/2026"/>
    <n v="30"/>
    <s v="No"/>
    <s v=""/>
    <m/>
    <m/>
    <s v="*MAV051001127"/>
    <s v="*MAV051001127"/>
    <n v="4.1482230035085637E-6"/>
  </r>
  <r>
    <x v="27"/>
    <s v="Pesos"/>
    <d v="2026-10-08T00:00:00"/>
    <s v="25/08/2026"/>
    <n v="0.96509787000000002"/>
    <m/>
    <n v="100000000"/>
    <n v="96509786.780000001"/>
    <n v="100000000"/>
    <n v="96509786.780000001"/>
    <n v="90003980"/>
    <s v="AMOMPY"/>
    <s v="Momentum Capital Investment S.A."/>
    <s v="04/08/2026"/>
    <s v="04/08/2026"/>
    <n v="30"/>
    <s v="No"/>
    <s v=""/>
    <m/>
    <m/>
    <s v="*MAV061001358"/>
    <s v="*MAV061001358"/>
    <n v="1.5794863064376391E-3"/>
  </r>
  <r>
    <x v="181"/>
    <s v="Pesos"/>
    <d v="2026-10-08T00:00:00"/>
    <s v="25/08/2026"/>
    <n v="0.95951649999999999"/>
    <m/>
    <n v="4750000"/>
    <n v="4557703.3600000003"/>
    <n v="4750000"/>
    <n v="4557703.3600000003"/>
    <n v="40768616"/>
    <s v="AMOMPY"/>
    <s v="Momentum Capital Investment S.A."/>
    <s v="03/08/2026"/>
    <s v="03/08/2026"/>
    <n v="35"/>
    <s v="No"/>
    <s v=""/>
    <m/>
    <m/>
    <s v="*MAV061001341"/>
    <s v="*MAV061001341"/>
    <n v="7.4591710189299192E-5"/>
  </r>
  <r>
    <x v="106"/>
    <s v="Pesos"/>
    <d v="2026-10-08T00:00:00"/>
    <s v="25/08/2026"/>
    <n v="0.95399904999999996"/>
    <m/>
    <n v="187200000"/>
    <n v="178588622.37"/>
    <n v="187200000"/>
    <n v="178588622.37"/>
    <n v="70397197"/>
    <s v="AMOMPY"/>
    <s v="Momentum Capital Investment S.A."/>
    <s v="19/08/2026"/>
    <s v="19/08/2026"/>
    <n v="40"/>
    <s v="No"/>
    <s v=""/>
    <m/>
    <m/>
    <s v="*MAV061001459"/>
    <s v="*MAV061001459"/>
    <n v="2.922794598665858E-3"/>
  </r>
  <r>
    <x v="214"/>
    <s v="Pesos"/>
    <d v="2026-10-08T00:00:00"/>
    <s v="25/08/2026"/>
    <n v="0.95509739000000005"/>
    <m/>
    <n v="3750000"/>
    <n v="3581615.2"/>
    <n v="3750000"/>
    <n v="3581615.2"/>
    <n v="66919994"/>
    <s v="AMOMPY"/>
    <s v="Momentum Capital Investment S.A."/>
    <s v="13/05/2026"/>
    <s v="13/05/2026"/>
    <n v="39"/>
    <s v="No"/>
    <s v=""/>
    <m/>
    <m/>
    <s v="*MAV061001207"/>
    <s v="*MAV061001207"/>
    <n v="5.8616979190148265E-5"/>
  </r>
  <r>
    <x v="8"/>
    <s v="Pesos"/>
    <d v="2026-10-08T00:00:00"/>
    <s v="25/08/2026"/>
    <n v="0.97188202999999995"/>
    <m/>
    <n v="5000000"/>
    <n v="4859410.17"/>
    <n v="5000000"/>
    <n v="4859410.17"/>
    <n v="16831530"/>
    <s v="AMOMPY"/>
    <s v="Momentum Capital Investment S.A."/>
    <s v="21/07/2026"/>
    <s v="21/07/2026"/>
    <n v="24"/>
    <s v="No"/>
    <s v=""/>
    <m/>
    <m/>
    <s v="*INP061000048"/>
    <s v="*INP061000048"/>
    <n v="7.9529466150156172E-5"/>
  </r>
  <r>
    <x v="8"/>
    <s v="Pesos"/>
    <d v="2026-10-08T00:00:00"/>
    <s v="25/08/2026"/>
    <n v="0.96734876999999997"/>
    <m/>
    <n v="8000000"/>
    <n v="7738790.1500000004"/>
    <n v="8000000"/>
    <n v="7738790.1500000004"/>
    <n v="90000138"/>
    <s v="AMOMPY"/>
    <s v="Momentum Capital Investment S.A."/>
    <s v="08/07/2026"/>
    <s v="08/07/2026"/>
    <n v="28"/>
    <s v="No"/>
    <s v=""/>
    <m/>
    <m/>
    <s v="*INP061000046"/>
    <s v="*INP061000046"/>
    <n v="1.2665361180605732E-4"/>
  </r>
  <r>
    <x v="82"/>
    <s v="Pesos"/>
    <d v="2026-10-08T00:00:00"/>
    <s v="25/08/2026"/>
    <n v="0.95619847000000002"/>
    <m/>
    <n v="20000000"/>
    <n v="19123969.460000001"/>
    <n v="20000000"/>
    <n v="19123969.460000001"/>
    <n v="70219568"/>
    <s v="AMOMPY"/>
    <s v="Momentum Capital Investment S.A."/>
    <s v="03/08/2026"/>
    <s v="03/08/2026"/>
    <n v="38"/>
    <s v="No"/>
    <s v=""/>
    <m/>
    <m/>
    <s v="*MAV061001343"/>
    <s v="*MAV061001343"/>
    <n v="3.1298429822105152E-4"/>
  </r>
  <r>
    <x v="82"/>
    <s v="Pesos"/>
    <d v="2026-10-08T00:00:00"/>
    <s v="25/08/2026"/>
    <n v="0.95619847000000002"/>
    <m/>
    <n v="20000000"/>
    <n v="19123969.460000001"/>
    <n v="20000000"/>
    <n v="19123969.460000001"/>
    <n v="70219566"/>
    <s v="AMOMPY"/>
    <s v="Momentum Capital Investment S.A."/>
    <s v="03/08/2026"/>
    <s v="03/08/2026"/>
    <n v="38"/>
    <s v="No"/>
    <s v=""/>
    <m/>
    <m/>
    <s v="*MAV061001344"/>
    <s v="*MAV061001344"/>
    <n v="3.1298429822105152E-4"/>
  </r>
  <r>
    <x v="82"/>
    <s v="Pesos"/>
    <d v="2026-10-08T00:00:00"/>
    <s v="25/08/2026"/>
    <n v="0.95619847000000002"/>
    <m/>
    <n v="20000000"/>
    <n v="19123969.460000001"/>
    <n v="20000000"/>
    <n v="19123969.460000001"/>
    <n v="70219567"/>
    <s v="AMOMPY"/>
    <s v="Momentum Capital Investment S.A."/>
    <s v="03/08/2026"/>
    <s v="03/08/2026"/>
    <n v="38"/>
    <s v="No"/>
    <s v=""/>
    <m/>
    <m/>
    <s v="*MAV061001345"/>
    <s v="*MAV061001345"/>
    <n v="3.1298429822105152E-4"/>
  </r>
  <r>
    <x v="82"/>
    <s v="Pesos"/>
    <d v="2026-10-08T00:00:00"/>
    <s v="25/08/2026"/>
    <n v="0.95619847000000002"/>
    <m/>
    <n v="20000000"/>
    <n v="19123969.460000001"/>
    <n v="20000000"/>
    <n v="19123969.460000001"/>
    <n v="70219569"/>
    <s v="AMOMPY"/>
    <s v="Momentum Capital Investment S.A."/>
    <s v="03/08/2026"/>
    <s v="03/08/2026"/>
    <n v="38"/>
    <s v="No"/>
    <s v=""/>
    <m/>
    <m/>
    <s v="*MAV061001346"/>
    <s v="*MAV061001346"/>
    <n v="3.1298429822105152E-4"/>
  </r>
  <r>
    <x v="204"/>
    <s v="Pesos"/>
    <d v="2026-10-08T00:00:00"/>
    <s v="25/08/2026"/>
    <n v="0.95399898000000005"/>
    <m/>
    <n v="7900000"/>
    <n v="7536591.9699999997"/>
    <n v="7900000"/>
    <n v="7536591.9699999997"/>
    <n v="15"/>
    <s v="AMOMPY"/>
    <s v="Momentum Capital Investment S.A."/>
    <s v="17/04/2026"/>
    <s v="17/04/2026"/>
    <n v="40"/>
    <s v="No"/>
    <s v=""/>
    <m/>
    <m/>
    <s v="*MAV061001203"/>
    <s v="*MAV061001203"/>
    <n v="1.233444214415129E-4"/>
  </r>
  <r>
    <x v="204"/>
    <s v="Pesos"/>
    <d v="2026-10-08T00:00:00"/>
    <s v="25/08/2026"/>
    <n v="0.95399898999999999"/>
    <m/>
    <n v="7203888"/>
    <n v="6872501.8399999999"/>
    <n v="7203888"/>
    <n v="6872501.8399999999"/>
    <n v="876"/>
    <s v="AMOMPY"/>
    <s v="Momentum Capital Investment S.A."/>
    <s v="17/04/2026"/>
    <s v="17/04/2026"/>
    <n v="40"/>
    <s v="No"/>
    <s v=""/>
    <m/>
    <m/>
    <s v="*MAV061001204"/>
    <s v="*MAV061001204"/>
    <n v="1.1247587327067845E-4"/>
  </r>
  <r>
    <x v="12"/>
    <s v="Pesos"/>
    <d v="2026-10-08T00:00:00"/>
    <s v="25/08/2026"/>
    <n v="0.96847804999999998"/>
    <m/>
    <n v="20000000"/>
    <n v="19369561.030000001"/>
    <n v="20000000"/>
    <n v="19369561.030000001"/>
    <n v="9508920"/>
    <s v="AMOMPY"/>
    <s v="Momentum Capital Investment S.A."/>
    <s v="13/07/2026"/>
    <s v="13/07/2026"/>
    <n v="27"/>
    <s v="No"/>
    <s v=""/>
    <m/>
    <m/>
    <s v="*PRO061000010"/>
    <s v="*PRO061000010"/>
    <n v="3.1700366801487128E-4"/>
  </r>
  <r>
    <x v="108"/>
    <s v="Pesos"/>
    <d v="2026-10-08T00:00:00"/>
    <s v="25/08/2026"/>
    <n v="0.96174121000000001"/>
    <m/>
    <n v="5000000"/>
    <n v="4808706.03"/>
    <n v="5000000"/>
    <n v="4808706.03"/>
    <n v="3039"/>
    <s v="AMOMPY"/>
    <s v="Momentum Capital Investment S.A."/>
    <s v="21/07/2026"/>
    <s v="21/07/2026"/>
    <n v="33"/>
    <s v="No"/>
    <s v=""/>
    <m/>
    <m/>
    <s v="*MAV061001301"/>
    <s v="*MAV061001301"/>
    <n v="7.8699638445819215E-5"/>
  </r>
  <r>
    <x v="34"/>
    <s v="Pesos"/>
    <d v="2026-10-08T00:00:00"/>
    <s v="25/08/2026"/>
    <n v="0.96509789999999995"/>
    <m/>
    <n v="5000000"/>
    <n v="4825489.49"/>
    <n v="5000000"/>
    <n v="4825489.49"/>
    <n v="789"/>
    <s v="AMOMPY"/>
    <s v="Momentum Capital Investment S.A."/>
    <s v="14/07/2026"/>
    <s v="14/07/2026"/>
    <n v="30"/>
    <s v="No"/>
    <s v=""/>
    <m/>
    <m/>
    <s v="*MAV061001283"/>
    <s v="*MAV061001283"/>
    <n v="7.8974317793159118E-5"/>
  </r>
  <r>
    <x v="34"/>
    <s v="Pesos"/>
    <d v="2026-10-08T00:00:00"/>
    <s v="25/08/2026"/>
    <n v="0.96509785999999997"/>
    <m/>
    <n v="3300000"/>
    <n v="3184822.94"/>
    <n v="3300000"/>
    <n v="3184822.94"/>
    <n v="924"/>
    <s v="AMOMPY"/>
    <s v="Momentum Capital Investment S.A."/>
    <s v="11/08/2026"/>
    <s v="11/08/2026"/>
    <n v="30"/>
    <s v="No"/>
    <s v=""/>
    <m/>
    <m/>
    <s v="*MAV061001413"/>
    <s v="*MAV061001413"/>
    <n v="5.2123047723911495E-5"/>
  </r>
  <r>
    <x v="34"/>
    <s v="Pesos"/>
    <d v="2026-10-08T00:00:00"/>
    <s v="25/08/2026"/>
    <n v="0.96285772000000003"/>
    <m/>
    <n v="3000000"/>
    <n v="2888573.17"/>
    <n v="3000000"/>
    <n v="2888573.17"/>
    <n v="1036"/>
    <s v="AMOMPY"/>
    <s v="Momentum Capital Investment S.A."/>
    <s v="25/08/2026"/>
    <s v="25/08/2026"/>
    <n v="32"/>
    <s v="No"/>
    <s v=""/>
    <m/>
    <m/>
    <s v="*MAV061001486"/>
    <s v="*MAV061001486"/>
    <n v="4.7274602083191573E-5"/>
  </r>
  <r>
    <x v="186"/>
    <s v="Pesos"/>
    <d v="2026-10-08T00:00:00"/>
    <s v="25/08/2026"/>
    <n v="0.96734883000000005"/>
    <m/>
    <n v="9800000"/>
    <n v="9480018.5600000005"/>
    <n v="9800000"/>
    <n v="9480018.5600000005"/>
    <n v="10537626"/>
    <s v="AMOMPY"/>
    <s v="Momentum Capital Investment S.A."/>
    <s v="10/08/2026"/>
    <s v="10/08/2026"/>
    <n v="28"/>
    <s v="No"/>
    <s v=""/>
    <m/>
    <m/>
    <s v="*MAV061001407"/>
    <s v="*MAV061001407"/>
    <n v="1.5515068471167403E-4"/>
  </r>
  <r>
    <x v="186"/>
    <s v="Pesos"/>
    <d v="2026-10-08T00:00:00"/>
    <s v="25/08/2026"/>
    <n v="0.96285772000000003"/>
    <m/>
    <n v="4327290"/>
    <n v="4166564.6"/>
    <n v="4327290"/>
    <n v="4166564.6"/>
    <n v="10537647"/>
    <s v="AMOMPY"/>
    <s v="Momentum Capital Investment S.A."/>
    <s v="25/08/2026"/>
    <s v="25/08/2026"/>
    <n v="32"/>
    <s v="No"/>
    <s v=""/>
    <m/>
    <m/>
    <s v="*MAV061001488"/>
    <s v="*MAV061001488"/>
    <n v="6.8190304322085865E-5"/>
  </r>
  <r>
    <x v="215"/>
    <s v="Pesos"/>
    <d v="2026-10-08T00:00:00"/>
    <s v="25/08/2026"/>
    <n v="0.96734883000000005"/>
    <m/>
    <n v="19247714"/>
    <n v="18619253.68"/>
    <n v="19247714"/>
    <n v="18619253.68"/>
    <n v="72607192"/>
    <s v="AMOMPY"/>
    <s v="Momentum Capital Investment S.A."/>
    <s v="10/08/2026"/>
    <s v="10/08/2026"/>
    <n v="28"/>
    <s v="No"/>
    <s v=""/>
    <m/>
    <m/>
    <s v="*MAV061001408"/>
    <s v="*MAV061001408"/>
    <n v="3.047240824465597E-4"/>
  </r>
  <r>
    <x v="99"/>
    <s v="Pesos"/>
    <d v="2026-10-08T00:00:00"/>
    <s v="25/08/2026"/>
    <n v="0.96285752000000002"/>
    <m/>
    <n v="14479899.68"/>
    <n v="13942080.27"/>
    <n v="14479899.68"/>
    <n v="13942080.27"/>
    <n v="9933007"/>
    <s v="AMOMPY"/>
    <s v="Momentum Capital Investment S.A."/>
    <s v="12/06/2026"/>
    <s v="12/06/2026"/>
    <n v="32"/>
    <s v="No"/>
    <s v=""/>
    <m/>
    <m/>
    <s v="*MAV061001220"/>
    <s v="*MAV061001220"/>
    <n v="2.2817711658526762E-4"/>
  </r>
  <r>
    <x v="165"/>
    <s v="Pesos"/>
    <d v="2026-10-08T00:00:00"/>
    <s v="25/08/2026"/>
    <n v="0.96285772000000003"/>
    <m/>
    <n v="6000000"/>
    <n v="5777146.3499999996"/>
    <n v="6000000"/>
    <n v="5777146.3499999996"/>
    <n v="10816031"/>
    <s v="AMOMPY"/>
    <s v="Momentum Capital Investment S.A."/>
    <s v="25/08/2026"/>
    <s v="25/08/2026"/>
    <n v="32"/>
    <s v="No"/>
    <s v=""/>
    <m/>
    <m/>
    <s v="*MAV061001489"/>
    <s v="*MAV061001489"/>
    <n v="9.4549204330043884E-5"/>
  </r>
  <r>
    <x v="216"/>
    <s v="Pesos"/>
    <d v="2026-10-08T00:00:00"/>
    <s v="25/08/2026"/>
    <n v="0.96174123"/>
    <m/>
    <n v="38402544.32"/>
    <n v="36933310.140000001"/>
    <n v="38402544.32"/>
    <n v="36933310.140000001"/>
    <n v="90027958"/>
    <s v="AMOMPY"/>
    <s v="Momentum Capital Investment S.A."/>
    <s v="19/08/2026"/>
    <s v="19/08/2026"/>
    <n v="33"/>
    <s v="No"/>
    <s v=""/>
    <m/>
    <m/>
    <s v="*MAV061001461"/>
    <s v="*MAV061001461"/>
    <n v="6.0445328462411933E-4"/>
  </r>
  <r>
    <x v="88"/>
    <s v="Pesos"/>
    <d v="2026-10-08T00:00:00"/>
    <s v="25/08/2026"/>
    <n v="0.95399895999999995"/>
    <m/>
    <n v="25000000"/>
    <n v="23849973.949999999"/>
    <n v="25000000"/>
    <n v="23849973.949999999"/>
    <n v="70393029"/>
    <s v="AMOMPY"/>
    <s v="Momentum Capital Investment S.A."/>
    <s v="07/08/2026"/>
    <s v="07/08/2026"/>
    <n v="40"/>
    <s v="No"/>
    <s v=""/>
    <m/>
    <m/>
    <s v="*MAV061001397"/>
    <s v="*MAV061001397"/>
    <n v="3.9033043714822521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29"/>
    <s v="AMOMPY"/>
    <s v="Momentum Capital Investment S.A."/>
    <s v="14/08/2026"/>
    <s v="14/08/2026"/>
    <n v="28"/>
    <s v="No"/>
    <s v=""/>
    <m/>
    <m/>
    <s v="*MAV061001432"/>
    <s v="*MAV061001432"/>
    <n v="7.6122209681380728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39"/>
    <s v="AMOMPY"/>
    <s v="Momentum Capital Investment S.A."/>
    <s v="14/08/2026"/>
    <s v="14/08/2026"/>
    <n v="28"/>
    <s v="No"/>
    <s v=""/>
    <m/>
    <m/>
    <s v="*MAV061001433"/>
    <s v="*MAV061001433"/>
    <n v="7.6122209681380728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38"/>
    <s v="AMOMPY"/>
    <s v="Momentum Capital Investment S.A."/>
    <s v="14/08/2026"/>
    <s v="14/08/2026"/>
    <n v="28"/>
    <s v="No"/>
    <s v=""/>
    <m/>
    <m/>
    <s v="*MAV061001434"/>
    <s v="*MAV061001434"/>
    <n v="7.6122209681380728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19"/>
    <s v="AMOMPY"/>
    <s v="Momentum Capital Investment S.A."/>
    <s v="14/08/2026"/>
    <s v="14/08/2026"/>
    <n v="28"/>
    <s v="No"/>
    <s v=""/>
    <m/>
    <m/>
    <s v="*MAV061001435"/>
    <s v="*MAV061001435"/>
    <n v="7.6122209681380728E-4"/>
  </r>
  <r>
    <x v="127"/>
    <s v="Pesos"/>
    <d v="2026-10-08T00:00:00"/>
    <s v="25/08/2026"/>
    <n v="0.96734885999999998"/>
    <m/>
    <n v="68400163.159999996"/>
    <n v="66166820.18"/>
    <n v="68400163.159999996"/>
    <n v="66166820.18"/>
    <n v="40292536"/>
    <s v="AMOMPY"/>
    <s v="Momentum Capital Investment S.A."/>
    <s v="14/08/2026"/>
    <s v="14/08/2026"/>
    <n v="28"/>
    <s v="No"/>
    <s v=""/>
    <m/>
    <m/>
    <s v="*MAV061001436"/>
    <s v="*MAV061001436"/>
    <n v="1.0828910714834308E-3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18"/>
    <s v="AMOMPY"/>
    <s v="Momentum Capital Investment S.A."/>
    <s v="14/08/2026"/>
    <s v="14/08/2026"/>
    <n v="28"/>
    <s v="No"/>
    <s v=""/>
    <m/>
    <m/>
    <s v="*MAV061001437"/>
    <s v="*MAV061001437"/>
    <n v="7.6122209681380728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30"/>
    <s v="AMOMPY"/>
    <s v="Momentum Capital Investment S.A."/>
    <s v="14/08/2026"/>
    <s v="14/08/2026"/>
    <n v="28"/>
    <s v="No"/>
    <s v=""/>
    <m/>
    <m/>
    <s v="*MAV061001438"/>
    <s v="*MAV061001438"/>
    <n v="7.6122209681380728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17"/>
    <s v="AMOMPY"/>
    <s v="Momentum Capital Investment S.A."/>
    <s v="14/08/2026"/>
    <s v="14/08/2026"/>
    <n v="28"/>
    <s v="No"/>
    <s v=""/>
    <m/>
    <m/>
    <s v="*MAV061001439"/>
    <s v="*MAV061001439"/>
    <n v="7.6122209681380728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47"/>
    <s v="AMOMPY"/>
    <s v="Momentum Capital Investment S.A."/>
    <s v="14/08/2026"/>
    <s v="14/08/2026"/>
    <n v="28"/>
    <s v="No"/>
    <s v=""/>
    <m/>
    <m/>
    <s v="*MAV061001440"/>
    <s v="*MAV061001440"/>
    <n v="7.6122209681380728E-4"/>
  </r>
  <r>
    <x v="127"/>
    <s v="Pesos"/>
    <d v="2026-10-08T00:00:00"/>
    <s v="25/08/2026"/>
    <n v="0.96734885999999998"/>
    <m/>
    <n v="68400163.150000006"/>
    <n v="66166820.170000002"/>
    <n v="68400163.150000006"/>
    <n v="66166820.170000002"/>
    <n v="40292516"/>
    <s v="AMOMPY"/>
    <s v="Momentum Capital Investment S.A."/>
    <s v="14/08/2026"/>
    <s v="14/08/2026"/>
    <n v="28"/>
    <s v="No"/>
    <s v=""/>
    <m/>
    <m/>
    <s v="*MAV061001441"/>
    <s v="*MAV061001441"/>
    <n v="1.0828910713197701E-3"/>
  </r>
  <r>
    <x v="127"/>
    <s v="Pesos"/>
    <d v="2026-10-08T00:00:00"/>
    <s v="25/08/2026"/>
    <n v="0.96734885999999998"/>
    <m/>
    <n v="48082135.869999997"/>
    <n v="46512199.549999997"/>
    <n v="48082135.869999997"/>
    <n v="46512199.549999997"/>
    <n v="40292548"/>
    <s v="AMOMPY"/>
    <s v="Momentum Capital Investment S.A."/>
    <s v="14/08/2026"/>
    <s v="14/08/2026"/>
    <n v="28"/>
    <s v="No"/>
    <s v=""/>
    <m/>
    <m/>
    <s v="*MAV061001442"/>
    <s v="*MAV061001442"/>
    <n v="7.6122209697746792E-4"/>
  </r>
  <r>
    <x v="127"/>
    <s v="Pesos"/>
    <d v="2026-10-08T00:00:00"/>
    <s v="25/08/2026"/>
    <n v="0.96734885999999998"/>
    <m/>
    <n v="48082135.859999999"/>
    <n v="46512199.539999999"/>
    <n v="48082135.859999999"/>
    <n v="46512199.539999999"/>
    <n v="40292560"/>
    <s v="AMOMPY"/>
    <s v="Momentum Capital Investment S.A."/>
    <s v="14/08/2026"/>
    <s v="14/08/2026"/>
    <n v="28"/>
    <s v="No"/>
    <s v=""/>
    <m/>
    <m/>
    <s v="*MAV061001443"/>
    <s v="*MAV061001443"/>
    <n v="7.6122209681380728E-4"/>
  </r>
  <r>
    <x v="127"/>
    <s v="Pesos"/>
    <d v="2026-10-08T00:00:00"/>
    <s v="25/08/2026"/>
    <n v="0.96734874999999998"/>
    <m/>
    <n v="64965211.600000001"/>
    <n v="62844016.43"/>
    <n v="64965211.600000001"/>
    <n v="62844016.43"/>
    <n v="40292544"/>
    <s v="AMOMPY"/>
    <s v="Momentum Capital Investment S.A."/>
    <s v="05/08/2026"/>
    <s v="05/08/2026"/>
    <n v="28"/>
    <s v="No"/>
    <s v=""/>
    <m/>
    <m/>
    <s v="*MAV061001373"/>
    <s v="*MAV061001373"/>
    <n v="1.0285098196206688E-3"/>
  </r>
  <r>
    <x v="127"/>
    <s v="Pesos"/>
    <d v="2026-10-08T00:00:00"/>
    <s v="25/08/2026"/>
    <n v="0.96734874999999998"/>
    <m/>
    <n v="64965211.600000001"/>
    <n v="62844016.43"/>
    <n v="64965211.600000001"/>
    <n v="62844016.43"/>
    <n v="40292563"/>
    <s v="AMOMPY"/>
    <s v="Momentum Capital Investment S.A."/>
    <s v="05/08/2026"/>
    <s v="05/08/2026"/>
    <n v="28"/>
    <s v="No"/>
    <s v=""/>
    <m/>
    <m/>
    <s v="*MAV061001374"/>
    <s v="*MAV061001374"/>
    <n v="1.0285098196206688E-3"/>
  </r>
  <r>
    <x v="217"/>
    <s v="Pesos"/>
    <d v="2026-10-08T00:00:00"/>
    <s v="25/08/2026"/>
    <n v="0.96285750999999997"/>
    <m/>
    <n v="7500000"/>
    <n v="7221431.3399999999"/>
    <n v="7500000"/>
    <n v="7221431.3399999999"/>
    <n v="67195465"/>
    <s v="AMOMPY"/>
    <s v="Momentum Capital Investment S.A."/>
    <s v="14/07/2026"/>
    <s v="14/07/2026"/>
    <n v="32"/>
    <s v="No"/>
    <s v=""/>
    <m/>
    <m/>
    <s v="*MAV061001281"/>
    <s v="*MAV061001281"/>
    <n v="1.1818647926775173E-4"/>
  </r>
  <r>
    <x v="0"/>
    <s v="Pesos"/>
    <d v="2026-10-09T00:00:00"/>
    <s v="25/08/2026"/>
    <n v="0.96433307999999995"/>
    <m/>
    <n v="2000000"/>
    <n v="1928666.15"/>
    <n v="2000000"/>
    <n v="1928666.15"/>
    <n v="9807"/>
    <s v="AMOMPY"/>
    <s v="Momentum Capital Investment S.A."/>
    <s v="04/08/2026"/>
    <s v="04/08/2026"/>
    <n v="30"/>
    <s v="No"/>
    <s v=""/>
    <m/>
    <m/>
    <s v="*MAV071001280"/>
    <s v="*MAV071001280"/>
    <n v="3.1564692817724629E-5"/>
  </r>
  <r>
    <x v="27"/>
    <s v="Pesos"/>
    <d v="2026-10-09T00:00:00"/>
    <s v="25/08/2026"/>
    <n v="0.96433307000000001"/>
    <m/>
    <n v="100000000"/>
    <n v="96433306.730000004"/>
    <n v="100000000"/>
    <n v="96433306.730000004"/>
    <n v="90003981"/>
    <s v="AMOMPY"/>
    <s v="Momentum Capital Investment S.A."/>
    <s v="04/08/2026"/>
    <s v="04/08/2026"/>
    <n v="30"/>
    <s v="No"/>
    <s v=""/>
    <m/>
    <m/>
    <s v="*MAV071001282"/>
    <s v="*MAV071001282"/>
    <n v="1.5782346282843546E-3"/>
  </r>
  <r>
    <x v="218"/>
    <s v="Pesos"/>
    <d v="2026-10-09T00:00:00"/>
    <s v="25/08/2026"/>
    <n v="0.96090562999999996"/>
    <m/>
    <n v="85000000"/>
    <n v="81676978.920000002"/>
    <n v="85000000"/>
    <n v="81676978.920000002"/>
    <n v="68458909"/>
    <s v="AMOMPY"/>
    <s v="Momentum Capital Investment S.A."/>
    <s v="21/07/2026"/>
    <s v="21/07/2026"/>
    <n v="33"/>
    <s v="No"/>
    <s v=""/>
    <m/>
    <m/>
    <s v="*MAV071001239"/>
    <s v="*MAV071001239"/>
    <n v="1.3367314762534565E-3"/>
  </r>
  <r>
    <x v="9"/>
    <s v="Pesos"/>
    <d v="2026-10-09T00:00:00"/>
    <s v="25/08/2026"/>
    <n v="0.96204548999999995"/>
    <m/>
    <n v="17357571"/>
    <n v="16698772.92"/>
    <n v="17357571"/>
    <n v="16698772.92"/>
    <n v="90044753"/>
    <s v="AMOMPY"/>
    <s v="Momentum Capital Investment S.A."/>
    <s v="21/08/2026"/>
    <s v="21/08/2026"/>
    <n v="32"/>
    <s v="No"/>
    <s v=""/>
    <m/>
    <m/>
    <s v="*MAV071001378"/>
    <s v="*MAV071001378"/>
    <n v="2.7329335232680811E-4"/>
  </r>
  <r>
    <x v="82"/>
    <s v="Pesos"/>
    <d v="2026-10-09T00:00:00"/>
    <s v="25/08/2026"/>
    <n v="0.95524750000000003"/>
    <m/>
    <n v="20000000"/>
    <n v="19104950.02"/>
    <n v="20000000"/>
    <n v="19104950.02"/>
    <n v="70219570"/>
    <s v="AMOMPY"/>
    <s v="Momentum Capital Investment S.A."/>
    <s v="07/08/2026"/>
    <s v="07/08/2026"/>
    <n v="38"/>
    <s v="No"/>
    <s v=""/>
    <m/>
    <m/>
    <s v="*MAV071001303"/>
    <s v="*MAV071001303"/>
    <n v="3.1267302465970176E-4"/>
  </r>
  <r>
    <x v="107"/>
    <s v="Pesos"/>
    <d v="2026-10-09T00:00:00"/>
    <s v="25/08/2026"/>
    <n v="0.95976859999999997"/>
    <m/>
    <n v="50000000"/>
    <n v="47988430.189999998"/>
    <n v="50000000"/>
    <n v="47988430.189999998"/>
    <n v="550"/>
    <s v="AMOMPY"/>
    <s v="Momentum Capital Investment S.A."/>
    <s v="28/07/2026"/>
    <s v="28/07/2026"/>
    <n v="34"/>
    <s v="No"/>
    <s v=""/>
    <m/>
    <m/>
    <s v="*MAV071001250"/>
    <s v="*MAV071001250"/>
    <n v="7.8538219678515788E-4"/>
  </r>
  <r>
    <x v="12"/>
    <s v="Pesos"/>
    <d v="2026-10-09T00:00:00"/>
    <s v="25/08/2026"/>
    <n v="0.97009975999999998"/>
    <m/>
    <n v="25000000"/>
    <n v="24252494.050000001"/>
    <n v="25000000"/>
    <n v="24252494.050000001"/>
    <n v="929"/>
    <s v="AMOMPY"/>
    <s v="Momentum Capital Investment S.A."/>
    <s v="02/07/2026"/>
    <s v="02/07/2026"/>
    <n v="25"/>
    <s v="No"/>
    <s v=""/>
    <m/>
    <m/>
    <s v="*PRO071000009"/>
    <s v="*PRO071000009"/>
    <n v="3.9691811086742224E-4"/>
  </r>
  <r>
    <x v="12"/>
    <s v="Pesos"/>
    <d v="2026-10-09T00:00:00"/>
    <s v="25/08/2026"/>
    <n v="0.97009975999999998"/>
    <m/>
    <n v="25000000"/>
    <n v="24252493.899999999"/>
    <n v="25000000"/>
    <n v="24252493.899999999"/>
    <n v="6534"/>
    <s v="AMOMPY"/>
    <s v="Momentum Capital Investment S.A."/>
    <s v="16/07/2026"/>
    <s v="16/07/2026"/>
    <n v="25"/>
    <s v="No"/>
    <s v=""/>
    <m/>
    <m/>
    <s v="*PRO071000011"/>
    <s v="*PRO071000011"/>
    <n v="3.9691810841251108E-4"/>
  </r>
  <r>
    <x v="12"/>
    <s v="Pesos"/>
    <d v="2026-10-09T00:00:00"/>
    <s v="25/08/2026"/>
    <n v="0.97009975999999998"/>
    <m/>
    <n v="25000000"/>
    <n v="24252493.899999999"/>
    <n v="25000000"/>
    <n v="24252493.899999999"/>
    <n v="6535"/>
    <s v="AMOMPY"/>
    <s v="Momentum Capital Investment S.A."/>
    <s v="16/07/2026"/>
    <s v="16/07/2026"/>
    <n v="25"/>
    <s v="No"/>
    <s v=""/>
    <m/>
    <m/>
    <s v="*PRO071000010"/>
    <s v="*PRO071000010"/>
    <n v="3.9691810841251108E-4"/>
  </r>
  <r>
    <x v="12"/>
    <s v="Pesos"/>
    <d v="2026-10-09T00:00:00"/>
    <s v="25/08/2026"/>
    <n v="0.97126142999999998"/>
    <m/>
    <n v="6250000"/>
    <n v="6070383.9199999999"/>
    <n v="6250000"/>
    <n v="6070383.9199999999"/>
    <n v="50459993"/>
    <s v="AMOMPY"/>
    <s v="Momentum Capital Investment S.A."/>
    <s v="17/07/2026"/>
    <s v="17/07/2026"/>
    <n v="24"/>
    <s v="No"/>
    <s v=""/>
    <m/>
    <m/>
    <s v="*PRO071000012"/>
    <s v="*PRO071000012"/>
    <n v="9.9348352082839783E-5"/>
  </r>
  <r>
    <x v="13"/>
    <s v="Pesos"/>
    <d v="2026-10-09T00:00:00"/>
    <s v="25/08/2026"/>
    <n v="0.96663138000000004"/>
    <m/>
    <n v="2500000"/>
    <n v="2416578.46"/>
    <n v="2500000"/>
    <n v="2416578.46"/>
    <n v="90031813"/>
    <s v="AMOMPY"/>
    <s v="Momentum Capital Investment S.A."/>
    <s v="22/04/2026"/>
    <s v="22/04/2026"/>
    <n v="28"/>
    <s v="No"/>
    <s v=""/>
    <m/>
    <m/>
    <s v="*MOV071000055"/>
    <s v="*MOV071000055"/>
    <n v="3.9549901759736927E-5"/>
  </r>
  <r>
    <x v="10"/>
    <s v="Pesos"/>
    <d v="2026-10-09T00:00:00"/>
    <s v="25/08/2026"/>
    <n v="0.97009977000000003"/>
    <m/>
    <n v="8650000"/>
    <n v="8391363.0399999991"/>
    <n v="8650000"/>
    <n v="8391363.0399999991"/>
    <n v="34385"/>
    <s v="AMOMPY"/>
    <s v="Momentum Capital Investment S.A."/>
    <s v="20/07/2026"/>
    <s v="20/07/2026"/>
    <n v="25"/>
    <s v="No"/>
    <s v=""/>
    <m/>
    <m/>
    <s v="*MIL071000032"/>
    <s v="*MIL071000032"/>
    <n v="1.3733366797545957E-4"/>
  </r>
  <r>
    <x v="10"/>
    <s v="Pesos"/>
    <d v="2026-10-09T00:00:00"/>
    <s v="25/08/2026"/>
    <n v="0.96778472999999998"/>
    <m/>
    <n v="24500000"/>
    <n v="23710725.91"/>
    <n v="24500000"/>
    <n v="23710725.91"/>
    <n v="34219"/>
    <s v="AMOMPY"/>
    <s v="Momentum Capital Investment S.A."/>
    <s v="07/07/2026"/>
    <s v="07/07/2026"/>
    <n v="27"/>
    <s v="No"/>
    <s v=""/>
    <m/>
    <m/>
    <s v="*MIL071000031"/>
    <s v="*MIL071000031"/>
    <n v="3.8805149342949495E-4"/>
  </r>
  <r>
    <x v="34"/>
    <s v="Pesos"/>
    <d v="2026-10-09T00:00:00"/>
    <s v="25/08/2026"/>
    <n v="0.96204553000000004"/>
    <m/>
    <n v="3000000"/>
    <n v="2886136.6"/>
    <n v="3000000"/>
    <n v="2886136.6"/>
    <n v="1037"/>
    <s v="AMOMPY"/>
    <s v="Momentum Capital Investment S.A."/>
    <s v="25/08/2026"/>
    <s v="25/08/2026"/>
    <n v="32"/>
    <s v="No"/>
    <s v=""/>
    <m/>
    <m/>
    <s v="*MAV071001404"/>
    <s v="*MAV071001404"/>
    <n v="4.7234724998410009E-5"/>
  </r>
  <r>
    <x v="99"/>
    <s v="Pesos"/>
    <d v="2026-10-09T00:00:00"/>
    <s v="25/08/2026"/>
    <n v="0.96204537999999995"/>
    <m/>
    <n v="14479899.68"/>
    <n v="13930320.58"/>
    <n v="14479899.68"/>
    <n v="13930320.58"/>
    <n v="9933006"/>
    <s v="AMOMPY"/>
    <s v="Momentum Capital Investment S.A."/>
    <s v="12/06/2026"/>
    <s v="12/06/2026"/>
    <n v="32"/>
    <s v="No"/>
    <s v=""/>
    <m/>
    <m/>
    <s v="*MAV071001163"/>
    <s v="*MAV071001163"/>
    <n v="2.2798465662920856E-4"/>
  </r>
  <r>
    <x v="127"/>
    <s v="Pesos"/>
    <d v="2026-10-09T00:00:00"/>
    <s v="25/08/2026"/>
    <n v="0.96663149000000004"/>
    <m/>
    <n v="55696615.780000001"/>
    <n v="53838102.93"/>
    <n v="55696615.780000001"/>
    <n v="53838102.93"/>
    <n v="40292798"/>
    <s v="AMOMPY"/>
    <s v="Momentum Capital Investment S.A."/>
    <s v="07/08/2026"/>
    <s v="07/08/2026"/>
    <n v="28"/>
    <s v="No"/>
    <s v=""/>
    <m/>
    <m/>
    <s v="*MAV071001308"/>
    <s v="*MAV071001308"/>
    <n v="8.8111837337659002E-4"/>
  </r>
  <r>
    <x v="127"/>
    <s v="Pesos"/>
    <d v="2026-10-09T00:00:00"/>
    <s v="25/08/2026"/>
    <n v="0.96663149000000004"/>
    <m/>
    <n v="55696615.780000001"/>
    <n v="53838102.93"/>
    <n v="55696615.780000001"/>
    <n v="53838102.93"/>
    <n v="40292779"/>
    <s v="AMOMPY"/>
    <s v="Momentum Capital Investment S.A."/>
    <s v="07/08/2026"/>
    <s v="07/08/2026"/>
    <n v="28"/>
    <s v="No"/>
    <s v=""/>
    <m/>
    <m/>
    <s v="*MAV071001309"/>
    <s v="*MAV071001309"/>
    <n v="8.8111837337659002E-4"/>
  </r>
  <r>
    <x v="122"/>
    <s v="Pesos"/>
    <d v="2026-10-09T00:00:00"/>
    <s v="25/08/2026"/>
    <n v="0.96204551999999999"/>
    <m/>
    <n v="40000000"/>
    <n v="38481820.920000002"/>
    <n v="40000000"/>
    <n v="38481820.920000002"/>
    <n v="10629809"/>
    <s v="AMOMPY"/>
    <s v="Momentum Capital Investment S.A."/>
    <s v="11/08/2026"/>
    <s v="11/08/2026"/>
    <n v="32"/>
    <s v="No"/>
    <s v=""/>
    <m/>
    <m/>
    <s v="*MAV071001327"/>
    <s v="*MAV071001327"/>
    <n v="6.2979632654748964E-4"/>
  </r>
  <r>
    <x v="181"/>
    <s v="Pesos"/>
    <d v="2026-10-13T00:00:00"/>
    <s v="25/08/2026"/>
    <n v="0.95634876000000002"/>
    <m/>
    <n v="4300000"/>
    <n v="4112299.68"/>
    <n v="4300000"/>
    <n v="4112299.68"/>
    <n v="40768564"/>
    <s v="AMOMPY"/>
    <s v="Momentum Capital Investment S.A."/>
    <s v="28/07/2026"/>
    <s v="28/07/2026"/>
    <n v="34"/>
    <s v="No"/>
    <s v=""/>
    <m/>
    <m/>
    <s v="*MAV081001153"/>
    <s v="*MAV081001153"/>
    <n v="6.730220062898253E-5"/>
  </r>
  <r>
    <x v="181"/>
    <s v="Pesos"/>
    <d v="2026-10-13T00:00:00"/>
    <s v="25/08/2026"/>
    <n v="0.95512235999999995"/>
    <m/>
    <n v="2250000"/>
    <n v="2149025.31"/>
    <n v="2250000"/>
    <n v="2149025.31"/>
    <n v="40768589"/>
    <s v="AMOMPY"/>
    <s v="Momentum Capital Investment S.A."/>
    <s v="05/08/2026"/>
    <s v="05/08/2026"/>
    <n v="35"/>
    <s v="No"/>
    <s v=""/>
    <m/>
    <m/>
    <s v="*MAV081001192"/>
    <s v="*MAV081001192"/>
    <n v="3.5171107123783686E-5"/>
  </r>
  <r>
    <x v="214"/>
    <s v="Pesos"/>
    <d v="2026-10-13T00:00:00"/>
    <s v="25/08/2026"/>
    <n v="0.95024863999999998"/>
    <m/>
    <n v="3750000"/>
    <n v="3563432.4"/>
    <n v="3750000"/>
    <n v="3563432.4"/>
    <n v="66920072"/>
    <s v="AMOMPY"/>
    <s v="Momentum Capital Investment S.A."/>
    <s v="13/05/2026"/>
    <s v="13/05/2026"/>
    <n v="39"/>
    <s v="No"/>
    <s v=""/>
    <m/>
    <m/>
    <s v="*MAV081001027"/>
    <s v="*MAV081001027"/>
    <n v="5.8319398140900248E-5"/>
  </r>
  <r>
    <x v="48"/>
    <s v="Pesos"/>
    <d v="2026-10-13T00:00:00"/>
    <s v="25/08/2026"/>
    <n v="0.96252736999999999"/>
    <m/>
    <n v="8106418.25"/>
    <n v="7802649.4100000001"/>
    <n v="8106418.25"/>
    <n v="7802649.4100000001"/>
    <n v="90000803"/>
    <s v="AMOMPY"/>
    <s v="Momentum Capital Investment S.A."/>
    <s v="03/07/2026"/>
    <s v="03/07/2026"/>
    <n v="29"/>
    <s v="No"/>
    <s v=""/>
    <m/>
    <m/>
    <s v="*FED081000019"/>
    <s v="*FED081000019"/>
    <n v="1.276987371770124E-4"/>
  </r>
  <r>
    <x v="47"/>
    <s v="Pesos"/>
    <d v="2026-10-13T00:00:00"/>
    <s v="25/08/2026"/>
    <n v="0.95634867000000001"/>
    <m/>
    <n v="10000000"/>
    <n v="9563486.75"/>
    <n v="10000000"/>
    <n v="9563486.75"/>
    <n v="14284508"/>
    <s v="AMOMPY"/>
    <s v="Momentum Capital Investment S.A."/>
    <s v="24/08/2026"/>
    <s v="24/08/2026"/>
    <n v="34"/>
    <s v="No"/>
    <s v=""/>
    <m/>
    <m/>
    <s v="*MAV081001282"/>
    <s v="*MAV081001282"/>
    <n v="1.5651673128090607E-4"/>
  </r>
  <r>
    <x v="10"/>
    <s v="Pesos"/>
    <d v="2026-10-13T00:00:00"/>
    <s v="25/08/2026"/>
    <n v="0.96502136999999999"/>
    <m/>
    <n v="15000000"/>
    <n v="14475320.529999999"/>
    <n v="15000000"/>
    <n v="14475320.529999999"/>
    <n v="11338650"/>
    <s v="AMOMPY"/>
    <s v="Momentum Capital Investment S.A."/>
    <s v="16/07/2026"/>
    <s v="16/07/2026"/>
    <n v="27"/>
    <s v="No"/>
    <s v=""/>
    <m/>
    <m/>
    <s v="*MIL081000034"/>
    <s v="*MIL081000034"/>
    <n v="2.3690416610855792E-4"/>
  </r>
  <r>
    <x v="34"/>
    <s v="Pesos"/>
    <d v="2026-10-13T00:00:00"/>
    <s v="25/08/2026"/>
    <n v="0.96128522999999999"/>
    <m/>
    <n v="5000000"/>
    <n v="4806426.16"/>
    <n v="5000000"/>
    <n v="4806426.16"/>
    <n v="790"/>
    <s v="AMOMPY"/>
    <s v="Momentum Capital Investment S.A."/>
    <s v="14/07/2026"/>
    <s v="14/07/2026"/>
    <n v="30"/>
    <s v="No"/>
    <s v=""/>
    <m/>
    <m/>
    <s v="*MAV081001116"/>
    <s v="*MAV081001116"/>
    <n v="7.8662325924824157E-5"/>
  </r>
  <r>
    <x v="34"/>
    <s v="Pesos"/>
    <d v="2026-10-13T00:00:00"/>
    <s v="25/08/2026"/>
    <n v="0.96128530000000001"/>
    <m/>
    <n v="2500000"/>
    <n v="2403213.25"/>
    <n v="2500000"/>
    <n v="2403213.25"/>
    <n v="882"/>
    <s v="AMOMPY"/>
    <s v="Momentum Capital Investment S.A."/>
    <s v="06/08/2026"/>
    <s v="06/08/2026"/>
    <n v="30"/>
    <s v="No"/>
    <s v=""/>
    <m/>
    <m/>
    <s v="*MAV081001195"/>
    <s v="*MAV081001195"/>
    <n v="3.9331165744644646E-5"/>
  </r>
  <r>
    <x v="34"/>
    <s v="Pesos"/>
    <d v="2026-10-13T00:00:00"/>
    <s v="25/08/2026"/>
    <n v="0.96128524999999998"/>
    <m/>
    <n v="4000000"/>
    <n v="3845140.98"/>
    <n v="4000000"/>
    <n v="3845140.98"/>
    <n v="859"/>
    <s v="AMOMPY"/>
    <s v="Momentum Capital Investment S.A."/>
    <s v="05/08/2026"/>
    <s v="05/08/2026"/>
    <n v="30"/>
    <s v="No"/>
    <s v=""/>
    <m/>
    <m/>
    <s v="*MAV081001190"/>
    <s v="*MAV081001190"/>
    <n v="6.2929861590895167E-5"/>
  </r>
  <r>
    <x v="34"/>
    <s v="Pesos"/>
    <d v="2026-10-13T00:00:00"/>
    <s v="25/08/2026"/>
    <n v="0.96128535999999998"/>
    <m/>
    <n v="2500000"/>
    <n v="2403213.4"/>
    <n v="2500000"/>
    <n v="2403213.4"/>
    <n v="905"/>
    <s v="AMOMPY"/>
    <s v="Momentum Capital Investment S.A."/>
    <s v="07/08/2026"/>
    <s v="07/08/2026"/>
    <n v="30"/>
    <s v="No"/>
    <s v=""/>
    <m/>
    <m/>
    <s v="*MAV081001200"/>
    <s v="*MAV081001200"/>
    <n v="3.9331168199555731E-5"/>
  </r>
  <r>
    <x v="34"/>
    <s v="Pesos"/>
    <d v="2026-10-13T00:00:00"/>
    <s v="25/08/2026"/>
    <n v="0.95881072000000001"/>
    <m/>
    <n v="3000000"/>
    <n v="2876432.16"/>
    <n v="3000000"/>
    <n v="2876432.16"/>
    <n v="1038"/>
    <s v="AMOMPY"/>
    <s v="Momentum Capital Investment S.A."/>
    <s v="25/08/2026"/>
    <s v="25/08/2026"/>
    <n v="32"/>
    <s v="No"/>
    <s v=""/>
    <m/>
    <m/>
    <s v="*MAV081001298"/>
    <s v="*MAV081001298"/>
    <n v="4.7075901415817429E-5"/>
  </r>
  <r>
    <x v="99"/>
    <s v="Pesos"/>
    <d v="2026-10-13T00:00:00"/>
    <s v="25/08/2026"/>
    <n v="0.95881059000000002"/>
    <m/>
    <n v="14479899.68"/>
    <n v="13883481.09"/>
    <n v="14479899.68"/>
    <n v="13883481.09"/>
    <n v="9933005"/>
    <s v="AMOMPY"/>
    <s v="Momentum Capital Investment S.A."/>
    <s v="12/06/2026"/>
    <s v="12/06/2026"/>
    <n v="32"/>
    <s v="No"/>
    <s v=""/>
    <m/>
    <m/>
    <s v="*MAV081001044"/>
    <s v="*MAV081001044"/>
    <n v="2.2721807807252631E-4"/>
  </r>
  <r>
    <x v="145"/>
    <s v="Pesos"/>
    <d v="2026-10-13T00:00:00"/>
    <s v="25/08/2026"/>
    <n v="0.95881055999999998"/>
    <m/>
    <n v="15000000"/>
    <n v="14382158.41"/>
    <n v="15000000"/>
    <n v="14382158.41"/>
    <n v="13953460"/>
    <s v="AMOMPY"/>
    <s v="Momentum Capital Investment S.A."/>
    <s v="14/07/2026"/>
    <s v="14/07/2026"/>
    <n v="32"/>
    <s v="No"/>
    <s v=""/>
    <m/>
    <m/>
    <s v="*MAV081001114"/>
    <s v="*MAV081001114"/>
    <n v="2.3537946796417042E-4"/>
  </r>
  <r>
    <x v="145"/>
    <s v="Pesos"/>
    <d v="2026-10-13T00:00:00"/>
    <s v="25/08/2026"/>
    <n v="0.95881066000000004"/>
    <m/>
    <n v="40000000"/>
    <n v="38352426.520000003"/>
    <n v="40000000"/>
    <n v="38352426.520000003"/>
    <n v="13795907"/>
    <s v="AMOMPY"/>
    <s v="Momentum Capital Investment S.A."/>
    <s v="25/06/2026"/>
    <s v="25/06/2026"/>
    <n v="32"/>
    <s v="No"/>
    <s v=""/>
    <m/>
    <m/>
    <s v="*MAV081001065"/>
    <s v="*MAV081001065"/>
    <n v="6.2767864822958384E-4"/>
  </r>
  <r>
    <x v="219"/>
    <s v="Pesos"/>
    <d v="2026-10-13T00:00:00"/>
    <s v="25/08/2026"/>
    <n v="0.95757813000000003"/>
    <m/>
    <n v="20000000"/>
    <n v="19151562.579999998"/>
    <n v="20000000"/>
    <n v="19151562.579999998"/>
    <n v="40663539"/>
    <s v="AMOMPY"/>
    <s v="Momentum Capital Investment S.A."/>
    <s v="31/07/2026"/>
    <s v="31/07/2026"/>
    <n v="33"/>
    <s v="No"/>
    <s v=""/>
    <m/>
    <m/>
    <s v="*MAV081001171"/>
    <s v="*MAV081001171"/>
    <n v="3.1343588926322462E-4"/>
  </r>
  <r>
    <x v="217"/>
    <s v="Pesos"/>
    <d v="2026-10-13T00:00:00"/>
    <s v="25/08/2026"/>
    <n v="0.95881055999999998"/>
    <m/>
    <n v="7500000"/>
    <n v="7191079.21"/>
    <n v="7500000"/>
    <n v="7191079.21"/>
    <n v="67195476"/>
    <s v="AMOMPY"/>
    <s v="Momentum Capital Investment S.A."/>
    <s v="14/07/2026"/>
    <s v="14/07/2026"/>
    <n v="32"/>
    <s v="No"/>
    <s v=""/>
    <m/>
    <m/>
    <s v="*MAV081001113"/>
    <s v="*MAV081001113"/>
    <n v="1.1768973406391559E-4"/>
  </r>
  <r>
    <x v="130"/>
    <s v="Pesos"/>
    <d v="2026-10-14T00:00:00"/>
    <s v="25/08/2026"/>
    <n v="0.95674979999999998"/>
    <m/>
    <n v="85000000"/>
    <n v="81323733.239999995"/>
    <n v="85000000"/>
    <n v="81323733.239999995"/>
    <n v="8444"/>
    <s v="AMOMPY"/>
    <s v="Momentum Capital Investment S.A."/>
    <s v="14/07/2026"/>
    <s v="14/07/2026"/>
    <n v="33"/>
    <s v="No"/>
    <s v=""/>
    <m/>
    <m/>
    <s v="*MAV091001184"/>
    <s v="*MAV091001184"/>
    <n v="1.3309502313353619E-3"/>
  </r>
  <r>
    <x v="27"/>
    <s v="Pesos"/>
    <d v="2026-10-14T00:00:00"/>
    <s v="25/08/2026"/>
    <n v="0.96052632999999998"/>
    <m/>
    <n v="150000000"/>
    <n v="144078950.21000001"/>
    <n v="150000000"/>
    <n v="144078950.21000001"/>
    <n v="90003992"/>
    <s v="AMOMPY"/>
    <s v="Momentum Capital Investment S.A."/>
    <s v="06/08/2026"/>
    <s v="06/08/2026"/>
    <n v="30"/>
    <s v="No"/>
    <s v=""/>
    <m/>
    <m/>
    <s v="*MAV091001314"/>
    <s v="*MAV091001314"/>
    <n v="2.3580067524277813E-3"/>
  </r>
  <r>
    <x v="220"/>
    <s v="Pesos"/>
    <d v="2026-10-14T00:00:00"/>
    <s v="25/08/2026"/>
    <n v="0.95674970000000004"/>
    <m/>
    <n v="800000000"/>
    <n v="765399756.96000004"/>
    <n v="800000000"/>
    <n v="765399756.96000004"/>
    <n v="152839"/>
    <s v="AMOMPY"/>
    <s v="Momentum Capital Investment S.A."/>
    <s v="09/06/2026"/>
    <s v="09/06/2026"/>
    <n v="33"/>
    <s v="No"/>
    <s v=""/>
    <m/>
    <m/>
    <s v="#MAV121060011"/>
    <s v="#MAV121060011"/>
    <n v="1.252658901656126E-2"/>
  </r>
  <r>
    <x v="29"/>
    <s v="Pesos"/>
    <d v="2026-10-14T00:00:00"/>
    <s v="25/08/2026"/>
    <n v="0.96179186000000005"/>
    <m/>
    <n v="10000000"/>
    <n v="9617918.6099999994"/>
    <n v="10000000"/>
    <n v="9617918.6099999994"/>
    <n v="80620808"/>
    <s v="AMOMPY"/>
    <s v="Momentum Capital Investment S.A."/>
    <s v="01/07/2026"/>
    <s v="01/07/2026"/>
    <n v="29"/>
    <s v="No"/>
    <s v=""/>
    <m/>
    <m/>
    <s v="*NEU091000021"/>
    <s v="*NEU091000021"/>
    <n v="1.5740756712639305E-4"/>
  </r>
  <r>
    <x v="221"/>
    <s v="Pesos"/>
    <d v="2026-10-14T00:00:00"/>
    <s v="25/08/2026"/>
    <n v="0.95674970000000004"/>
    <m/>
    <n v="650000000"/>
    <n v="621887302.52999997"/>
    <n v="650000000"/>
    <n v="621887302.52999997"/>
    <n v="152838"/>
    <s v="AMOMPY"/>
    <s v="Momentum Capital Investment S.A."/>
    <s v="09/06/2026"/>
    <s v="09/06/2026"/>
    <n v="33"/>
    <s v="No"/>
    <s v=""/>
    <m/>
    <m/>
    <s v="#MAV121060010"/>
    <s v="#MAV121060010"/>
    <n v="1.0177853575956023E-2"/>
  </r>
  <r>
    <x v="8"/>
    <s v="Pesos"/>
    <d v="2026-10-14T00:00:00"/>
    <s v="25/08/2026"/>
    <n v="0.96816986000000005"/>
    <m/>
    <n v="5000000"/>
    <n v="4840849.28"/>
    <n v="5000000"/>
    <n v="4840849.28"/>
    <n v="16831531"/>
    <s v="AMOMPY"/>
    <s v="Momentum Capital Investment S.A."/>
    <s v="21/07/2026"/>
    <s v="21/07/2026"/>
    <n v="24"/>
    <s v="No"/>
    <s v=""/>
    <m/>
    <m/>
    <s v="*INP091000050"/>
    <s v="*INP091000050"/>
    <n v="7.9225697252011947E-5"/>
  </r>
  <r>
    <x v="48"/>
    <s v="Pesos"/>
    <d v="2026-10-14T00:00:00"/>
    <s v="25/08/2026"/>
    <n v="0.96688742000000005"/>
    <m/>
    <n v="40000000"/>
    <n v="38675496.789999999"/>
    <n v="40000000"/>
    <n v="38675496.789999999"/>
    <n v="67620341"/>
    <s v="AMOMPY"/>
    <s v="Momentum Capital Investment S.A."/>
    <s v="12/06/2026"/>
    <s v="12/06/2026"/>
    <n v="25"/>
    <s v="No"/>
    <s v=""/>
    <m/>
    <m/>
    <s v="*FED091000019"/>
    <s v="*FED091000019"/>
    <n v="6.3296604015642885E-4"/>
  </r>
  <r>
    <x v="82"/>
    <s v="Pesos"/>
    <d v="2026-10-14T00:00:00"/>
    <s v="25/08/2026"/>
    <n v="0.95052088000000001"/>
    <m/>
    <n v="42000000"/>
    <n v="39921877.130000003"/>
    <n v="42000000"/>
    <n v="39921877.130000003"/>
    <n v="160222"/>
    <s v="AMOMPY"/>
    <s v="Momentum Capital Investment S.A."/>
    <s v="10/08/2026"/>
    <s v="10/08/2026"/>
    <n v="38"/>
    <s v="No"/>
    <s v=""/>
    <m/>
    <m/>
    <s v="#MAV131060049"/>
    <s v="#MAV131060049"/>
    <n v="6.5336439295903871E-4"/>
  </r>
  <r>
    <x v="82"/>
    <s v="Pesos"/>
    <d v="2026-10-14T00:00:00"/>
    <s v="25/08/2026"/>
    <n v="0.95052093000000004"/>
    <m/>
    <n v="42000000"/>
    <n v="39921878.899999999"/>
    <n v="42000000"/>
    <n v="39921878.899999999"/>
    <n v="160220"/>
    <s v="AMOMPY"/>
    <s v="Momentum Capital Investment S.A."/>
    <s v="07/08/2026"/>
    <s v="07/08/2026"/>
    <n v="38"/>
    <s v="No"/>
    <s v=""/>
    <m/>
    <m/>
    <s v="#MAV131060046"/>
    <s v="#MAV131060046"/>
    <n v="6.5336442192698958E-4"/>
  </r>
  <r>
    <x v="82"/>
    <s v="Pesos"/>
    <d v="2026-10-14T00:00:00"/>
    <s v="25/08/2026"/>
    <n v="0.95052093000000004"/>
    <m/>
    <n v="42000000"/>
    <n v="39921878.899999999"/>
    <n v="42000000"/>
    <n v="39921878.899999999"/>
    <n v="160221"/>
    <s v="AMOMPY"/>
    <s v="Momentum Capital Investment S.A."/>
    <s v="07/08/2026"/>
    <s v="07/08/2026"/>
    <n v="38"/>
    <s v="No"/>
    <s v=""/>
    <m/>
    <m/>
    <s v="#MAV131060047"/>
    <s v="#MAV131060047"/>
    <n v="6.5336442192698958E-4"/>
  </r>
  <r>
    <x v="12"/>
    <s v="Pesos"/>
    <d v="2026-10-14T00:00:00"/>
    <s v="25/08/2026"/>
    <n v="0.96306069000000005"/>
    <m/>
    <n v="10950000"/>
    <n v="10545514.539999999"/>
    <n v="10950000"/>
    <n v="10545514.539999999"/>
    <n v="90000870"/>
    <s v="AMOMPY"/>
    <s v="Momentum Capital Investment S.A."/>
    <s v="13/08/2026"/>
    <s v="13/08/2026"/>
    <n v="28"/>
    <s v="No"/>
    <s v=""/>
    <m/>
    <m/>
    <s v="*PRO091000013"/>
    <s v="*PRO091000013"/>
    <n v="1.7258867070381705E-4"/>
  </r>
  <r>
    <x v="13"/>
    <s v="Pesos"/>
    <d v="2026-10-14T00:00:00"/>
    <s v="25/08/2026"/>
    <n v="0.96306068"/>
    <m/>
    <n v="2500000"/>
    <n v="2407651.71"/>
    <n v="2500000"/>
    <n v="2407651.71"/>
    <n v="90031814"/>
    <s v="AMOMPY"/>
    <s v="Momentum Capital Investment S.A."/>
    <s v="22/04/2026"/>
    <s v="22/04/2026"/>
    <n v="28"/>
    <s v="No"/>
    <s v=""/>
    <m/>
    <m/>
    <s v="*MOV091000055"/>
    <s v="*MOV091000055"/>
    <n v="3.9403805909187253E-5"/>
  </r>
  <r>
    <x v="13"/>
    <s v="Pesos"/>
    <d v="2026-10-14T00:00:00"/>
    <s v="25/08/2026"/>
    <n v="0.96306073999999997"/>
    <m/>
    <n v="25000000"/>
    <n v="24076518.579999998"/>
    <n v="25000000"/>
    <n v="24076518.579999998"/>
    <n v="360570"/>
    <s v="AMOMPY"/>
    <s v="Momentum Capital Investment S.A."/>
    <s v="21/04/2026"/>
    <s v="21/04/2026"/>
    <n v="28"/>
    <s v="No"/>
    <s v=""/>
    <m/>
    <m/>
    <s v="*MOV091000054"/>
    <s v="*MOV091000054"/>
    <n v="3.9403808331366194E-4"/>
  </r>
  <r>
    <x v="10"/>
    <s v="Pesos"/>
    <d v="2026-10-14T00:00:00"/>
    <s v="25/08/2026"/>
    <n v="0.96688748000000002"/>
    <m/>
    <n v="50000000"/>
    <n v="48344373.869999997"/>
    <n v="50000000"/>
    <n v="48344373.869999997"/>
    <n v="14032588"/>
    <s v="AMOMPY"/>
    <s v="Momentum Capital Investment S.A."/>
    <s v="20/07/2026"/>
    <s v="20/07/2026"/>
    <n v="25"/>
    <s v="No"/>
    <s v=""/>
    <m/>
    <m/>
    <s v="*MIL091000034"/>
    <s v="*MIL091000034"/>
    <n v="7.9120759737074417E-4"/>
  </r>
  <r>
    <x v="10"/>
    <s v="Pesos"/>
    <d v="2026-10-14T00:00:00"/>
    <s v="25/08/2026"/>
    <n v="0.96688748000000002"/>
    <m/>
    <n v="8650000"/>
    <n v="8363576.6699999999"/>
    <n v="8650000"/>
    <n v="8363576.6699999999"/>
    <n v="34386"/>
    <s v="AMOMPY"/>
    <s v="Momentum Capital Investment S.A."/>
    <s v="20/07/2026"/>
    <s v="20/07/2026"/>
    <n v="25"/>
    <s v="No"/>
    <s v=""/>
    <m/>
    <m/>
    <s v="*MIL091000035"/>
    <s v="*MIL091000035"/>
    <n v="1.3687891418949738E-4"/>
  </r>
  <r>
    <x v="10"/>
    <s v="Pesos"/>
    <d v="2026-10-14T00:00:00"/>
    <s v="25/08/2026"/>
    <n v="0.964333"/>
    <m/>
    <n v="10000000"/>
    <n v="9643330.0399999991"/>
    <n v="10000000"/>
    <n v="9643330.0399999991"/>
    <n v="2010"/>
    <s v="AMOMPY"/>
    <s v="Momentum Capital Investment S.A."/>
    <s v="07/07/2026"/>
    <s v="07/07/2026"/>
    <n v="27"/>
    <s v="No"/>
    <s v=""/>
    <m/>
    <m/>
    <s v="*MIL091000033"/>
    <s v="*MIL091000033"/>
    <n v="1.5782345246871063E-4"/>
  </r>
  <r>
    <x v="10"/>
    <s v="Pesos"/>
    <d v="2026-10-14T00:00:00"/>
    <s v="25/08/2026"/>
    <n v="0.96052638000000001"/>
    <m/>
    <n v="5000000"/>
    <n v="4802631.9000000004"/>
    <n v="5000000"/>
    <n v="4802631.9000000004"/>
    <n v="8777"/>
    <s v="AMOMPY"/>
    <s v="Momentum Capital Investment S.A."/>
    <s v="14/08/2026"/>
    <s v="14/08/2026"/>
    <n v="30"/>
    <s v="No"/>
    <s v=""/>
    <m/>
    <m/>
    <s v="*MIL091000039"/>
    <s v="*MIL091000039"/>
    <n v="7.8600228785114117E-5"/>
  </r>
  <r>
    <x v="34"/>
    <s v="Pesos"/>
    <d v="2026-10-14T00:00:00"/>
    <s v="25/08/2026"/>
    <n v="0.96052634000000003"/>
    <m/>
    <n v="2500000"/>
    <n v="2401315.85"/>
    <n v="2500000"/>
    <n v="2401315.85"/>
    <n v="156"/>
    <s v="AMOMPY"/>
    <s v="Momentum Capital Investment S.A."/>
    <s v="06/08/2026"/>
    <s v="06/08/2026"/>
    <n v="30"/>
    <s v="No"/>
    <s v=""/>
    <m/>
    <m/>
    <s v="*MAV091001307"/>
    <s v="*MAV091001307"/>
    <n v="3.9300112755949658E-5"/>
  </r>
  <r>
    <x v="34"/>
    <s v="Pesos"/>
    <d v="2026-10-14T00:00:00"/>
    <s v="25/08/2026"/>
    <n v="0.95800534000000004"/>
    <m/>
    <n v="3000000"/>
    <n v="2874016.01"/>
    <n v="3000000"/>
    <n v="2874016.01"/>
    <n v="1039"/>
    <s v="AMOMPY"/>
    <s v="Momentum Capital Investment S.A."/>
    <s v="25/08/2026"/>
    <s v="25/08/2026"/>
    <n v="32"/>
    <s v="No"/>
    <s v=""/>
    <m/>
    <m/>
    <s v="*MAV091001512"/>
    <s v="*MAV091001512"/>
    <n v="4.7036358526265725E-5"/>
  </r>
  <r>
    <x v="99"/>
    <s v="Pesos"/>
    <d v="2026-10-14T00:00:00"/>
    <s v="25/08/2026"/>
    <n v="0.95800525000000003"/>
    <m/>
    <n v="14479899.68"/>
    <n v="13871819.960000001"/>
    <n v="14479899.68"/>
    <n v="13871819.960000001"/>
    <n v="9933004"/>
    <s v="AMOMPY"/>
    <s v="Momentum Capital Investment S.A."/>
    <s v="12/06/2026"/>
    <s v="12/06/2026"/>
    <n v="32"/>
    <s v="No"/>
    <s v=""/>
    <m/>
    <m/>
    <s v="*MAV091001103"/>
    <s v="*MAV091001103"/>
    <n v="2.2702723115671482E-4"/>
  </r>
  <r>
    <x v="222"/>
    <s v="Pesos"/>
    <d v="2026-10-14T00:00:00"/>
    <s v="25/08/2026"/>
    <n v="0.95800538000000002"/>
    <m/>
    <n v="3023662.75"/>
    <n v="2896685.18"/>
    <n v="3023662.75"/>
    <n v="2896685.18"/>
    <n v="2527"/>
    <s v="AMOMPY"/>
    <s v="Momentum Capital Investment S.A."/>
    <s v="14/07/2026"/>
    <s v="14/07/2026"/>
    <n v="32"/>
    <s v="No"/>
    <s v=""/>
    <m/>
    <m/>
    <s v="*MAV091001182"/>
    <s v="*MAV091001182"/>
    <n v="4.7407363838658849E-5"/>
  </r>
  <r>
    <x v="145"/>
    <s v="Pesos"/>
    <d v="2026-10-14T00:00:00"/>
    <s v="25/08/2026"/>
    <n v="0.95800538000000002"/>
    <m/>
    <n v="15000000"/>
    <n v="14370080.640000001"/>
    <n v="15000000"/>
    <n v="14370080.640000001"/>
    <n v="13953461"/>
    <s v="AMOMPY"/>
    <s v="Momentum Capital Investment S.A."/>
    <s v="14/07/2026"/>
    <s v="14/07/2026"/>
    <n v="32"/>
    <s v="No"/>
    <s v=""/>
    <m/>
    <m/>
    <s v="*MAV091001183"/>
    <s v="*MAV091001183"/>
    <n v="2.3518180228731229E-4"/>
  </r>
  <r>
    <x v="145"/>
    <s v="Pesos"/>
    <d v="2026-10-14T00:00:00"/>
    <s v="25/08/2026"/>
    <n v="0.95800532999999999"/>
    <m/>
    <n v="40000000"/>
    <n v="38320213.090000004"/>
    <n v="40000000"/>
    <n v="38320213.090000004"/>
    <n v="13795908"/>
    <s v="AMOMPY"/>
    <s v="Momentum Capital Investment S.A."/>
    <s v="25/06/2026"/>
    <s v="25/06/2026"/>
    <n v="32"/>
    <s v="No"/>
    <s v=""/>
    <m/>
    <m/>
    <s v="*MAV091001118"/>
    <s v="*MAV091001118"/>
    <n v="6.2715144085232193E-4"/>
  </r>
  <r>
    <x v="223"/>
    <s v="Pesos"/>
    <d v="2026-10-14T00:00:00"/>
    <s v="25/08/2026"/>
    <n v="0.95674972000000003"/>
    <m/>
    <n v="47215422"/>
    <n v="45173341.659999996"/>
    <n v="47215422"/>
    <n v="45173341.659999996"/>
    <n v="396"/>
    <s v="AMOMPY"/>
    <s v="Momentum Capital Investment S.A."/>
    <s v="10/08/2026"/>
    <s v="10/08/2026"/>
    <n v="33"/>
    <s v="No"/>
    <s v=""/>
    <m/>
    <m/>
    <s v="*MAV091001328"/>
    <s v="*MAV091001328"/>
    <n v="7.3931024975370813E-4"/>
  </r>
  <r>
    <x v="155"/>
    <s v="Pesos"/>
    <d v="2026-10-14T00:00:00"/>
    <s v="25/08/2026"/>
    <n v="0.95800534000000004"/>
    <m/>
    <n v="6000000"/>
    <n v="5748032.0300000003"/>
    <n v="6000000"/>
    <n v="5748032.0300000003"/>
    <n v="90001653"/>
    <s v="AMOMPY"/>
    <s v="Momentum Capital Investment S.A."/>
    <s v="25/08/2026"/>
    <s v="25/08/2026"/>
    <n v="32"/>
    <s v="No"/>
    <s v=""/>
    <m/>
    <m/>
    <s v="*MAV091001514"/>
    <s v="*MAV091001514"/>
    <n v="9.4072717216192201E-5"/>
  </r>
  <r>
    <x v="224"/>
    <s v="Pesos"/>
    <d v="2026-10-14T00:00:00"/>
    <s v="25/08/2026"/>
    <n v="0.95800549999999995"/>
    <m/>
    <n v="18239769.260000002"/>
    <n v="17473799.239999998"/>
    <n v="18239769.260000002"/>
    <n v="17473799.239999998"/>
    <n v="3494369"/>
    <s v="AMOMPY"/>
    <s v="Momentum Capital Investment S.A."/>
    <s v="20/08/2026"/>
    <s v="20/08/2026"/>
    <n v="32"/>
    <s v="No"/>
    <s v=""/>
    <m/>
    <m/>
    <s v="*MAV091001460"/>
    <s v="*MAV091001460"/>
    <n v="2.859774903858763E-4"/>
  </r>
  <r>
    <x v="52"/>
    <s v="Pesos"/>
    <d v="2026-10-14T00:00:00"/>
    <s v="25/08/2026"/>
    <n v="0.95674967"/>
    <m/>
    <n v="12500000"/>
    <n v="11959370.9"/>
    <n v="12500000"/>
    <n v="11959370.9"/>
    <n v="1363"/>
    <s v="AMOMPY"/>
    <s v="Momentum Capital Investment S.A."/>
    <s v="21/05/2026"/>
    <s v="21/05/2026"/>
    <n v="33"/>
    <s v="No"/>
    <s v=""/>
    <m/>
    <m/>
    <s v="*MAV091001085"/>
    <s v="*MAV091001085"/>
    <n v="1.9572794843303231E-4"/>
  </r>
  <r>
    <x v="87"/>
    <s v="Pesos"/>
    <d v="2026-10-14T00:00:00"/>
    <s v="25/08/2026"/>
    <n v="0.95424841000000005"/>
    <m/>
    <n v="250000000"/>
    <n v="238562103.34999999"/>
    <n v="250000000"/>
    <n v="238562103.34999999"/>
    <n v="70400475"/>
    <s v="AMOMPY"/>
    <s v="Momentum Capital Investment S.A."/>
    <s v="10/08/2026"/>
    <s v="10/08/2026"/>
    <n v="35"/>
    <s v="No"/>
    <s v=""/>
    <m/>
    <m/>
    <s v="*MAV091001327"/>
    <s v="*MAV091001327"/>
    <n v="3.9043250228625757E-3"/>
  </r>
  <r>
    <x v="127"/>
    <s v="Pesos"/>
    <d v="2026-10-14T00:00:00"/>
    <s v="25/08/2026"/>
    <n v="0.96306084000000003"/>
    <m/>
    <n v="43906518.189999998"/>
    <n v="42284648.219999999"/>
    <n v="43906518.189999998"/>
    <n v="42284648.219999999"/>
    <n v="40292985"/>
    <s v="AMOMPY"/>
    <s v="Momentum Capital Investment S.A."/>
    <s v="12/08/2026"/>
    <s v="12/08/2026"/>
    <n v="28"/>
    <s v="No"/>
    <s v=""/>
    <m/>
    <m/>
    <s v="*MAV091001340"/>
    <s v="*MAV091001340"/>
    <n v="6.9203367932280384E-4"/>
  </r>
  <r>
    <x v="127"/>
    <s v="Pesos"/>
    <d v="2026-10-14T00:00:00"/>
    <s v="25/08/2026"/>
    <n v="0.96306084000000003"/>
    <m/>
    <n v="42705929.289999999"/>
    <n v="41128408.07"/>
    <n v="42705929.289999999"/>
    <n v="41128408.07"/>
    <n v="40293026"/>
    <s v="AMOMPY"/>
    <s v="Momentum Capital Investment S.A."/>
    <s v="12/08/2026"/>
    <s v="12/08/2026"/>
    <n v="28"/>
    <s v="No"/>
    <s v=""/>
    <m/>
    <m/>
    <s v="*MAV091001341"/>
    <s v="*MAV091001341"/>
    <n v="6.73110567534758E-4"/>
  </r>
  <r>
    <x v="127"/>
    <s v="Pesos"/>
    <d v="2026-10-14T00:00:00"/>
    <s v="25/08/2026"/>
    <n v="0.96306084000000003"/>
    <m/>
    <n v="43306223.729999997"/>
    <n v="41706528.140000001"/>
    <n v="43306223.729999997"/>
    <n v="41706528.140000001"/>
    <n v="40293006"/>
    <s v="AMOMPY"/>
    <s v="Momentum Capital Investment S.A."/>
    <s v="12/08/2026"/>
    <s v="12/08/2026"/>
    <n v="28"/>
    <s v="No"/>
    <s v=""/>
    <m/>
    <m/>
    <s v="*MAV091001342"/>
    <s v="*MAV091001342"/>
    <n v="6.825721233469506E-4"/>
  </r>
  <r>
    <x v="225"/>
    <s v="Pesos"/>
    <d v="2026-10-14T00:00:00"/>
    <s v="25/08/2026"/>
    <n v="0.95674972999999996"/>
    <m/>
    <n v="650000000"/>
    <n v="621887324.5"/>
    <n v="650000000"/>
    <n v="621887324.5"/>
    <n v="153163"/>
    <s v="AMOMPY"/>
    <s v="Momentum Capital Investment S.A."/>
    <s v="10/06/2026"/>
    <s v="10/06/2026"/>
    <n v="33"/>
    <s v="No"/>
    <s v=""/>
    <m/>
    <m/>
    <s v="#MAV131060021"/>
    <s v="#MAV131060021"/>
    <n v="1.0177853935518668E-2"/>
  </r>
  <r>
    <x v="27"/>
    <s v="Pesos"/>
    <d v="2026-10-15T00:00:00"/>
    <s v="25/08/2026"/>
    <n v="0.95976877000000005"/>
    <m/>
    <n v="150000000"/>
    <n v="143965315.47"/>
    <n v="150000000"/>
    <n v="143965315.47"/>
    <n v="90003993"/>
    <s v="AMOMPY"/>
    <s v="Momentum Capital Investment S.A."/>
    <s v="06/08/2026"/>
    <s v="06/08/2026"/>
    <n v="30"/>
    <s v="No"/>
    <s v=""/>
    <m/>
    <m/>
    <s v="*MAV121000997"/>
    <s v="*MAV121000997"/>
    <n v="2.3561469978707148E-3"/>
  </r>
  <r>
    <x v="111"/>
    <s v="Pesos"/>
    <d v="2026-10-15T00:00:00"/>
    <s v="25/08/2026"/>
    <n v="0.95592286999999998"/>
    <m/>
    <n v="25000000"/>
    <n v="23898071.77"/>
    <n v="25000000"/>
    <n v="23898071.77"/>
    <n v="475881"/>
    <s v="AMOMPY"/>
    <s v="Momentum Capital Investment S.A."/>
    <s v="08/06/2026"/>
    <s v="08/06/2026"/>
    <n v="33"/>
    <s v="No"/>
    <s v=""/>
    <m/>
    <m/>
    <s v="*MAV101001396"/>
    <s v="*MAV101001396"/>
    <n v="3.9111760962672921E-4"/>
  </r>
  <r>
    <x v="226"/>
    <s v="Pesos"/>
    <d v="2026-10-15T00:00:00"/>
    <s v="25/08/2026"/>
    <n v="0.95464771000000004"/>
    <m/>
    <n v="10000000"/>
    <n v="9546477.1199999992"/>
    <n v="10000000"/>
    <n v="9546477.1199999992"/>
    <n v="6034857"/>
    <s v="AMOMPY"/>
    <s v="Momentum Capital Investment S.A."/>
    <s v="27/07/2026"/>
    <s v="27/07/2026"/>
    <n v="34"/>
    <s v="No"/>
    <s v=""/>
    <m/>
    <m/>
    <s v="*MAV121000968"/>
    <s v="*MAV121000968"/>
    <n v="1.56238350418623E-4"/>
  </r>
  <r>
    <x v="226"/>
    <s v="Pesos"/>
    <d v="2026-10-15T00:00:00"/>
    <s v="25/08/2026"/>
    <n v="0.95464771000000004"/>
    <m/>
    <n v="10000000"/>
    <n v="9546477.1199999992"/>
    <n v="10000000"/>
    <n v="9546477.1199999992"/>
    <n v="6034858"/>
    <s v="AMOMPY"/>
    <s v="Momentum Capital Investment S.A."/>
    <s v="27/07/2026"/>
    <s v="27/07/2026"/>
    <n v="34"/>
    <s v="No"/>
    <s v=""/>
    <m/>
    <m/>
    <s v="*MAV131001537"/>
    <s v="*MAV131001537"/>
    <n v="1.56238350418623E-4"/>
  </r>
  <r>
    <x v="227"/>
    <s v="Pesos"/>
    <d v="2026-10-15T00:00:00"/>
    <s v="25/08/2026"/>
    <n v="0.95337618999999996"/>
    <m/>
    <n v="20000000"/>
    <n v="19067523.73"/>
    <n v="20000000"/>
    <n v="19067523.73"/>
    <n v="10549352"/>
    <s v="AMOMPY"/>
    <s v="Momentum Capital Investment S.A."/>
    <s v="13/08/2026"/>
    <s v="13/08/2026"/>
    <n v="35"/>
    <s v="No"/>
    <s v=""/>
    <m/>
    <m/>
    <s v="*MAV131001687"/>
    <s v="*MAV131001687"/>
    <n v="3.1206050323023766E-4"/>
  </r>
  <r>
    <x v="32"/>
    <s v="Pesos"/>
    <d v="2026-10-15T00:00:00"/>
    <s v="25/08/2026"/>
    <n v="0.95720132999999996"/>
    <m/>
    <n v="2558197.12"/>
    <n v="2448709.69"/>
    <n v="2558197.12"/>
    <n v="2448709.69"/>
    <n v="354"/>
    <s v="AMOMPY"/>
    <s v="Momentum Capital Investment S.A."/>
    <s v="31/07/2026"/>
    <s v="31/07/2026"/>
    <n v="32"/>
    <s v="No"/>
    <s v=""/>
    <m/>
    <m/>
    <s v="*MAV121000980"/>
    <s v="*MAV121000980"/>
    <n v="4.0075763845720892E-5"/>
  </r>
  <r>
    <x v="161"/>
    <s v="Pesos"/>
    <d v="2026-10-15T00:00:00"/>
    <s v="25/08/2026"/>
    <n v="0.95592279000000002"/>
    <m/>
    <n v="5134985.93"/>
    <n v="4908650.0999999996"/>
    <n v="5134985.93"/>
    <n v="4908650.0999999996"/>
    <n v="414"/>
    <s v="AMOMPY"/>
    <s v="Momentum Capital Investment S.A."/>
    <s v="02/06/2026"/>
    <s v="02/06/2026"/>
    <n v="33"/>
    <s v="No"/>
    <s v=""/>
    <m/>
    <m/>
    <s v="*MAV121000892"/>
    <s v="*MAV121000892"/>
    <n v="8.0335330485368492E-5"/>
  </r>
  <r>
    <x v="8"/>
    <s v="Pesos"/>
    <d v="2026-10-15T00:00:00"/>
    <s v="25/08/2026"/>
    <n v="0.96364550000000004"/>
    <m/>
    <n v="8100000"/>
    <n v="7805528.5300000003"/>
    <n v="8100000"/>
    <n v="7805528.5300000003"/>
    <n v="90000311"/>
    <s v="AMOMPY"/>
    <s v="Momentum Capital Investment S.A."/>
    <s v="27/07/2026"/>
    <s v="27/07/2026"/>
    <n v="27"/>
    <s v="No"/>
    <s v=""/>
    <m/>
    <m/>
    <s v="*INP131000056"/>
    <s v="*INP131000056"/>
    <n v="1.2774585706781639E-4"/>
  </r>
  <r>
    <x v="8"/>
    <s v="Pesos"/>
    <d v="2026-10-15T00:00:00"/>
    <s v="25/08/2026"/>
    <n v="0.96364550999999998"/>
    <m/>
    <n v="2000000"/>
    <n v="1927291.02"/>
    <n v="2000000"/>
    <n v="1927291.02"/>
    <n v="90000265"/>
    <s v="AMOMPY"/>
    <s v="Momentum Capital Investment S.A."/>
    <s v="27/07/2026"/>
    <s v="27/07/2026"/>
    <n v="27"/>
    <s v="No"/>
    <s v=""/>
    <m/>
    <m/>
    <s v="*INP131000057"/>
    <s v="*INP131000057"/>
    <n v="3.1542187338466629E-5"/>
  </r>
  <r>
    <x v="8"/>
    <s v="Pesos"/>
    <d v="2026-10-15T00:00:00"/>
    <s v="25/08/2026"/>
    <n v="0.96364550000000004"/>
    <m/>
    <n v="13000000"/>
    <n v="12527391.460000001"/>
    <n v="13000000"/>
    <n v="12527391.460000001"/>
    <n v="90000237"/>
    <s v="AMOMPY"/>
    <s v="Momentum Capital Investment S.A."/>
    <s v="27/07/2026"/>
    <s v="27/07/2026"/>
    <n v="27"/>
    <s v="No"/>
    <s v=""/>
    <m/>
    <m/>
    <s v="*INP131000058"/>
    <s v="*INP131000058"/>
    <n v="2.0502421491780054E-4"/>
  </r>
  <r>
    <x v="8"/>
    <s v="Pesos"/>
    <d v="2026-10-15T00:00:00"/>
    <s v="25/08/2026"/>
    <n v="0.96364550000000004"/>
    <m/>
    <n v="15500000"/>
    <n v="14936505.199999999"/>
    <n v="15500000"/>
    <n v="14936505.199999999"/>
    <n v="90000349"/>
    <s v="AMOMPY"/>
    <s v="Momentum Capital Investment S.A."/>
    <s v="27/07/2026"/>
    <s v="27/07/2026"/>
    <n v="27"/>
    <s v="No"/>
    <s v=""/>
    <m/>
    <m/>
    <s v="*INP131000054"/>
    <s v="*INP131000054"/>
    <n v="2.4445194851807118E-4"/>
  </r>
  <r>
    <x v="8"/>
    <s v="Pesos"/>
    <d v="2026-10-15T00:00:00"/>
    <s v="25/08/2026"/>
    <n v="0.96364550000000004"/>
    <m/>
    <n v="16300000"/>
    <n v="15707421.6"/>
    <n v="16300000"/>
    <n v="15707421.6"/>
    <n v="90000274"/>
    <s v="AMOMPY"/>
    <s v="Momentum Capital Investment S.A."/>
    <s v="27/07/2026"/>
    <s v="27/07/2026"/>
    <n v="27"/>
    <s v="No"/>
    <s v=""/>
    <m/>
    <m/>
    <s v="*INP131000055"/>
    <s v="*INP131000055"/>
    <n v="2.5706882332252929E-4"/>
  </r>
  <r>
    <x v="8"/>
    <s v="Pesos"/>
    <d v="2026-10-15T00:00:00"/>
    <s v="25/08/2026"/>
    <n v="0.96364550000000004"/>
    <m/>
    <n v="23800000"/>
    <n v="22934762.829999998"/>
    <n v="23800000"/>
    <n v="22934762.829999998"/>
    <n v="90000318"/>
    <s v="AMOMPY"/>
    <s v="Momentum Capital Investment S.A."/>
    <s v="27/07/2026"/>
    <s v="27/07/2026"/>
    <n v="27"/>
    <s v="No"/>
    <s v=""/>
    <m/>
    <m/>
    <s v="*INP131000052"/>
    <s v="*INP131000052"/>
    <n v="3.7535202428700206E-4"/>
  </r>
  <r>
    <x v="8"/>
    <s v="Pesos"/>
    <d v="2026-10-15T00:00:00"/>
    <s v="25/08/2026"/>
    <n v="0.96364550000000004"/>
    <m/>
    <n v="20000000"/>
    <n v="19272909.940000001"/>
    <n v="20000000"/>
    <n v="19272909.940000001"/>
    <n v="90016593"/>
    <s v="AMOMPY"/>
    <s v="Momentum Capital Investment S.A."/>
    <s v="27/07/2026"/>
    <s v="27/07/2026"/>
    <n v="27"/>
    <s v="No"/>
    <s v=""/>
    <m/>
    <m/>
    <s v="*INP131000051"/>
    <s v="*INP131000051"/>
    <n v="3.154218691294871E-4"/>
  </r>
  <r>
    <x v="8"/>
    <s v="Pesos"/>
    <d v="2026-10-15T00:00:00"/>
    <s v="25/08/2026"/>
    <n v="0.96364550000000004"/>
    <m/>
    <n v="12500000"/>
    <n v="12045568.710000001"/>
    <n v="12500000"/>
    <n v="12045568.710000001"/>
    <n v="90000341"/>
    <s v="AMOMPY"/>
    <s v="Momentum Capital Investment S.A."/>
    <s v="27/07/2026"/>
    <s v="27/07/2026"/>
    <n v="27"/>
    <s v="No"/>
    <s v=""/>
    <m/>
    <m/>
    <s v="*INP131000053"/>
    <s v="*INP131000053"/>
    <n v="1.9713866816501425E-4"/>
  </r>
  <r>
    <x v="8"/>
    <s v="Pesos"/>
    <d v="2026-10-15T00:00:00"/>
    <s v="25/08/2026"/>
    <n v="0.96364550000000004"/>
    <m/>
    <n v="11500000"/>
    <n v="11081923.220000001"/>
    <n v="11500000"/>
    <n v="11081923.220000001"/>
    <n v="90000406"/>
    <s v="AMOMPY"/>
    <s v="Momentum Capital Investment S.A."/>
    <s v="27/07/2026"/>
    <s v="27/07/2026"/>
    <n v="27"/>
    <s v="No"/>
    <s v=""/>
    <m/>
    <m/>
    <s v="*INP131000049"/>
    <s v="*INP131000049"/>
    <n v="1.8136757482310241E-4"/>
  </r>
  <r>
    <x v="8"/>
    <s v="Pesos"/>
    <d v="2026-10-15T00:00:00"/>
    <s v="25/08/2026"/>
    <n v="0.96364550000000004"/>
    <m/>
    <n v="29000000"/>
    <n v="27945719.41"/>
    <n v="29000000"/>
    <n v="27945719.41"/>
    <n v="90000424"/>
    <s v="AMOMPY"/>
    <s v="Momentum Capital Investment S.A."/>
    <s v="27/07/2026"/>
    <s v="27/07/2026"/>
    <n v="27"/>
    <s v="No"/>
    <s v=""/>
    <m/>
    <m/>
    <s v="*INP131000046"/>
    <s v="*INP131000046"/>
    <n v="4.5736171018865803E-4"/>
  </r>
  <r>
    <x v="8"/>
    <s v="Pesos"/>
    <d v="2026-10-15T00:00:00"/>
    <s v="25/08/2026"/>
    <n v="0.96364550000000004"/>
    <m/>
    <n v="10795000"/>
    <n v="10402553.140000001"/>
    <n v="10795000"/>
    <n v="10402553.140000001"/>
    <n v="90000315"/>
    <s v="AMOMPY"/>
    <s v="Momentum Capital Investment S.A."/>
    <s v="27/07/2026"/>
    <s v="27/07/2026"/>
    <n v="27"/>
    <s v="No"/>
    <s v=""/>
    <m/>
    <m/>
    <s v="*INP131000050"/>
    <s v="*INP131000050"/>
    <n v="1.7024895386075854E-4"/>
  </r>
  <r>
    <x v="8"/>
    <s v="Pesos"/>
    <d v="2026-10-15T00:00:00"/>
    <s v="25/08/2026"/>
    <n v="0.96364550000000004"/>
    <m/>
    <n v="20000000"/>
    <n v="19272909.940000001"/>
    <n v="20000000"/>
    <n v="19272909.940000001"/>
    <n v="90000348"/>
    <s v="AMOMPY"/>
    <s v="Momentum Capital Investment S.A."/>
    <s v="27/07/2026"/>
    <s v="27/07/2026"/>
    <n v="27"/>
    <s v="No"/>
    <s v=""/>
    <m/>
    <m/>
    <s v="*INP131000045"/>
    <s v="*INP131000045"/>
    <n v="3.154218691294871E-4"/>
  </r>
  <r>
    <x v="8"/>
    <s v="Pesos"/>
    <d v="2026-10-15T00:00:00"/>
    <s v="25/08/2026"/>
    <n v="0.96755387000000004"/>
    <m/>
    <n v="5000000"/>
    <n v="4837769.37"/>
    <n v="5000000"/>
    <n v="4837769.37"/>
    <n v="16831532"/>
    <s v="AMOMPY"/>
    <s v="Momentum Capital Investment S.A."/>
    <s v="21/07/2026"/>
    <s v="21/07/2026"/>
    <n v="24"/>
    <s v="No"/>
    <s v=""/>
    <m/>
    <m/>
    <s v="*INP121000043"/>
    <s v="*INP121000043"/>
    <n v="7.9175291217221399E-5"/>
  </r>
  <r>
    <x v="8"/>
    <s v="Pesos"/>
    <d v="2026-10-15T00:00:00"/>
    <s v="25/08/2026"/>
    <n v="0.95976868999999998"/>
    <m/>
    <n v="2000000"/>
    <n v="1919537.38"/>
    <n v="2000000"/>
    <n v="1919537.38"/>
    <n v="13442185"/>
    <s v="AMOMPY"/>
    <s v="Momentum Capital Investment S.A."/>
    <s v="29/05/2026"/>
    <s v="29/05/2026"/>
    <n v="30"/>
    <s v="No"/>
    <s v=""/>
    <m/>
    <m/>
    <s v="*INP121000042"/>
    <s v="*INP121000042"/>
    <n v="3.1415290692917461E-5"/>
  </r>
  <r>
    <x v="148"/>
    <s v="Pesos"/>
    <d v="2026-10-15T00:00:00"/>
    <s v="25/08/2026"/>
    <n v="0.95976863000000001"/>
    <m/>
    <n v="3000000"/>
    <n v="2879305.89"/>
    <n v="3000000"/>
    <n v="2879305.89"/>
    <n v="3792079"/>
    <s v="AMOMPY"/>
    <s v="Momentum Capital Investment S.A."/>
    <s v="18/08/2026"/>
    <s v="18/08/2026"/>
    <n v="30"/>
    <s v="No"/>
    <s v=""/>
    <m/>
    <m/>
    <s v="*AFB131000009"/>
    <s v="*AFB131000009"/>
    <n v="4.7122933093482885E-5"/>
  </r>
  <r>
    <x v="148"/>
    <s v="Pesos"/>
    <d v="2026-10-15T00:00:00"/>
    <s v="25/08/2026"/>
    <n v="0.95976861000000002"/>
    <m/>
    <n v="25000000"/>
    <n v="23994215.16"/>
    <n v="25000000"/>
    <n v="23994215.16"/>
    <n v="509759"/>
    <s v="AMOMPY"/>
    <s v="Momentum Capital Investment S.A."/>
    <s v="14/08/2026"/>
    <s v="14/08/2026"/>
    <n v="30"/>
    <s v="No"/>
    <s v=""/>
    <m/>
    <m/>
    <s v="*AFB121000009"/>
    <s v="*AFB121000009"/>
    <n v="3.9269109945637377E-4"/>
  </r>
  <r>
    <x v="228"/>
    <s v="Pesos"/>
    <d v="2026-10-15T00:00:00"/>
    <s v="25/08/2026"/>
    <n v="0.95720137999999999"/>
    <m/>
    <n v="3413365"/>
    <n v="3267277.7"/>
    <n v="3413365"/>
    <n v="3267277.7"/>
    <n v="67525693"/>
    <s v="AMOMPY"/>
    <s v="Momentum Capital Investment S.A."/>
    <s v="12/06/2026"/>
    <s v="12/06/2026"/>
    <n v="32"/>
    <s v="No"/>
    <s v=""/>
    <m/>
    <m/>
    <s v="*MAV131001307"/>
    <s v="*MAV131001307"/>
    <n v="5.3472508422829871E-5"/>
  </r>
  <r>
    <x v="82"/>
    <s v="Pesos"/>
    <d v="2026-10-15T00:00:00"/>
    <s v="25/08/2026"/>
    <n v="0.94958138999999997"/>
    <m/>
    <n v="43000000"/>
    <n v="40831999.630000003"/>
    <n v="43000000"/>
    <n v="40831999.630000003"/>
    <n v="160223"/>
    <s v="AMOMPY"/>
    <s v="Momentum Capital Investment S.A."/>
    <s v="10/08/2026"/>
    <s v="10/08/2026"/>
    <n v="38"/>
    <s v="No"/>
    <s v=""/>
    <m/>
    <m/>
    <s v="#MAV141060036"/>
    <s v="#MAV141060036"/>
    <n v="6.6825952508908597E-4"/>
  </r>
  <r>
    <x v="83"/>
    <s v="Pesos"/>
    <d v="2026-10-15T00:00:00"/>
    <s v="25/08/2026"/>
    <n v="0.95464775999999996"/>
    <m/>
    <n v="4000000"/>
    <n v="3818591.05"/>
    <n v="4000000"/>
    <n v="3818591.05"/>
    <n v="90000051"/>
    <s v="AMOMPY"/>
    <s v="Momentum Capital Investment S.A."/>
    <s v="11/06/2026"/>
    <s v="11/06/2026"/>
    <n v="34"/>
    <s v="No"/>
    <s v=""/>
    <m/>
    <m/>
    <s v="*MAV121000902"/>
    <s v="*MAV121000902"/>
    <n v="6.2495343473396132E-5"/>
  </r>
  <r>
    <x v="13"/>
    <s v="Pesos"/>
    <d v="2026-10-15T00:00:00"/>
    <s v="25/08/2026"/>
    <n v="0.96234976999999999"/>
    <m/>
    <n v="2500000"/>
    <n v="2405874.4300000002"/>
    <n v="2500000"/>
    <n v="2405874.4300000002"/>
    <n v="90031815"/>
    <s v="AMOMPY"/>
    <s v="Momentum Capital Investment S.A."/>
    <s v="22/04/2026"/>
    <s v="22/04/2026"/>
    <n v="28"/>
    <s v="No"/>
    <s v=""/>
    <m/>
    <m/>
    <s v="*MOV131000083"/>
    <s v="*MOV131000083"/>
    <n v="3.9374718813294023E-5"/>
  </r>
  <r>
    <x v="13"/>
    <s v="Pesos"/>
    <d v="2026-10-15T00:00:00"/>
    <s v="25/08/2026"/>
    <n v="0.96234975"/>
    <m/>
    <n v="25000000"/>
    <n v="24058743.82"/>
    <n v="25000000"/>
    <n v="24058743.82"/>
    <n v="360571"/>
    <s v="AMOMPY"/>
    <s v="Momentum Capital Investment S.A."/>
    <s v="21/04/2026"/>
    <s v="21/04/2026"/>
    <n v="28"/>
    <s v="No"/>
    <s v=""/>
    <m/>
    <m/>
    <s v="*MOV131000082"/>
    <s v="*MOV131000082"/>
    <n v="3.9374718027722469E-4"/>
  </r>
  <r>
    <x v="8"/>
    <s v="Pesos"/>
    <d v="2026-10-15T00:00:00"/>
    <s v="25/08/2026"/>
    <n v="0.96364550999999998"/>
    <m/>
    <n v="1600000"/>
    <n v="1541832.81"/>
    <n v="1600000"/>
    <n v="1541832.81"/>
    <n v="90000270"/>
    <s v="AMOMPY"/>
    <s v="Momentum Capital Investment S.A."/>
    <s v="27/07/2026"/>
    <s v="27/07/2026"/>
    <n v="27"/>
    <s v="No"/>
    <s v=""/>
    <m/>
    <m/>
    <s v="*INP131000059"/>
    <s v="*INP131000059"/>
    <n v="2.523374977257686E-5"/>
  </r>
  <r>
    <x v="8"/>
    <s v="Pesos"/>
    <d v="2026-10-15T00:00:00"/>
    <s v="25/08/2026"/>
    <n v="0.96364550000000004"/>
    <m/>
    <n v="19000000"/>
    <n v="18309264.440000001"/>
    <n v="19000000"/>
    <n v="18309264.440000001"/>
    <n v="90000370"/>
    <s v="AMOMPY"/>
    <s v="Momentum Capital Investment S.A."/>
    <s v="27/07/2026"/>
    <s v="27/07/2026"/>
    <n v="27"/>
    <s v="No"/>
    <s v=""/>
    <m/>
    <m/>
    <s v="*INP131000060"/>
    <s v="*INP131000060"/>
    <n v="2.9965077562391453E-4"/>
  </r>
  <r>
    <x v="10"/>
    <s v="Pesos"/>
    <d v="2026-10-15T00:00:00"/>
    <s v="25/08/2026"/>
    <n v="0.96364556000000001"/>
    <m/>
    <n v="20000000"/>
    <n v="19272911.210000001"/>
    <n v="20000000"/>
    <n v="19272911.210000001"/>
    <n v="68122772"/>
    <s v="AMOMPY"/>
    <s v="Momentum Capital Investment S.A."/>
    <s v="07/07/2026"/>
    <s v="07/07/2026"/>
    <n v="27"/>
    <s v="No"/>
    <s v=""/>
    <m/>
    <m/>
    <s v="*MIL131000027"/>
    <s v="*MIL131000027"/>
    <n v="3.1542188991440099E-4"/>
  </r>
  <r>
    <x v="10"/>
    <s v="Pesos"/>
    <d v="2026-10-15T00:00:00"/>
    <s v="25/08/2026"/>
    <n v="0.96364548999999999"/>
    <m/>
    <n v="15000000"/>
    <n v="14454682.4"/>
    <n v="15000000"/>
    <n v="14454682.4"/>
    <n v="11338651"/>
    <s v="AMOMPY"/>
    <s v="Momentum Capital Investment S.A."/>
    <s v="16/07/2026"/>
    <s v="16/07/2026"/>
    <n v="27"/>
    <s v="No"/>
    <s v=""/>
    <m/>
    <m/>
    <s v="*MIL121000020"/>
    <s v="*MIL121000020"/>
    <n v="2.3656640094698125E-4"/>
  </r>
  <r>
    <x v="10"/>
    <s v="Pesos"/>
    <d v="2026-10-15T00:00:00"/>
    <s v="25/08/2026"/>
    <n v="0.96364548999999999"/>
    <m/>
    <n v="20000000"/>
    <n v="19272909.859999999"/>
    <n v="20000000"/>
    <n v="19272909.859999999"/>
    <n v="884"/>
    <s v="AMOMPY"/>
    <s v="Momentum Capital Investment S.A."/>
    <s v="16/07/2026"/>
    <s v="16/07/2026"/>
    <n v="27"/>
    <s v="No"/>
    <s v=""/>
    <m/>
    <m/>
    <s v="*MIL131000028"/>
    <s v="*MIL131000028"/>
    <n v="3.1542186782020115E-4"/>
  </r>
  <r>
    <x v="10"/>
    <s v="Pesos"/>
    <d v="2026-10-15T00:00:00"/>
    <s v="25/08/2026"/>
    <n v="0.96364548999999999"/>
    <m/>
    <n v="20000000"/>
    <n v="19272909.859999999"/>
    <n v="20000000"/>
    <n v="19272909.859999999"/>
    <n v="886"/>
    <s v="AMOMPY"/>
    <s v="Momentum Capital Investment S.A."/>
    <s v="16/07/2026"/>
    <s v="16/07/2026"/>
    <n v="27"/>
    <s v="No"/>
    <s v=""/>
    <m/>
    <m/>
    <s v="*MIL121000021"/>
    <s v="*MIL121000021"/>
    <n v="3.1542186782020115E-4"/>
  </r>
  <r>
    <x v="10"/>
    <s v="Pesos"/>
    <d v="2026-10-15T00:00:00"/>
    <s v="25/08/2026"/>
    <n v="0.95976861000000002"/>
    <m/>
    <n v="40000000"/>
    <n v="38390744.25"/>
    <n v="40000000"/>
    <n v="38390744.25"/>
    <n v="4373"/>
    <s v="AMOMPY"/>
    <s v="Momentum Capital Investment S.A."/>
    <s v="14/08/2026"/>
    <s v="14/08/2026"/>
    <n v="30"/>
    <s v="No"/>
    <s v=""/>
    <m/>
    <m/>
    <s v="*MIL121000023"/>
    <s v="*MIL121000023"/>
    <n v="6.2830575903200154E-4"/>
  </r>
  <r>
    <x v="17"/>
    <s v="Pesos"/>
    <d v="2026-10-15T00:00:00"/>
    <s v="25/08/2026"/>
    <n v="0.95464775999999996"/>
    <m/>
    <n v="20000000"/>
    <n v="19092955.109999999"/>
    <n v="20000000"/>
    <n v="19092955.109999999"/>
    <n v="4403"/>
    <s v="AMOMPY"/>
    <s v="Momentum Capital Investment S.A."/>
    <s v="17/07/2026"/>
    <s v="17/07/2026"/>
    <n v="34"/>
    <s v="No"/>
    <s v=""/>
    <m/>
    <m/>
    <s v="*MAV121000944"/>
    <s v="*MAV121000944"/>
    <n v="3.1247671507573035E-4"/>
  </r>
  <r>
    <x v="210"/>
    <s v="Pesos"/>
    <d v="2026-10-15T00:00:00"/>
    <s v="25/08/2026"/>
    <n v="0.95720130999999997"/>
    <m/>
    <n v="7000000"/>
    <n v="6700409.1600000001"/>
    <n v="7000000"/>
    <n v="6700409.1600000001"/>
    <n v="10604195"/>
    <s v="AMOMPY"/>
    <s v="Momentum Capital Investment S.A."/>
    <s v="25/08/2026"/>
    <s v="25/08/2026"/>
    <n v="32"/>
    <s v="No"/>
    <s v=""/>
    <m/>
    <m/>
    <s v="*MAV121001060"/>
    <s v="*MAV121001060"/>
    <n v="1.0965939174515421E-4"/>
  </r>
  <r>
    <x v="211"/>
    <s v="Pesos"/>
    <d v="2026-10-15T00:00:00"/>
    <s v="25/08/2026"/>
    <n v="0.95720130999999997"/>
    <m/>
    <n v="12000000"/>
    <n v="11486415.720000001"/>
    <n v="12000000"/>
    <n v="11486415.720000001"/>
    <n v="68962620"/>
    <s v="AMOMPY"/>
    <s v="Momentum Capital Investment S.A."/>
    <s v="25/08/2026"/>
    <s v="25/08/2026"/>
    <n v="32"/>
    <s v="No"/>
    <s v=""/>
    <m/>
    <m/>
    <s v="*MAV101001624"/>
    <s v="*MAV101001624"/>
    <n v="1.879875289865399E-4"/>
  </r>
  <r>
    <x v="99"/>
    <s v="Pesos"/>
    <d v="2026-10-15T00:00:00"/>
    <s v="25/08/2026"/>
    <n v="0.95720139000000004"/>
    <m/>
    <n v="14479899.68"/>
    <n v="13860180.109999999"/>
    <n v="14479899.68"/>
    <n v="13860180.109999999"/>
    <n v="9933003"/>
    <s v="AMOMPY"/>
    <s v="Momentum Capital Investment S.A."/>
    <s v="12/06/2026"/>
    <s v="12/06/2026"/>
    <n v="32"/>
    <s v="No"/>
    <s v=""/>
    <m/>
    <m/>
    <s v="*MAV131001308"/>
    <s v="*MAV131001308"/>
    <n v="2.2683673251095674E-4"/>
  </r>
  <r>
    <x v="38"/>
    <s v="Pesos"/>
    <d v="2026-10-15T00:00:00"/>
    <s v="25/08/2026"/>
    <n v="0.95592290000000002"/>
    <m/>
    <n v="24760170.170000002"/>
    <n v="23668813.579999998"/>
    <n v="24760170.170000002"/>
    <n v="23668813.579999998"/>
    <n v="634087"/>
    <s v="AMOMPY"/>
    <s v="Momentum Capital Investment S.A."/>
    <s v="19/08/2026"/>
    <s v="19/08/2026"/>
    <n v="33"/>
    <s v="No"/>
    <s v=""/>
    <m/>
    <m/>
    <s v="*MAV131001756"/>
    <s v="*MAV131001756"/>
    <n v="3.8736555313769009E-4"/>
  </r>
  <r>
    <x v="38"/>
    <s v="Pesos"/>
    <d v="2026-10-15T00:00:00"/>
    <s v="25/08/2026"/>
    <n v="0.96234989999999998"/>
    <m/>
    <n v="5138761.4000000004"/>
    <n v="4945286.51"/>
    <n v="5138761.4000000004"/>
    <n v="4945286.51"/>
    <n v="646844"/>
    <s v="AMOMPY"/>
    <s v="Momentum Capital Investment S.A."/>
    <s v="10/08/2026"/>
    <s v="10/08/2026"/>
    <n v="28"/>
    <s v="No"/>
    <s v=""/>
    <m/>
    <m/>
    <s v="*MAV131001660"/>
    <s v="*MAV131001660"/>
    <n v="8.0934924680348385E-5"/>
  </r>
  <r>
    <x v="38"/>
    <s v="Pesos"/>
    <d v="2026-10-15T00:00:00"/>
    <s v="25/08/2026"/>
    <n v="0.96234989999999998"/>
    <m/>
    <n v="19156984.969999999"/>
    <n v="18435722.550000001"/>
    <n v="19156984.969999999"/>
    <n v="18435722.550000001"/>
    <n v="639279"/>
    <s v="AMOMPY"/>
    <s v="Momentum Capital Investment S.A."/>
    <s v="10/08/2026"/>
    <s v="10/08/2026"/>
    <n v="28"/>
    <s v="No"/>
    <s v=""/>
    <m/>
    <m/>
    <s v="*MAV131001662"/>
    <s v="*MAV131001662"/>
    <n v="3.0172039840256908E-4"/>
  </r>
  <r>
    <x v="38"/>
    <s v="Pesos"/>
    <d v="2026-10-15T00:00:00"/>
    <s v="25/08/2026"/>
    <n v="0.96234989999999998"/>
    <m/>
    <n v="51998969.399999999"/>
    <n v="50041202.950000003"/>
    <n v="51998969.399999999"/>
    <n v="50041202.950000003"/>
    <n v="639780"/>
    <s v="AMOMPY"/>
    <s v="Momentum Capital Investment S.A."/>
    <s v="10/08/2026"/>
    <s v="10/08/2026"/>
    <n v="28"/>
    <s v="No"/>
    <s v=""/>
    <m/>
    <m/>
    <s v="*MAV131001661"/>
    <s v="*MAV131001661"/>
    <n v="8.1897802755866568E-4"/>
  </r>
  <r>
    <x v="139"/>
    <s v="Pesos"/>
    <d v="2026-10-15T00:00:00"/>
    <s v="25/08/2026"/>
    <n v="0.95976872000000002"/>
    <m/>
    <n v="50000000"/>
    <n v="47988435.850000001"/>
    <n v="50000000"/>
    <n v="47988435.850000001"/>
    <n v="68018"/>
    <s v="AMOMPY"/>
    <s v="Momentum Capital Investment S.A."/>
    <s v="29/07/2026"/>
    <s v="29/07/2026"/>
    <n v="30"/>
    <s v="No"/>
    <s v=""/>
    <m/>
    <m/>
    <s v="*MAV131001547"/>
    <s v="*MAV131001547"/>
    <n v="7.8538228941713647E-4"/>
  </r>
  <r>
    <x v="134"/>
    <s v="Pesos"/>
    <d v="2026-10-15T00:00:00"/>
    <s v="25/08/2026"/>
    <n v="0.95976865"/>
    <m/>
    <n v="2531175.63"/>
    <n v="2429343.02"/>
    <n v="2531175.63"/>
    <n v="2429343.02"/>
    <n v="392"/>
    <s v="AMOMPY"/>
    <s v="Momentum Capital Investment S.A."/>
    <s v="24/07/2026"/>
    <s v="24/07/2026"/>
    <n v="30"/>
    <s v="No"/>
    <s v=""/>
    <m/>
    <m/>
    <s v="*MAV101001482"/>
    <s v="*MAV101001482"/>
    <n v="3.9758807492516769E-5"/>
  </r>
  <r>
    <x v="155"/>
    <s v="Pesos"/>
    <d v="2026-10-15T00:00:00"/>
    <s v="25/08/2026"/>
    <n v="0.95720130999999997"/>
    <m/>
    <n v="5834327.1299999999"/>
    <n v="5584625.5599999996"/>
    <n v="5834327.1299999999"/>
    <n v="5584625.5599999996"/>
    <n v="90001654"/>
    <s v="AMOMPY"/>
    <s v="Momentum Capital Investment S.A."/>
    <s v="25/08/2026"/>
    <s v="25/08/2026"/>
    <n v="32"/>
    <s v="No"/>
    <s v=""/>
    <m/>
    <m/>
    <s v="*MAV111001019"/>
    <s v="*MAV111001019"/>
    <n v="9.1398394845791935E-5"/>
  </r>
  <r>
    <x v="147"/>
    <s v="Pesos"/>
    <d v="2026-10-15T00:00:00"/>
    <s v="25/08/2026"/>
    <n v="0.96234980999999997"/>
    <m/>
    <n v="50000000"/>
    <n v="48117490.549999997"/>
    <n v="50000000"/>
    <n v="48117490.549999997"/>
    <n v="29"/>
    <s v="AMOMPY"/>
    <s v="Momentum Capital Investment S.A."/>
    <s v="12/08/2026"/>
    <s v="12/08/2026"/>
    <n v="28"/>
    <s v="No"/>
    <s v=""/>
    <m/>
    <m/>
    <s v="*MAV121001005"/>
    <s v="*MAV121001005"/>
    <n v="7.8749440817972452E-4"/>
  </r>
  <r>
    <x v="229"/>
    <s v="Pesos"/>
    <d v="2026-10-15T00:00:00"/>
    <s v="25/08/2026"/>
    <n v="0.95464788"/>
    <m/>
    <n v="40000000"/>
    <n v="38185915.270000003"/>
    <n v="40000000"/>
    <n v="38185915.270000003"/>
    <n v="3794762"/>
    <s v="AMOMPY"/>
    <s v="Momentum Capital Investment S.A."/>
    <s v="13/08/2026"/>
    <s v="13/08/2026"/>
    <n v="34"/>
    <s v="No"/>
    <s v=""/>
    <m/>
    <m/>
    <s v="*MAV121001014"/>
    <s v="*MAV121001014"/>
    <n v="6.2495351280013409E-4"/>
  </r>
  <r>
    <x v="196"/>
    <s v="Pesos"/>
    <d v="2026-10-15T00:00:00"/>
    <s v="25/08/2026"/>
    <n v="0.95337603999999998"/>
    <m/>
    <n v="463612.88"/>
    <n v="441997.41"/>
    <n v="463612.88"/>
    <n v="441997.41"/>
    <n v="115549"/>
    <s v="AMOMPY"/>
    <s v="Momentum Capital Investment S.A."/>
    <s v="11/08/2026"/>
    <s v="11/08/2026"/>
    <n v="35"/>
    <s v="No"/>
    <s v=""/>
    <m/>
    <m/>
    <s v="*MAV131001666"/>
    <s v="*MAV131001666"/>
    <n v="7.2337622936348465E-6"/>
  </r>
  <r>
    <x v="0"/>
    <s v="Pesos"/>
    <d v="2026-10-16T00:00:00"/>
    <s v="25/08/2026"/>
    <n v="0.95901208999999998"/>
    <m/>
    <n v="2000000"/>
    <n v="1918024.18"/>
    <n v="2000000"/>
    <n v="1918024.18"/>
    <n v="9800"/>
    <s v="AMOMPY"/>
    <s v="Momentum Capital Investment S.A."/>
    <s v="04/08/2026"/>
    <s v="04/08/2026"/>
    <n v="30"/>
    <s v="No"/>
    <s v=""/>
    <m/>
    <m/>
    <s v="*MAV141001501"/>
    <s v="*MAV141001501"/>
    <n v="3.1390525549830477E-5"/>
  </r>
  <r>
    <x v="181"/>
    <s v="Pesos"/>
    <d v="2026-10-16T00:00:00"/>
    <s v="25/08/2026"/>
    <n v="0.95250526000000002"/>
    <m/>
    <n v="3455000"/>
    <n v="3290905.68"/>
    <n v="3455000"/>
    <n v="3290905.68"/>
    <n v="40773792"/>
    <s v="AMOMPY"/>
    <s v="Momentum Capital Investment S.A."/>
    <s v="12/08/2026"/>
    <s v="12/08/2026"/>
    <n v="35"/>
    <s v="No"/>
    <s v=""/>
    <m/>
    <m/>
    <s v="*MAV141001567"/>
    <s v="*MAV141001567"/>
    <n v="5.3859205690578021E-5"/>
  </r>
  <r>
    <x v="226"/>
    <s v="Pesos"/>
    <d v="2026-10-16T00:00:00"/>
    <s v="25/08/2026"/>
    <n v="0.95379968000000004"/>
    <m/>
    <n v="10000000"/>
    <n v="9537996.8000000007"/>
    <n v="10000000"/>
    <n v="9537996.8000000007"/>
    <n v="6034859"/>
    <s v="AMOMPY"/>
    <s v="Momentum Capital Investment S.A."/>
    <s v="27/07/2026"/>
    <s v="27/07/2026"/>
    <n v="34"/>
    <s v="No"/>
    <s v=""/>
    <m/>
    <m/>
    <s v="*MAV141001459"/>
    <s v="*MAV141001459"/>
    <n v="1.5609956087446266E-4"/>
  </r>
  <r>
    <x v="203"/>
    <s v="Pesos"/>
    <d v="2026-10-16T00:00:00"/>
    <s v="25/08/2026"/>
    <n v="0.95509743000000002"/>
    <m/>
    <n v="7261808.2000000002"/>
    <n v="6935734.3200000003"/>
    <n v="7261808.2000000002"/>
    <n v="6935734.3200000003"/>
    <n v="90000672"/>
    <s v="AMOMPY"/>
    <s v="Momentum Capital Investment S.A."/>
    <s v="02/06/2026"/>
    <s v="02/06/2026"/>
    <n v="33"/>
    <s v="No"/>
    <s v=""/>
    <m/>
    <m/>
    <s v="*MAV141001328"/>
    <s v="*MAV141001328"/>
    <n v="1.1351074071380899E-4"/>
  </r>
  <r>
    <x v="214"/>
    <s v="Pesos"/>
    <d v="2026-10-16T00:00:00"/>
    <s v="25/08/2026"/>
    <n v="0.94736297999999997"/>
    <m/>
    <n v="3750000"/>
    <n v="3552611.18"/>
    <n v="3750000"/>
    <n v="3552611.18"/>
    <n v="66920206"/>
    <s v="AMOMPY"/>
    <s v="Momentum Capital Investment S.A."/>
    <s v="13/05/2026"/>
    <s v="13/05/2026"/>
    <n v="39"/>
    <s v="No"/>
    <s v=""/>
    <m/>
    <m/>
    <s v="*MAV141001310"/>
    <s v="*MAV141001310"/>
    <n v="5.8142297254252239E-5"/>
  </r>
  <r>
    <x v="8"/>
    <s v="Pesos"/>
    <d v="2026-10-16T00:00:00"/>
    <s v="25/08/2026"/>
    <n v="0.96693867"/>
    <m/>
    <n v="10000000"/>
    <n v="9669386.6699999999"/>
    <n v="10000000"/>
    <n v="9669386.6699999999"/>
    <n v="425"/>
    <s v="AMOMPY"/>
    <s v="Momentum Capital Investment S.A."/>
    <s v="21/07/2026"/>
    <s v="21/07/2026"/>
    <n v="24"/>
    <s v="No"/>
    <s v=""/>
    <m/>
    <m/>
    <s v="*INP141000062"/>
    <s v="*INP141000062"/>
    <n v="1.5824989720193477E-4"/>
  </r>
  <r>
    <x v="49"/>
    <s v="Dolar 3500"/>
    <d v="2026-10-16T00:00:00"/>
    <s v="25/08/2026"/>
    <n v="0.98873175999999996"/>
    <s v="1 US3 = 1511,5325398191 $"/>
    <n v="18230"/>
    <n v="18024.580000000002"/>
    <n v="27555238.199999999"/>
    <n v="27244739.190000001"/>
    <n v="146445"/>
    <s v="AMOMPY"/>
    <s v="Momentum Capital Investment S.A."/>
    <s v="17/04/2026"/>
    <s v="17/04/2026"/>
    <n v="8"/>
    <s v="No"/>
    <s v=""/>
    <m/>
    <m/>
    <s v="#UMV141060033"/>
    <s v="#UMV141060033"/>
    <n v="4.4588941607720642E-4"/>
  </r>
  <r>
    <x v="12"/>
    <s v="Pesos"/>
    <d v="2026-10-16T00:00:00"/>
    <s v="25/08/2026"/>
    <n v="0.96560857"/>
    <m/>
    <n v="32000000"/>
    <n v="30899474.260000002"/>
    <n v="32000000"/>
    <n v="30899474.260000002"/>
    <n v="5312"/>
    <s v="AMOMPY"/>
    <s v="Momentum Capital Investment S.A."/>
    <s v="16/07/2026"/>
    <s v="16/07/2026"/>
    <n v="25"/>
    <s v="No"/>
    <s v=""/>
    <m/>
    <m/>
    <s v="*PRO141000011"/>
    <s v="*PRO141000011"/>
    <n v="5.0570308046630531E-4"/>
  </r>
  <r>
    <x v="10"/>
    <s v="Pesos"/>
    <d v="2026-10-16T00:00:00"/>
    <s v="25/08/2026"/>
    <n v="0.96560858999999999"/>
    <m/>
    <n v="8650000"/>
    <n v="8352514.2800000003"/>
    <n v="8650000"/>
    <n v="8352514.2800000003"/>
    <n v="34387"/>
    <s v="AMOMPY"/>
    <s v="Momentum Capital Investment S.A."/>
    <s v="20/07/2026"/>
    <s v="20/07/2026"/>
    <n v="25"/>
    <s v="No"/>
    <s v=""/>
    <m/>
    <m/>
    <s v="*MIL141000028"/>
    <s v="*MIL141000028"/>
    <n v="1.366978662967971E-4"/>
  </r>
  <r>
    <x v="10"/>
    <s v="Pesos"/>
    <d v="2026-10-16T00:00:00"/>
    <s v="25/08/2026"/>
    <n v="0.96295909999999996"/>
    <m/>
    <n v="24500000"/>
    <n v="23592497.870000001"/>
    <n v="24500000"/>
    <n v="23592497.870000001"/>
    <n v="34220"/>
    <s v="AMOMPY"/>
    <s v="Momentum Capital Investment S.A."/>
    <s v="07/07/2026"/>
    <s v="07/07/2026"/>
    <n v="27"/>
    <s v="No"/>
    <s v=""/>
    <m/>
    <m/>
    <s v="*MIL141000026"/>
    <s v="*MIL141000026"/>
    <n v="3.8611656458499712E-4"/>
  </r>
  <r>
    <x v="10"/>
    <s v="Pesos"/>
    <d v="2026-10-16T00:00:00"/>
    <s v="25/08/2026"/>
    <n v="0.96295916999999998"/>
    <m/>
    <n v="15000000"/>
    <n v="14444387.5"/>
    <n v="15000000"/>
    <n v="14444387.5"/>
    <n v="11338652"/>
    <s v="AMOMPY"/>
    <s v="Momentum Capital Investment S.A."/>
    <s v="16/07/2026"/>
    <s v="16/07/2026"/>
    <n v="27"/>
    <s v="No"/>
    <s v=""/>
    <m/>
    <m/>
    <s v="*MIL141000027"/>
    <s v="*MIL141000027"/>
    <n v="2.3639791385236965E-4"/>
  </r>
  <r>
    <x v="34"/>
    <s v="Pesos"/>
    <d v="2026-10-16T00:00:00"/>
    <s v="25/08/2026"/>
    <n v="0.95901217000000005"/>
    <m/>
    <n v="6500000"/>
    <n v="6233579.1200000001"/>
    <n v="6500000"/>
    <n v="6233579.1200000001"/>
    <n v="742"/>
    <s v="AMOMPY"/>
    <s v="Momentum Capital Investment S.A."/>
    <s v="08/07/2026"/>
    <s v="08/07/2026"/>
    <n v="30"/>
    <s v="No"/>
    <s v=""/>
    <m/>
    <m/>
    <s v="*MAV141001396"/>
    <s v="*MAV141001396"/>
    <n v="1.0201921679279861E-4"/>
  </r>
  <r>
    <x v="34"/>
    <s v="Pesos"/>
    <d v="2026-10-16T00:00:00"/>
    <s v="25/08/2026"/>
    <n v="0.95901212999999996"/>
    <m/>
    <n v="5000000"/>
    <n v="4795060.63"/>
    <n v="5000000"/>
    <n v="4795060.63"/>
    <n v="791"/>
    <s v="AMOMPY"/>
    <s v="Momentum Capital Investment S.A."/>
    <s v="14/07/2026"/>
    <s v="14/07/2026"/>
    <n v="30"/>
    <s v="No"/>
    <s v=""/>
    <m/>
    <m/>
    <s v="*MAV141001422"/>
    <s v="*MAV141001422"/>
    <n v="7.8476316820469489E-5"/>
  </r>
  <r>
    <x v="34"/>
    <s v="Pesos"/>
    <d v="2026-10-16T00:00:00"/>
    <s v="25/08/2026"/>
    <n v="0.95901219000000004"/>
    <m/>
    <n v="2500000"/>
    <n v="2397530.48"/>
    <n v="2500000"/>
    <n v="2397530.48"/>
    <n v="883"/>
    <s v="AMOMPY"/>
    <s v="Momentum Capital Investment S.A."/>
    <s v="06/08/2026"/>
    <s v="06/08/2026"/>
    <n v="30"/>
    <s v="No"/>
    <s v=""/>
    <m/>
    <m/>
    <s v="*MAV141001530"/>
    <s v="*MAV141001530"/>
    <n v="3.923816111063695E-5"/>
  </r>
  <r>
    <x v="34"/>
    <s v="Pesos"/>
    <d v="2026-10-16T00:00:00"/>
    <s v="25/08/2026"/>
    <n v="0.95901214000000001"/>
    <m/>
    <n v="4000000"/>
    <n v="3836048.55"/>
    <n v="4000000"/>
    <n v="3836048.55"/>
    <n v="860"/>
    <s v="AMOMPY"/>
    <s v="Momentum Capital Investment S.A."/>
    <s v="05/08/2026"/>
    <s v="05/08/2026"/>
    <n v="30"/>
    <s v="No"/>
    <s v=""/>
    <m/>
    <m/>
    <s v="*MAV141001515"/>
    <s v="*MAV141001515"/>
    <n v="6.2781054209214992E-5"/>
  </r>
  <r>
    <x v="34"/>
    <s v="Pesos"/>
    <d v="2026-10-16T00:00:00"/>
    <s v="25/08/2026"/>
    <n v="0.95901223000000002"/>
    <m/>
    <n v="2500000"/>
    <n v="2397530.5699999998"/>
    <n v="2500000"/>
    <n v="2397530.5699999998"/>
    <n v="913"/>
    <s v="AMOMPY"/>
    <s v="Momentum Capital Investment S.A."/>
    <s v="10/08/2026"/>
    <s v="10/08/2026"/>
    <n v="30"/>
    <s v="No"/>
    <s v=""/>
    <m/>
    <m/>
    <s v="*MAV141001541"/>
    <s v="*MAV141001541"/>
    <n v="3.9238162583583599E-5"/>
  </r>
  <r>
    <x v="128"/>
    <s v="Pesos"/>
    <d v="2026-10-16T00:00:00"/>
    <s v="25/08/2026"/>
    <n v="0.95639874000000002"/>
    <m/>
    <n v="475000000"/>
    <n v="454289401.82999998"/>
    <n v="475000000"/>
    <n v="454289401.82999998"/>
    <n v="930"/>
    <s v="AMOMPY"/>
    <s v="Momentum Capital Investment S.A."/>
    <s v="14/07/2026"/>
    <s v="14/07/2026"/>
    <n v="32"/>
    <s v="No"/>
    <s v=""/>
    <m/>
    <m/>
    <s v="*MAV141001420"/>
    <s v="*MAV141001420"/>
    <n v="7.4349339408024658E-3"/>
  </r>
  <r>
    <x v="15"/>
    <s v="Pesos"/>
    <d v="2026-10-16T00:00:00"/>
    <s v="25/08/2026"/>
    <n v="0.95379966000000005"/>
    <m/>
    <n v="100000000"/>
    <n v="95379965.790000007"/>
    <n v="100000000"/>
    <n v="95379965.790000007"/>
    <n v="1982"/>
    <s v="AMOMPY"/>
    <s v="Momentum Capital Investment S.A."/>
    <s v="16/07/2026"/>
    <s v="16/07/2026"/>
    <n v="34"/>
    <s v="No"/>
    <s v=""/>
    <m/>
    <m/>
    <s v="*MAV141001429"/>
    <s v="*MAV141001429"/>
    <n v="1.5609955725756032E-3"/>
  </r>
  <r>
    <x v="145"/>
    <s v="Pesos"/>
    <d v="2026-10-16T00:00:00"/>
    <s v="25/08/2026"/>
    <n v="0.95639870999999999"/>
    <m/>
    <n v="40000000"/>
    <n v="38255948.219999999"/>
    <n v="40000000"/>
    <n v="38255948.219999999"/>
    <n v="13795909"/>
    <s v="AMOMPY"/>
    <s v="Momentum Capital Investment S.A."/>
    <s v="25/06/2026"/>
    <s v="25/06/2026"/>
    <n v="32"/>
    <s v="No"/>
    <s v=""/>
    <m/>
    <m/>
    <s v="*MAV141001362"/>
    <s v="*MAV141001362"/>
    <n v="6.2609967723811582E-4"/>
  </r>
  <r>
    <x v="38"/>
    <s v="Pesos"/>
    <d v="2026-10-16T00:00:00"/>
    <s v="25/08/2026"/>
    <n v="0.96163991999999998"/>
    <m/>
    <n v="6838855.7400000002"/>
    <n v="6576516.6900000004"/>
    <n v="6838855.7400000002"/>
    <n v="6576516.6900000004"/>
    <n v="638547"/>
    <s v="AMOMPY"/>
    <s v="Momentum Capital Investment S.A."/>
    <s v="10/08/2026"/>
    <s v="10/08/2026"/>
    <n v="28"/>
    <s v="No"/>
    <s v=""/>
    <m/>
    <m/>
    <s v="*MAV141001546"/>
    <s v="*MAV141001546"/>
    <n v="1.0763175842044471E-4"/>
  </r>
  <r>
    <x v="38"/>
    <s v="Pesos"/>
    <d v="2026-10-16T00:00:00"/>
    <s v="25/08/2026"/>
    <n v="0.96163991999999998"/>
    <m/>
    <n v="9836282.4499999993"/>
    <n v="9458961.8900000006"/>
    <n v="9836282.4499999993"/>
    <n v="9458961.8900000006"/>
    <n v="636527"/>
    <s v="AMOMPY"/>
    <s v="Momentum Capital Investment S.A."/>
    <s v="10/08/2026"/>
    <s v="10/08/2026"/>
    <n v="28"/>
    <s v="No"/>
    <s v=""/>
    <m/>
    <m/>
    <s v="*MAV141001549"/>
    <s v="*MAV141001549"/>
    <n v="1.5480606969351022E-4"/>
  </r>
  <r>
    <x v="38"/>
    <s v="Pesos"/>
    <d v="2026-10-16T00:00:00"/>
    <s v="25/08/2026"/>
    <n v="0.96163991999999998"/>
    <m/>
    <n v="5532603.9199999999"/>
    <n v="5320372.78"/>
    <n v="5532603.9199999999"/>
    <n v="5320372.78"/>
    <n v="636793"/>
    <s v="AMOMPY"/>
    <s v="Momentum Capital Investment S.A."/>
    <s v="10/08/2026"/>
    <s v="10/08/2026"/>
    <n v="28"/>
    <s v="No"/>
    <s v=""/>
    <m/>
    <m/>
    <s v="*MAV141001548"/>
    <s v="*MAV141001548"/>
    <n v="8.7073614309290202E-5"/>
  </r>
  <r>
    <x v="38"/>
    <s v="Pesos"/>
    <d v="2026-10-16T00:00:00"/>
    <s v="25/08/2026"/>
    <n v="0.96163991999999998"/>
    <m/>
    <n v="6838855.7400000002"/>
    <n v="6576516.6900000004"/>
    <n v="6838855.7400000002"/>
    <n v="6576516.6900000004"/>
    <n v="638540"/>
    <s v="AMOMPY"/>
    <s v="Momentum Capital Investment S.A."/>
    <s v="10/08/2026"/>
    <s v="10/08/2026"/>
    <n v="28"/>
    <s v="No"/>
    <s v=""/>
    <m/>
    <m/>
    <s v="*MAV141001547"/>
    <s v="*MAV141001547"/>
    <n v="1.0763175842044471E-4"/>
  </r>
  <r>
    <x v="38"/>
    <s v="Pesos"/>
    <d v="2026-10-16T00:00:00"/>
    <s v="25/08/2026"/>
    <n v="0.96295918000000003"/>
    <m/>
    <n v="4764805.54"/>
    <n v="4588313.24"/>
    <n v="4764805.54"/>
    <n v="4588313.24"/>
    <n v="662330"/>
    <s v="AMOMPY"/>
    <s v="Momentum Capital Investment S.A."/>
    <s v="10/08/2026"/>
    <s v="10/08/2026"/>
    <n v="27"/>
    <s v="No"/>
    <s v=""/>
    <m/>
    <m/>
    <s v="*MAV141001545"/>
    <s v="*MAV141001545"/>
    <n v="7.5092673748693547E-5"/>
  </r>
  <r>
    <x v="87"/>
    <s v="Pesos"/>
    <d v="2026-10-16T00:00:00"/>
    <s v="25/08/2026"/>
    <n v="0.94864356000000005"/>
    <m/>
    <n v="269000000"/>
    <n v="255185118.02000001"/>
    <n v="269000000"/>
    <n v="255185118.02000001"/>
    <n v="70403625"/>
    <s v="AMOMPY"/>
    <s v="Momentum Capital Investment S.A."/>
    <s v="18/08/2026"/>
    <s v="18/08/2026"/>
    <n v="38"/>
    <s v="No"/>
    <s v=""/>
    <m/>
    <m/>
    <s v="*MAV141001613"/>
    <s v="*MAV141001613"/>
    <n v="4.1763785100682703E-3"/>
  </r>
  <r>
    <x v="230"/>
    <s v="Pesos"/>
    <d v="2026-10-16T00:00:00"/>
    <s v="25/08/2026"/>
    <n v="0.95639892000000004"/>
    <m/>
    <n v="5072132.87"/>
    <n v="4850982.4000000004"/>
    <n v="5072132.87"/>
    <n v="4850982.4000000004"/>
    <n v="30043166"/>
    <s v="AMOMPY"/>
    <s v="Momentum Capital Investment S.A."/>
    <s v="25/08/2026"/>
    <s v="25/08/2026"/>
    <n v="32"/>
    <s v="No"/>
    <s v=""/>
    <m/>
    <m/>
    <s v="*MAV141001681"/>
    <s v="*MAV141001681"/>
    <n v="7.9391536643181403E-5"/>
  </r>
  <r>
    <x v="127"/>
    <s v="Pesos"/>
    <d v="2026-10-16T00:00:00"/>
    <s v="25/08/2026"/>
    <n v="0.96163997999999995"/>
    <m/>
    <n v="55065217.939999998"/>
    <n v="52952915.329999998"/>
    <n v="55065217.939999998"/>
    <n v="52952915.329999998"/>
    <n v="40293250"/>
    <s v="AMOMPY"/>
    <s v="Momentum Capital Investment S.A."/>
    <s v="18/08/2026"/>
    <s v="18/08/2026"/>
    <n v="28"/>
    <s v="No"/>
    <s v=""/>
    <m/>
    <m/>
    <s v="*MAV141001604"/>
    <s v="*MAV141001604"/>
    <n v="8.6663132766364543E-4"/>
  </r>
  <r>
    <x v="127"/>
    <s v="Pesos"/>
    <d v="2026-10-16T00:00:00"/>
    <s v="25/08/2026"/>
    <n v="0.96163997999999995"/>
    <m/>
    <n v="55065217.939999998"/>
    <n v="52952915.329999998"/>
    <n v="55065217.939999998"/>
    <n v="52952915.329999998"/>
    <n v="40293233"/>
    <s v="AMOMPY"/>
    <s v="Momentum Capital Investment S.A."/>
    <s v="18/08/2026"/>
    <s v="18/08/2026"/>
    <n v="28"/>
    <s v="No"/>
    <s v=""/>
    <m/>
    <m/>
    <s v="*MAV141001605"/>
    <s v="*MAV141001605"/>
    <n v="8.6663132766364543E-4"/>
  </r>
  <r>
    <x v="175"/>
    <s v="Pesos"/>
    <d v="2026-10-16T00:00:00"/>
    <s v="25/08/2026"/>
    <n v="0.95509743000000002"/>
    <m/>
    <n v="7190687"/>
    <n v="6867806.6500000004"/>
    <n v="7190687"/>
    <n v="6867806.6500000004"/>
    <n v="90001573"/>
    <s v="AMOMPY"/>
    <s v="Momentum Capital Investment S.A."/>
    <s v="02/06/2026"/>
    <s v="02/06/2026"/>
    <n v="33"/>
    <s v="No"/>
    <s v=""/>
    <m/>
    <m/>
    <s v="*MAV141001327"/>
    <s v="*MAV141001327"/>
    <n v="1.1239903144397307E-4"/>
  </r>
  <r>
    <x v="217"/>
    <s v="Pesos"/>
    <d v="2026-10-16T00:00:00"/>
    <s v="25/08/2026"/>
    <n v="0.95639874000000002"/>
    <m/>
    <n v="9936187.5"/>
    <n v="9502957.2100000009"/>
    <n v="9936187.5"/>
    <n v="9502957.2100000009"/>
    <n v="67195494"/>
    <s v="AMOMPY"/>
    <s v="Momentum Capital Investment S.A."/>
    <s v="14/07/2026"/>
    <s v="14/07/2026"/>
    <n v="32"/>
    <s v="No"/>
    <s v=""/>
    <m/>
    <m/>
    <s v="*MAV141001419"/>
    <s v="*MAV141001419"/>
    <n v="1.5552610035367268E-4"/>
  </r>
  <r>
    <x v="181"/>
    <s v="Pesos"/>
    <d v="2026-10-19T00:00:00"/>
    <s v="25/08/2026"/>
    <n v="0.94990249999999998"/>
    <m/>
    <n v="2112995"/>
    <n v="2007139.23"/>
    <n v="2112995"/>
    <n v="2007139.23"/>
    <n v="40773793"/>
    <s v="AMOMPY"/>
    <s v="Momentum Capital Investment S.A."/>
    <s v="12/08/2026"/>
    <s v="12/08/2026"/>
    <n v="35"/>
    <s v="No"/>
    <s v=""/>
    <m/>
    <m/>
    <s v="*MAV151001593"/>
    <s v="*MAV151001593"/>
    <n v="3.2848989047355003E-5"/>
  </r>
  <r>
    <x v="227"/>
    <s v="Pesos"/>
    <d v="2026-10-19T00:00:00"/>
    <s v="25/08/2026"/>
    <n v="0.94990257"/>
    <m/>
    <n v="20000000"/>
    <n v="18998051.489999998"/>
    <n v="20000000"/>
    <n v="18998051.489999998"/>
    <n v="10549353"/>
    <s v="AMOMPY"/>
    <s v="Momentum Capital Investment S.A."/>
    <s v="13/08/2026"/>
    <s v="13/08/2026"/>
    <n v="35"/>
    <s v="No"/>
    <s v=""/>
    <m/>
    <m/>
    <s v="*MAV151001603"/>
    <s v="*MAV151001603"/>
    <n v="3.1092351541357516E-4"/>
  </r>
  <r>
    <x v="214"/>
    <s v="Pesos"/>
    <d v="2026-10-19T00:00:00"/>
    <s v="25/08/2026"/>
    <n v="0.94449481999999996"/>
    <m/>
    <n v="3750000"/>
    <n v="3541855.56"/>
    <n v="3750000"/>
    <n v="3541855.56"/>
    <n v="66917997"/>
    <s v="AMOMPY"/>
    <s v="Momentum Capital Investment S.A."/>
    <s v="13/05/2026"/>
    <s v="13/05/2026"/>
    <n v="39"/>
    <s v="No"/>
    <s v=""/>
    <m/>
    <m/>
    <s v="*MAV151001351"/>
    <s v="*MAV151001351"/>
    <n v="5.7966269982054725E-5"/>
  </r>
  <r>
    <x v="8"/>
    <s v="Pesos"/>
    <d v="2026-10-19T00:00:00"/>
    <s v="25/08/2026"/>
    <n v="0.95951637000000001"/>
    <m/>
    <n v="30000000"/>
    <n v="28785491.039999999"/>
    <n v="30000000"/>
    <n v="28785491.039999999"/>
    <n v="29600865"/>
    <s v="AMOMPY"/>
    <s v="Momentum Capital Investment S.A."/>
    <s v="07/07/2026"/>
    <s v="07/07/2026"/>
    <n v="28"/>
    <s v="No"/>
    <s v=""/>
    <m/>
    <m/>
    <s v="*INP151000082"/>
    <s v="*INP151000082"/>
    <n v="4.7110547477849639E-4"/>
  </r>
  <r>
    <x v="48"/>
    <s v="Pesos"/>
    <d v="2026-10-19T00:00:00"/>
    <s v="25/08/2026"/>
    <n v="0.95951635000000002"/>
    <m/>
    <n v="212000000"/>
    <n v="203417466.77000001"/>
    <n v="212000000"/>
    <n v="203417466.77000001"/>
    <n v="39"/>
    <s v="AMOMPY"/>
    <s v="Momentum Capital Investment S.A."/>
    <s v="03/07/2026"/>
    <s v="03/07/2026"/>
    <n v="28"/>
    <s v="No"/>
    <s v=""/>
    <m/>
    <m/>
    <s v="*FED151000042"/>
    <s v="*FED151000042"/>
    <n v="3.3291453019770986E-3"/>
  </r>
  <r>
    <x v="67"/>
    <s v="Pesos"/>
    <d v="2026-10-19T00:00:00"/>
    <s v="25/08/2026"/>
    <n v="0.95537234000000004"/>
    <m/>
    <n v="16500000"/>
    <n v="15763643.59"/>
    <n v="16500000"/>
    <n v="15763643.59"/>
    <n v="28676"/>
    <s v="AMOMPY"/>
    <s v="Momentum Capital Investment S.A."/>
    <s v="27/04/2026"/>
    <s v="27/04/2026"/>
    <n v="31"/>
    <s v="No"/>
    <s v=""/>
    <m/>
    <m/>
    <s v="*MAV151001343"/>
    <s v="*MAV151001343"/>
    <n v="2.5798895656795962E-4"/>
  </r>
  <r>
    <x v="149"/>
    <s v="Pesos"/>
    <d v="2026-10-19T00:00:00"/>
    <s v="25/08/2026"/>
    <n v="0.95951646999999995"/>
    <m/>
    <n v="20600000"/>
    <n v="19766039.18"/>
    <n v="20600000"/>
    <n v="19766039.18"/>
    <n v="99803230"/>
    <s v="AMOMPY"/>
    <s v="Momentum Capital Investment S.A."/>
    <s v="10/08/2026"/>
    <s v="10/08/2026"/>
    <n v="28"/>
    <s v="No"/>
    <s v=""/>
    <m/>
    <m/>
    <s v="*MAV151001574"/>
    <s v="*MAV151001574"/>
    <n v="3.2349245873362253E-4"/>
  </r>
  <r>
    <x v="82"/>
    <s v="Pesos"/>
    <d v="2026-10-19T00:00:00"/>
    <s v="25/08/2026"/>
    <n v="0.94584115000000002"/>
    <m/>
    <n v="42000000"/>
    <n v="39725328.369999997"/>
    <n v="42000000"/>
    <n v="39725328.369999997"/>
    <n v="160224"/>
    <s v="AMOMPY"/>
    <s v="Momentum Capital Investment S.A."/>
    <s v="14/08/2026"/>
    <s v="14/08/2026"/>
    <n v="38"/>
    <s v="No"/>
    <s v=""/>
    <m/>
    <m/>
    <s v="#MAV161060023"/>
    <s v="#MAV161060023"/>
    <n v="6.5014766141993597E-4"/>
  </r>
  <r>
    <x v="83"/>
    <s v="Pesos"/>
    <d v="2026-10-19T00:00:00"/>
    <s v="25/08/2026"/>
    <n v="0.94990249000000004"/>
    <m/>
    <n v="1500000"/>
    <n v="1424853.74"/>
    <n v="1500000"/>
    <n v="1424853.74"/>
    <n v="4"/>
    <s v="AMOMPY"/>
    <s v="Momentum Capital Investment S.A."/>
    <s v="23/04/2026"/>
    <s v="23/04/2026"/>
    <n v="35"/>
    <s v="No"/>
    <s v=""/>
    <m/>
    <m/>
    <s v="*MAV151001338"/>
    <s v="*MAV151001338"/>
    <n v="2.3319261663448638E-5"/>
  </r>
  <r>
    <x v="47"/>
    <s v="Pesos"/>
    <d v="2026-10-19T00:00:00"/>
    <s v="25/08/2026"/>
    <n v="0.95126421000000005"/>
    <m/>
    <n v="10000000"/>
    <n v="9512642.0700000003"/>
    <n v="10000000"/>
    <n v="9512642.0700000003"/>
    <n v="14284509"/>
    <s v="AMOMPY"/>
    <s v="Momentum Capital Investment S.A."/>
    <s v="24/08/2026"/>
    <s v="24/08/2026"/>
    <n v="34"/>
    <s v="No"/>
    <s v=""/>
    <m/>
    <m/>
    <s v="*MAV151001691"/>
    <s v="*MAV151001691"/>
    <n v="1.556846034885375E-4"/>
  </r>
  <r>
    <x v="13"/>
    <s v="Pesos"/>
    <d v="2026-10-19T00:00:00"/>
    <s v="25/08/2026"/>
    <n v="0.95951635999999996"/>
    <m/>
    <n v="2500000"/>
    <n v="2398790.91"/>
    <n v="2500000"/>
    <n v="2398790.91"/>
    <n v="90031816"/>
    <s v="AMOMPY"/>
    <s v="Momentum Capital Investment S.A."/>
    <s v="22/04/2026"/>
    <s v="22/04/2026"/>
    <n v="28"/>
    <s v="No"/>
    <s v=""/>
    <m/>
    <m/>
    <s v="*MOV151000067"/>
    <s v="*MOV151000067"/>
    <n v="3.9258789401213961E-5"/>
  </r>
  <r>
    <x v="10"/>
    <s v="Pesos"/>
    <d v="2026-10-19T00:00:00"/>
    <s v="25/08/2026"/>
    <n v="0.96090569000000003"/>
    <m/>
    <n v="20000000"/>
    <n v="19218113.75"/>
    <n v="20000000"/>
    <n v="19218113.75"/>
    <n v="68122791"/>
    <s v="AMOMPY"/>
    <s v="Momentum Capital Investment S.A."/>
    <s v="07/07/2026"/>
    <s v="07/07/2026"/>
    <n v="27"/>
    <s v="No"/>
    <s v=""/>
    <m/>
    <m/>
    <s v="*MIL151000039"/>
    <s v="*MIL151000039"/>
    <n v="3.1452507063228129E-4"/>
  </r>
  <r>
    <x v="10"/>
    <s v="Pesos"/>
    <d v="2026-10-19T00:00:00"/>
    <s v="25/08/2026"/>
    <n v="0.96090569999999997"/>
    <m/>
    <n v="1650000"/>
    <n v="1585494.4"/>
    <n v="1650000"/>
    <n v="1585494.4"/>
    <n v="582"/>
    <s v="AMOMPY"/>
    <s v="Momentum Capital Investment S.A."/>
    <s v="07/07/2026"/>
    <s v="07/07/2026"/>
    <n v="27"/>
    <s v="No"/>
    <s v=""/>
    <m/>
    <m/>
    <s v="*MIL151000040"/>
    <s v="*MIL151000040"/>
    <n v="2.594831858288311E-5"/>
  </r>
  <r>
    <x v="108"/>
    <s v="Pesos"/>
    <d v="2026-10-19T00:00:00"/>
    <s v="25/08/2026"/>
    <n v="0.95262968000000003"/>
    <m/>
    <n v="2502550.36"/>
    <n v="2384003.7400000002"/>
    <n v="2502550.36"/>
    <n v="2384003.7400000002"/>
    <n v="3126"/>
    <s v="AMOMPY"/>
    <s v="Momentum Capital Investment S.A."/>
    <s v="23/07/2026"/>
    <s v="23/07/2026"/>
    <n v="33"/>
    <s v="No"/>
    <s v=""/>
    <m/>
    <m/>
    <s v="*MAV151001494"/>
    <s v="*MAV151001494"/>
    <n v="3.9016781483621034E-5"/>
  </r>
  <r>
    <x v="108"/>
    <s v="Pesos"/>
    <d v="2026-10-19T00:00:00"/>
    <s v="25/08/2026"/>
    <n v="0.95262968000000003"/>
    <m/>
    <n v="2502550.36"/>
    <n v="2384003.7400000002"/>
    <n v="2502550.36"/>
    <n v="2384003.7400000002"/>
    <n v="3136"/>
    <s v="AMOMPY"/>
    <s v="Momentum Capital Investment S.A."/>
    <s v="23/07/2026"/>
    <s v="23/07/2026"/>
    <n v="33"/>
    <s v="No"/>
    <s v=""/>
    <m/>
    <m/>
    <s v="*MAV151001495"/>
    <s v="*MAV151001495"/>
    <n v="3.9016781483621034E-5"/>
  </r>
  <r>
    <x v="34"/>
    <s v="Pesos"/>
    <d v="2026-10-19T00:00:00"/>
    <s v="25/08/2026"/>
    <n v="0.95674979000000004"/>
    <m/>
    <n v="6500000"/>
    <n v="6218873.6100000003"/>
    <n v="6500000"/>
    <n v="6218873.6100000003"/>
    <n v="743"/>
    <s v="AMOMPY"/>
    <s v="Momentum Capital Investment S.A."/>
    <s v="08/07/2026"/>
    <s v="08/07/2026"/>
    <n v="30"/>
    <s v="No"/>
    <s v=""/>
    <m/>
    <m/>
    <s v="*MAV151001437"/>
    <s v="*MAV151001437"/>
    <n v="1.0177854532880367E-4"/>
  </r>
  <r>
    <x v="34"/>
    <s v="Pesos"/>
    <d v="2026-10-19T00:00:00"/>
    <s v="25/08/2026"/>
    <n v="0.95674974000000002"/>
    <m/>
    <n v="5000000"/>
    <n v="4783748.6900000004"/>
    <n v="5000000"/>
    <n v="4783748.6900000004"/>
    <n v="792"/>
    <s v="AMOMPY"/>
    <s v="Momentum Capital Investment S.A."/>
    <s v="14/07/2026"/>
    <s v="14/07/2026"/>
    <n v="30"/>
    <s v="No"/>
    <s v=""/>
    <m/>
    <m/>
    <s v="*MAV151001448"/>
    <s v="*MAV151001448"/>
    <n v="7.8291184774017335E-5"/>
  </r>
  <r>
    <x v="34"/>
    <s v="Pesos"/>
    <d v="2026-10-19T00:00:00"/>
    <s v="25/08/2026"/>
    <n v="0.95674981999999997"/>
    <m/>
    <n v="2500000"/>
    <n v="2391874.5499999998"/>
    <n v="2500000"/>
    <n v="2391874.5499999998"/>
    <n v="603"/>
    <s v="AMOMPY"/>
    <s v="Momentum Capital Investment S.A."/>
    <s v="06/08/2026"/>
    <s v="06/08/2026"/>
    <n v="30"/>
    <s v="No"/>
    <s v=""/>
    <m/>
    <m/>
    <s v="*MAV151001558"/>
    <s v="*MAV151001558"/>
    <n v="3.9145595742053818E-5"/>
  </r>
  <r>
    <x v="34"/>
    <s v="Pesos"/>
    <d v="2026-10-19T00:00:00"/>
    <s v="25/08/2026"/>
    <n v="0.95674968000000005"/>
    <m/>
    <n v="2500000"/>
    <n v="2391874.19"/>
    <n v="2500000"/>
    <n v="2391874.19"/>
    <n v="906"/>
    <s v="AMOMPY"/>
    <s v="Momentum Capital Investment S.A."/>
    <s v="07/08/2026"/>
    <s v="07/08/2026"/>
    <n v="30"/>
    <s v="No"/>
    <s v=""/>
    <m/>
    <m/>
    <s v="*MAV151001564"/>
    <s v="*MAV151001564"/>
    <n v="3.91455898502672E-5"/>
  </r>
  <r>
    <x v="34"/>
    <s v="Pesos"/>
    <d v="2026-10-19T00:00:00"/>
    <s v="25/08/2026"/>
    <n v="0.95674985000000001"/>
    <m/>
    <n v="2000000"/>
    <n v="1913499.7"/>
    <n v="2000000"/>
    <n v="1913499.7"/>
    <n v="914"/>
    <s v="AMOMPY"/>
    <s v="Momentum Capital Investment S.A."/>
    <s v="10/08/2026"/>
    <s v="10/08/2026"/>
    <n v="30"/>
    <s v="No"/>
    <s v=""/>
    <m/>
    <m/>
    <s v="*MAV151001569"/>
    <s v="*MAV151001569"/>
    <n v="3.1316477575607495E-5"/>
  </r>
  <r>
    <x v="108"/>
    <s v="Pesos"/>
    <d v="2026-10-19T00:00:00"/>
    <s v="25/08/2026"/>
    <n v="0.94854490999999996"/>
    <m/>
    <n v="2954385"/>
    <n v="2802366.85"/>
    <n v="2954385"/>
    <n v="2802366.85"/>
    <n v="3296"/>
    <s v="AMOMPY"/>
    <s v="Momentum Capital Investment S.A."/>
    <s v="24/08/2026"/>
    <s v="24/08/2026"/>
    <n v="36"/>
    <s v="No"/>
    <s v=""/>
    <m/>
    <m/>
    <s v="*MAV151001703"/>
    <s v="*MAV151001703"/>
    <n v="4.5863743075920427E-5"/>
  </r>
  <r>
    <x v="34"/>
    <s v="Pesos"/>
    <d v="2026-10-19T00:00:00"/>
    <s v="25/08/2026"/>
    <n v="0.95674974999999995"/>
    <m/>
    <n v="10000000"/>
    <n v="9567497.5199999996"/>
    <n v="10000000"/>
    <n v="9567497.5199999996"/>
    <n v="726"/>
    <s v="AMOMPY"/>
    <s v="Momentum Capital Investment S.A."/>
    <s v="30/06/2026"/>
    <s v="30/06/2026"/>
    <n v="30"/>
    <s v="No"/>
    <s v=""/>
    <m/>
    <m/>
    <s v="*MAV151001396"/>
    <s v="*MAV151001396"/>
    <n v="1.56582371839285E-4"/>
  </r>
  <r>
    <x v="223"/>
    <s v="Pesos"/>
    <d v="2026-10-19T00:00:00"/>
    <s v="25/08/2026"/>
    <n v="0.95262970999999996"/>
    <m/>
    <n v="41359418"/>
    <n v="39400210.43"/>
    <n v="41359418"/>
    <n v="39400210.43"/>
    <n v="397"/>
    <s v="AMOMPY"/>
    <s v="Momentum Capital Investment S.A."/>
    <s v="10/08/2026"/>
    <s v="10/08/2026"/>
    <n v="33"/>
    <s v="No"/>
    <s v=""/>
    <m/>
    <m/>
    <s v="*MAV151001572"/>
    <s v="*MAV151001572"/>
    <n v="6.4482675717446487E-4"/>
  </r>
  <r>
    <x v="181"/>
    <s v="Pesos"/>
    <d v="2026-10-20T00:00:00"/>
    <s v="25/08/2026"/>
    <n v="0.94903799"/>
    <m/>
    <n v="4359563.53"/>
    <n v="4137391.39"/>
    <n v="4359563.53"/>
    <n v="4137391.39"/>
    <n v="40773794"/>
    <s v="AMOMPY"/>
    <s v="Momentum Capital Investment S.A."/>
    <s v="12/08/2026"/>
    <s v="12/08/2026"/>
    <n v="35"/>
    <s v="No"/>
    <s v=""/>
    <m/>
    <m/>
    <s v="*MAV161001275"/>
    <s v="*MAV161001275"/>
    <n v="6.7712853410139816E-5"/>
  </r>
  <r>
    <x v="111"/>
    <s v="Pesos"/>
    <d v="2026-10-20T00:00:00"/>
    <s v="25/08/2026"/>
    <n v="0.95180975000000001"/>
    <m/>
    <n v="45000000"/>
    <n v="42831438.590000004"/>
    <n v="45000000"/>
    <n v="42831438.590000004"/>
    <n v="67764210"/>
    <s v="AMOMPY"/>
    <s v="Momentum Capital Investment S.A."/>
    <s v="18/06/2026"/>
    <s v="18/06/2026"/>
    <n v="33"/>
    <s v="No"/>
    <s v=""/>
    <m/>
    <m/>
    <s v="*MAV161001066"/>
    <s v="*MAV161001066"/>
    <n v="7.0098249094825802E-4"/>
  </r>
  <r>
    <x v="2"/>
    <s v="Pesos"/>
    <d v="2026-10-20T00:00:00"/>
    <s v="25/08/2026"/>
    <n v="0.95459795000000003"/>
    <m/>
    <n v="11371524"/>
    <n v="10855233.470000001"/>
    <n v="11371524"/>
    <n v="10855233.470000001"/>
    <n v="1234"/>
    <s v="AMOMPY"/>
    <s v="Momentum Capital Investment S.A."/>
    <s v="04/08/2026"/>
    <s v="04/08/2026"/>
    <n v="31"/>
    <s v="No"/>
    <s v=""/>
    <m/>
    <m/>
    <s v="*MAV161001212"/>
    <s v="*MAV161001212"/>
    <n v="1.7765755361301541E-4"/>
  </r>
  <r>
    <x v="112"/>
    <s v="Pesos"/>
    <d v="2026-10-20T00:00:00"/>
    <s v="25/08/2026"/>
    <n v="0.94491046999999995"/>
    <m/>
    <n v="6899161.7699999996"/>
    <n v="6519090.2000000002"/>
    <n v="6899161.7699999996"/>
    <n v="6519090.2000000002"/>
    <n v="65964607"/>
    <s v="AMOMPY"/>
    <s v="Momentum Capital Investment S.A."/>
    <s v="22/04/2026"/>
    <s v="22/04/2026"/>
    <n v="38"/>
    <s v="No"/>
    <s v=""/>
    <m/>
    <m/>
    <s v="*MAV161001047"/>
    <s v="*MAV161001047"/>
    <n v="1.0669191223895283E-4"/>
  </r>
  <r>
    <x v="8"/>
    <s v="Pesos"/>
    <d v="2026-10-20T00:00:00"/>
    <s v="25/08/2026"/>
    <n v="0.95599796000000004"/>
    <m/>
    <n v="2000000"/>
    <n v="1911995.92"/>
    <n v="2000000"/>
    <n v="1911995.92"/>
    <n v="13442187"/>
    <s v="AMOMPY"/>
    <s v="Momentum Capital Investment S.A."/>
    <s v="29/05/2026"/>
    <s v="29/05/2026"/>
    <n v="30"/>
    <s v="No"/>
    <s v=""/>
    <m/>
    <m/>
    <s v="*INP161000050"/>
    <s v="*INP161000050"/>
    <n v="3.1291866600937023E-5"/>
  </r>
  <r>
    <x v="148"/>
    <s v="Pesos"/>
    <d v="2026-10-20T00:00:00"/>
    <s v="25/08/2026"/>
    <n v="0.96306082000000004"/>
    <m/>
    <n v="100000000"/>
    <n v="96306081.840000004"/>
    <n v="100000000"/>
    <n v="96306081.840000004"/>
    <n v="52811168"/>
    <s v="AMOMPY"/>
    <s v="Momentum Capital Investment S.A."/>
    <s v="17/07/2026"/>
    <s v="17/07/2026"/>
    <n v="25"/>
    <s v="No"/>
    <s v=""/>
    <m/>
    <m/>
    <s v="*AFB161000015"/>
    <s v="*AFB161000015"/>
    <n v="1.5761524563275239E-3"/>
  </r>
  <r>
    <x v="153"/>
    <s v="Pesos"/>
    <d v="2026-10-20T00:00:00"/>
    <s v="25/08/2026"/>
    <n v="0.95881066000000004"/>
    <m/>
    <n v="7098063.4299999997"/>
    <n v="6805698.8899999997"/>
    <n v="7098063.4299999997"/>
    <n v="6805698.8899999997"/>
    <n v="90027049"/>
    <s v="AMOMPY"/>
    <s v="Momentum Capital Investment S.A."/>
    <s v="10/08/2026"/>
    <s v="10/08/2026"/>
    <n v="28"/>
    <s v="No"/>
    <s v=""/>
    <m/>
    <m/>
    <s v="*MAV161001267"/>
    <s v="*MAV161001267"/>
    <n v="1.1138257125152505E-4"/>
  </r>
  <r>
    <x v="13"/>
    <s v="Pesos"/>
    <d v="2026-10-20T00:00:00"/>
    <s v="25/08/2026"/>
    <n v="0.95881059000000002"/>
    <m/>
    <n v="2500000"/>
    <n v="2397026.48"/>
    <n v="2500000"/>
    <n v="2397026.48"/>
    <n v="90031817"/>
    <s v="AMOMPY"/>
    <s v="Momentum Capital Investment S.A."/>
    <s v="22/04/2026"/>
    <s v="22/04/2026"/>
    <n v="28"/>
    <s v="No"/>
    <s v=""/>
    <m/>
    <m/>
    <s v="*MOV161000058"/>
    <s v="*MOV161000058"/>
    <n v="3.9229912609370865E-5"/>
  </r>
  <r>
    <x v="13"/>
    <s v="Pesos"/>
    <d v="2026-10-20T00:00:00"/>
    <s v="25/08/2026"/>
    <n v="0.95881055999999998"/>
    <m/>
    <n v="25000000"/>
    <n v="23970264.02"/>
    <n v="25000000"/>
    <n v="23970264.02"/>
    <n v="360572"/>
    <s v="AMOMPY"/>
    <s v="Momentum Capital Investment S.A."/>
    <s v="21/04/2026"/>
    <s v="21/04/2026"/>
    <n v="28"/>
    <s v="No"/>
    <s v=""/>
    <m/>
    <m/>
    <s v="*MOV161000057"/>
    <s v="*MOV161000057"/>
    <n v="3.9229911332817094E-4"/>
  </r>
  <r>
    <x v="10"/>
    <s v="Pesos"/>
    <d v="2026-10-20T00:00:00"/>
    <s v="25/08/2026"/>
    <n v="0.96306080000000005"/>
    <m/>
    <n v="10000000"/>
    <n v="9630607.9800000004"/>
    <n v="10000000"/>
    <n v="9630607.9800000004"/>
    <n v="68341633"/>
    <s v="AMOMPY"/>
    <s v="Momentum Capital Investment S.A."/>
    <s v="20/07/2026"/>
    <s v="20/07/2026"/>
    <n v="25"/>
    <s v="No"/>
    <s v=""/>
    <m/>
    <m/>
    <s v="*MIL161000031"/>
    <s v="*MIL161000031"/>
    <n v="1.5761524229407332E-4"/>
  </r>
  <r>
    <x v="10"/>
    <s v="Pesos"/>
    <d v="2026-10-20T00:00:00"/>
    <s v="25/08/2026"/>
    <n v="0.96306080000000005"/>
    <m/>
    <n v="10000000"/>
    <n v="9630607.9800000004"/>
    <n v="10000000"/>
    <n v="9630607.9800000004"/>
    <n v="5295"/>
    <s v="AMOMPY"/>
    <s v="Momentum Capital Investment S.A."/>
    <s v="20/07/2026"/>
    <s v="20/07/2026"/>
    <n v="25"/>
    <s v="No"/>
    <s v=""/>
    <m/>
    <m/>
    <s v="*MIL161000033"/>
    <s v="*MIL161000033"/>
    <n v="1.5761524229407332E-4"/>
  </r>
  <r>
    <x v="10"/>
    <s v="Pesos"/>
    <d v="2026-10-20T00:00:00"/>
    <s v="25/08/2026"/>
    <n v="0.96306080000000005"/>
    <m/>
    <n v="8650000"/>
    <n v="8330475.9100000001"/>
    <n v="8650000"/>
    <n v="8330475.9100000001"/>
    <n v="34388"/>
    <s v="AMOMPY"/>
    <s v="Momentum Capital Investment S.A."/>
    <s v="20/07/2026"/>
    <s v="20/07/2026"/>
    <n v="25"/>
    <s v="No"/>
    <s v=""/>
    <m/>
    <m/>
    <s v="*MIL161000032"/>
    <s v="*MIL161000032"/>
    <n v="1.3633718470384574E-4"/>
  </r>
  <r>
    <x v="10"/>
    <s v="Pesos"/>
    <d v="2026-10-20T00:00:00"/>
    <s v="25/08/2026"/>
    <n v="0.96163993000000003"/>
    <m/>
    <n v="15000000"/>
    <n v="14424598.970000001"/>
    <n v="15000000"/>
    <n v="14424598.970000001"/>
    <n v="9621092"/>
    <s v="AMOMPY"/>
    <s v="Momentum Capital Investment S.A."/>
    <s v="17/07/2026"/>
    <s v="17/07/2026"/>
    <n v="26"/>
    <s v="No"/>
    <s v=""/>
    <m/>
    <m/>
    <s v="*MIL161000034"/>
    <s v="*MIL161000034"/>
    <n v="2.3607405330721294E-4"/>
  </r>
  <r>
    <x v="10"/>
    <s v="Pesos"/>
    <d v="2026-10-20T00:00:00"/>
    <s v="25/08/2026"/>
    <n v="0.96022311999999999"/>
    <m/>
    <n v="15000000"/>
    <n v="14403346.779999999"/>
    <n v="15000000"/>
    <n v="14403346.779999999"/>
    <n v="68122840"/>
    <s v="AMOMPY"/>
    <s v="Momentum Capital Investment S.A."/>
    <s v="07/07/2026"/>
    <s v="07/07/2026"/>
    <n v="27"/>
    <s v="No"/>
    <s v=""/>
    <m/>
    <m/>
    <s v="*MIL161000028"/>
    <s v="*MIL161000028"/>
    <n v="2.3572623839427222E-4"/>
  </r>
  <r>
    <x v="10"/>
    <s v="Pesos"/>
    <d v="2026-10-20T00:00:00"/>
    <s v="25/08/2026"/>
    <n v="0.96022311999999999"/>
    <m/>
    <n v="10000000"/>
    <n v="9602231.1899999995"/>
    <n v="10000000"/>
    <n v="9602231.1899999995"/>
    <n v="2011"/>
    <s v="AMOMPY"/>
    <s v="Momentum Capital Investment S.A."/>
    <s v="07/07/2026"/>
    <s v="07/07/2026"/>
    <n v="27"/>
    <s v="No"/>
    <s v=""/>
    <m/>
    <m/>
    <s v="*MIL161000029"/>
    <s v="*MIL161000029"/>
    <n v="1.5715082565073506E-4"/>
  </r>
  <r>
    <x v="10"/>
    <s v="Pesos"/>
    <d v="2026-10-20T00:00:00"/>
    <s v="25/08/2026"/>
    <n v="0.96022319"/>
    <m/>
    <n v="15000000"/>
    <n v="14403347.84"/>
    <n v="15000000"/>
    <n v="14403347.84"/>
    <n v="11349966"/>
    <s v="AMOMPY"/>
    <s v="Momentum Capital Investment S.A."/>
    <s v="16/07/2026"/>
    <s v="16/07/2026"/>
    <n v="27"/>
    <s v="No"/>
    <s v=""/>
    <m/>
    <m/>
    <s v="*MIL161000030"/>
    <s v="*MIL161000030"/>
    <n v="2.3572625574231062E-4"/>
  </r>
  <r>
    <x v="10"/>
    <s v="Pesos"/>
    <d v="2026-10-20T00:00:00"/>
    <s v="25/08/2026"/>
    <n v="0.95599805000000004"/>
    <m/>
    <n v="5000000"/>
    <n v="4779990.2699999996"/>
    <n v="5000000"/>
    <n v="4779990.2699999996"/>
    <n v="8778"/>
    <s v="AMOMPY"/>
    <s v="Momentum Capital Investment S.A."/>
    <s v="14/08/2026"/>
    <s v="14/08/2026"/>
    <n v="30"/>
    <s v="No"/>
    <s v=""/>
    <m/>
    <m/>
    <s v="*MIL161000037"/>
    <s v="*MIL161000037"/>
    <n v="7.8229674194397304E-5"/>
  </r>
  <r>
    <x v="34"/>
    <s v="Pesos"/>
    <d v="2026-10-20T00:00:00"/>
    <s v="25/08/2026"/>
    <n v="0.95599800000000001"/>
    <m/>
    <n v="2500000"/>
    <n v="2389994.9900000002"/>
    <n v="2500000"/>
    <n v="2389994.9900000002"/>
    <n v="456"/>
    <s v="AMOMPY"/>
    <s v="Momentum Capital Investment S.A."/>
    <s v="06/08/2026"/>
    <s v="06/08/2026"/>
    <n v="30"/>
    <s v="No"/>
    <s v=""/>
    <m/>
    <m/>
    <s v="*MAV161001234"/>
    <s v="*MAV161001234"/>
    <n v="3.9114834724117943E-5"/>
  </r>
  <r>
    <x v="34"/>
    <s v="Pesos"/>
    <d v="2026-10-20T00:00:00"/>
    <s v="25/08/2026"/>
    <n v="0.95599809000000002"/>
    <m/>
    <n v="3300000"/>
    <n v="3154793.7"/>
    <n v="3300000"/>
    <n v="3154793.7"/>
    <n v="925"/>
    <s v="AMOMPY"/>
    <s v="Momentum Capital Investment S.A."/>
    <s v="11/08/2026"/>
    <s v="11/08/2026"/>
    <n v="30"/>
    <s v="No"/>
    <s v=""/>
    <m/>
    <m/>
    <s v="*MAV161001270"/>
    <s v="*MAV161001270"/>
    <n v="5.1631586961690035E-5"/>
  </r>
  <r>
    <x v="34"/>
    <s v="Pesos"/>
    <d v="2026-10-20T00:00:00"/>
    <s v="25/08/2026"/>
    <n v="0.95599805999999998"/>
    <m/>
    <n v="2500000"/>
    <n v="2389995.14"/>
    <n v="2500000"/>
    <n v="2389995.14"/>
    <n v="907"/>
    <s v="AMOMPY"/>
    <s v="Momentum Capital Investment S.A."/>
    <s v="07/08/2026"/>
    <s v="07/08/2026"/>
    <n v="30"/>
    <s v="No"/>
    <s v=""/>
    <m/>
    <m/>
    <s v="*MAV161001246"/>
    <s v="*MAV161001246"/>
    <n v="3.9114837179029028E-5"/>
  </r>
  <r>
    <x v="34"/>
    <s v="Pesos"/>
    <d v="2026-10-20T00:00:00"/>
    <s v="25/08/2026"/>
    <n v="0.95320190000000005"/>
    <m/>
    <n v="3000000"/>
    <n v="2859605.71"/>
    <n v="3000000"/>
    <n v="2859605.71"/>
    <n v="1040"/>
    <s v="AMOMPY"/>
    <s v="Momentum Capital Investment S.A."/>
    <s v="25/08/2026"/>
    <s v="25/08/2026"/>
    <n v="32"/>
    <s v="No"/>
    <s v=""/>
    <m/>
    <m/>
    <s v="*MAV161001354"/>
    <s v="*MAV161001354"/>
    <n v="4.6800518490958812E-5"/>
  </r>
  <r>
    <x v="126"/>
    <s v="Pesos"/>
    <d v="2026-10-20T00:00:00"/>
    <s v="25/08/2026"/>
    <n v="0.95320172999999997"/>
    <m/>
    <n v="50000000"/>
    <n v="47660086.289999999"/>
    <n v="50000000"/>
    <n v="47660086.289999999"/>
    <n v="5026"/>
    <s v="AMOMPY"/>
    <s v="Momentum Capital Investment S.A."/>
    <s v="21/07/2026"/>
    <s v="21/07/2026"/>
    <n v="32"/>
    <s v="No"/>
    <s v=""/>
    <m/>
    <m/>
    <s v="*MAV161001141"/>
    <s v="*MAV161001141"/>
    <n v="7.800084962397972E-4"/>
  </r>
  <r>
    <x v="17"/>
    <s v="Pesos"/>
    <d v="2026-10-20T00:00:00"/>
    <s v="25/08/2026"/>
    <n v="0.95042201000000004"/>
    <m/>
    <n v="20000000"/>
    <n v="19008440.140000001"/>
    <n v="20000000"/>
    <n v="19008440.140000001"/>
    <n v="4404"/>
    <s v="AMOMPY"/>
    <s v="Momentum Capital Investment S.A."/>
    <s v="17/07/2026"/>
    <s v="17/07/2026"/>
    <n v="34"/>
    <s v="No"/>
    <s v=""/>
    <m/>
    <m/>
    <s v="*MAV161001135"/>
    <s v="*MAV161001135"/>
    <n v="3.1109353682761873E-4"/>
  </r>
  <r>
    <x v="190"/>
    <s v="Pesos"/>
    <d v="2026-10-20T00:00:00"/>
    <s v="25/08/2026"/>
    <n v="0.95881057000000003"/>
    <m/>
    <n v="150000000"/>
    <n v="143821585.40000001"/>
    <n v="150000000"/>
    <n v="143821585.40000001"/>
    <n v="82"/>
    <s v="AMOMPY"/>
    <s v="Momentum Capital Investment S.A."/>
    <s v="12/08/2026"/>
    <s v="12/08/2026"/>
    <n v="28"/>
    <s v="No"/>
    <s v=""/>
    <m/>
    <m/>
    <s v="*MAV161001283"/>
    <s v="*MAV161001283"/>
    <n v="2.3537947009176006E-3"/>
  </r>
  <r>
    <x v="231"/>
    <s v="Pesos"/>
    <d v="2026-10-20T00:00:00"/>
    <s v="25/08/2026"/>
    <n v="0.94491042999999997"/>
    <m/>
    <n v="215500000"/>
    <n v="203628198.05000001"/>
    <n v="215500000"/>
    <n v="203628198.05000001"/>
    <n v="70389094"/>
    <s v="AMOMPY"/>
    <s v="Momentum Capital Investment S.A."/>
    <s v="19/08/2026"/>
    <s v="19/08/2026"/>
    <n v="38"/>
    <s v="No"/>
    <s v=""/>
    <m/>
    <m/>
    <s v="*MAV161001316"/>
    <s v="*MAV161001316"/>
    <n v="3.3325941456871862E-3"/>
  </r>
  <r>
    <x v="224"/>
    <s v="Pesos"/>
    <d v="2026-10-20T00:00:00"/>
    <s v="25/08/2026"/>
    <n v="0.95320179000000005"/>
    <m/>
    <n v="18239769.260000002"/>
    <n v="17386180.699999999"/>
    <n v="18239769.260000002"/>
    <n v="17386180.699999999"/>
    <n v="3494370"/>
    <s v="AMOMPY"/>
    <s v="Momentum Capital Investment S.A."/>
    <s v="20/08/2026"/>
    <s v="20/08/2026"/>
    <n v="32"/>
    <s v="No"/>
    <s v=""/>
    <m/>
    <m/>
    <s v="*MAV161001331"/>
    <s v="*MAV161001331"/>
    <n v="2.8454351888166469E-4"/>
  </r>
  <r>
    <x v="232"/>
    <s v="Pesos"/>
    <d v="2026-10-21T00:00:00"/>
    <s v="25/08/2026"/>
    <n v="0.95240594999999995"/>
    <m/>
    <n v="100000000"/>
    <n v="95240594.620000005"/>
    <n v="100000000"/>
    <n v="95240594.620000005"/>
    <n v="160"/>
    <s v="AMOMPY"/>
    <s v="Momentum Capital Investment S.A."/>
    <s v="21/07/2026"/>
    <s v="21/07/2026"/>
    <n v="32"/>
    <s v="No"/>
    <s v=""/>
    <m/>
    <m/>
    <s v="*MAV191000869"/>
    <s v="*MAV191000869"/>
    <n v="1.5587146137021886E-3"/>
  </r>
  <r>
    <x v="130"/>
    <s v="Pesos"/>
    <d v="2026-10-21T00:00:00"/>
    <s v="25/08/2026"/>
    <n v="0.95099146999999995"/>
    <m/>
    <n v="125000000"/>
    <n v="118873933.83"/>
    <n v="125000000"/>
    <n v="118873933.83"/>
    <n v="9451"/>
    <s v="AMOMPY"/>
    <s v="Momentum Capital Investment S.A."/>
    <s v="20/07/2026"/>
    <s v="20/07/2026"/>
    <n v="33"/>
    <s v="No"/>
    <s v=""/>
    <m/>
    <m/>
    <s v="*MAV191000861"/>
    <s v="*MAV191000861"/>
    <n v="1.9454995906774608E-3"/>
  </r>
  <r>
    <x v="118"/>
    <s v="Pesos"/>
    <d v="2026-10-21T00:00:00"/>
    <s v="25/08/2026"/>
    <n v="0.94398181000000003"/>
    <m/>
    <n v="7133529.1399999997"/>
    <n v="6733921.7400000002"/>
    <n v="7133529.1399999997"/>
    <n v="6733921.7400000002"/>
    <n v="90000170"/>
    <s v="AMOMPY"/>
    <s v="Momentum Capital Investment S.A."/>
    <s v="22/04/2026"/>
    <s v="22/04/2026"/>
    <n v="38"/>
    <s v="No"/>
    <s v=""/>
    <m/>
    <m/>
    <s v="*MAV171001314"/>
    <s v="*MAV171001314"/>
    <n v="1.1020786110737608E-4"/>
  </r>
  <r>
    <x v="32"/>
    <s v="Pesos"/>
    <d v="2026-10-21T00:00:00"/>
    <s v="25/08/2026"/>
    <n v="0.95240590999999997"/>
    <m/>
    <n v="2558197.12"/>
    <n v="2436442.0499999998"/>
    <n v="2558197.12"/>
    <n v="2436442.0499999998"/>
    <n v="355"/>
    <s v="AMOMPY"/>
    <s v="Momentum Capital Investment S.A."/>
    <s v="31/07/2026"/>
    <s v="31/07/2026"/>
    <n v="32"/>
    <s v="No"/>
    <s v=""/>
    <m/>
    <m/>
    <s v="*MAV191000907"/>
    <s v="*MAV191000907"/>
    <n v="3.9874990742403642E-5"/>
  </r>
  <r>
    <x v="82"/>
    <s v="Pesos"/>
    <d v="2026-10-21T00:00:00"/>
    <s v="25/08/2026"/>
    <n v="0.94398190000000004"/>
    <m/>
    <n v="40400000"/>
    <n v="38136868.649999999"/>
    <n v="40400000"/>
    <n v="38136868.649999999"/>
    <n v="160226"/>
    <s v="AMOMPY"/>
    <s v="Momentum Capital Investment S.A."/>
    <s v="14/08/2026"/>
    <s v="14/08/2026"/>
    <n v="38"/>
    <s v="No"/>
    <s v=""/>
    <m/>
    <m/>
    <s v="#MAV201060049"/>
    <s v="#MAV201060049"/>
    <n v="6.2415081219067525E-4"/>
  </r>
  <r>
    <x v="82"/>
    <s v="Pesos"/>
    <d v="2026-10-21T00:00:00"/>
    <s v="25/08/2026"/>
    <n v="0.94398190000000004"/>
    <m/>
    <n v="40400000"/>
    <n v="38136868.649999999"/>
    <n v="40400000"/>
    <n v="38136868.649999999"/>
    <n v="160227"/>
    <s v="AMOMPY"/>
    <s v="Momentum Capital Investment S.A."/>
    <s v="14/08/2026"/>
    <s v="14/08/2026"/>
    <n v="38"/>
    <s v="No"/>
    <s v=""/>
    <m/>
    <m/>
    <s v="#MAV201060050"/>
    <s v="#MAV201060050"/>
    <n v="6.2415081219067525E-4"/>
  </r>
  <r>
    <x v="13"/>
    <s v="Pesos"/>
    <d v="2026-10-21T00:00:00"/>
    <s v="25/08/2026"/>
    <n v="0.95810591000000001"/>
    <m/>
    <n v="25000000"/>
    <n v="23952647.670000002"/>
    <n v="25000000"/>
    <n v="23952647.670000002"/>
    <n v="360573"/>
    <s v="AMOMPY"/>
    <s v="Momentum Capital Investment S.A."/>
    <s v="21/04/2026"/>
    <s v="21/04/2026"/>
    <n v="28"/>
    <s v="No"/>
    <s v=""/>
    <m/>
    <m/>
    <s v="*MOV181000045"/>
    <s v="*MOV181000045"/>
    <n v="3.9201080284150664E-4"/>
  </r>
  <r>
    <x v="8"/>
    <s v="Pesos"/>
    <d v="2026-10-21T00:00:00"/>
    <s v="25/08/2026"/>
    <n v="0.95810592999999999"/>
    <m/>
    <n v="20000000"/>
    <n v="19162118.620000001"/>
    <n v="20000000"/>
    <n v="19162118.620000001"/>
    <n v="10262986"/>
    <s v="AMOMPY"/>
    <s v="Momentum Capital Investment S.A."/>
    <s v="06/07/2026"/>
    <s v="06/07/2026"/>
    <n v="28"/>
    <s v="No"/>
    <s v=""/>
    <m/>
    <m/>
    <s v="*INP171000072"/>
    <s v="*INP171000072"/>
    <n v="3.1360865019438509E-4"/>
  </r>
  <r>
    <x v="10"/>
    <s v="Pesos"/>
    <d v="2026-10-21T00:00:00"/>
    <s v="25/08/2026"/>
    <n v="0.96242594000000004"/>
    <m/>
    <n v="28000000"/>
    <n v="26947926.210000001"/>
    <n v="28000000"/>
    <n v="26947926.210000001"/>
    <n v="68393695"/>
    <s v="AMOMPY"/>
    <s v="Momentum Capital Investment S.A."/>
    <s v="17/07/2026"/>
    <s v="17/07/2026"/>
    <n v="25"/>
    <s v="No"/>
    <s v=""/>
    <m/>
    <m/>
    <s v="*MIL171000047"/>
    <s v="*MIL171000047"/>
    <n v="4.4103175289998242E-4"/>
  </r>
  <r>
    <x v="108"/>
    <s v="Pesos"/>
    <d v="2026-10-21T00:00:00"/>
    <s v="25/08/2026"/>
    <n v="0.95099144000000002"/>
    <m/>
    <n v="2502550.36"/>
    <n v="2379903.96"/>
    <n v="2502550.36"/>
    <n v="2379903.96"/>
    <n v="3137"/>
    <s v="AMOMPY"/>
    <s v="Momentum Capital Investment S.A."/>
    <s v="23/07/2026"/>
    <s v="23/07/2026"/>
    <n v="33"/>
    <s v="No"/>
    <s v=""/>
    <m/>
    <m/>
    <s v="*MAV171001373"/>
    <s v="*MAV171001373"/>
    <n v="3.8949684181000641E-5"/>
  </r>
  <r>
    <x v="10"/>
    <s v="Pesos"/>
    <d v="2026-10-21T00:00:00"/>
    <s v="25/08/2026"/>
    <n v="0.95954159000000006"/>
    <m/>
    <n v="15000000"/>
    <n v="14393123.779999999"/>
    <n v="15000000"/>
    <n v="14393123.779999999"/>
    <n v="11349967"/>
    <s v="AMOMPY"/>
    <s v="Momentum Capital Investment S.A."/>
    <s v="16/07/2026"/>
    <s v="16/07/2026"/>
    <n v="27"/>
    <s v="No"/>
    <s v=""/>
    <m/>
    <m/>
    <s v="*MIL181000035"/>
    <s v="*MIL181000035"/>
    <n v="2.3555892802037699E-4"/>
  </r>
  <r>
    <x v="10"/>
    <s v="Pesos"/>
    <d v="2026-10-21T00:00:00"/>
    <s v="25/08/2026"/>
    <n v="0.95954159000000006"/>
    <m/>
    <n v="20000000"/>
    <n v="19190831.699999999"/>
    <n v="20000000"/>
    <n v="19190831.699999999"/>
    <n v="13869224"/>
    <s v="AMOMPY"/>
    <s v="Momentum Capital Investment S.A."/>
    <s v="16/07/2026"/>
    <s v="16/07/2026"/>
    <n v="27"/>
    <s v="No"/>
    <s v=""/>
    <m/>
    <m/>
    <s v="*MIL191000033"/>
    <s v="*MIL191000033"/>
    <n v="3.1407857058472879E-4"/>
  </r>
  <r>
    <x v="34"/>
    <s v="Pesos"/>
    <d v="2026-10-21T00:00:00"/>
    <s v="25/08/2026"/>
    <n v="0.95524743999999995"/>
    <m/>
    <n v="3300000"/>
    <n v="3152316.56"/>
    <n v="3300000"/>
    <n v="3152316.56"/>
    <n v="926"/>
    <s v="AMOMPY"/>
    <s v="Momentum Capital Investment S.A."/>
    <s v="11/08/2026"/>
    <s v="11/08/2026"/>
    <n v="30"/>
    <s v="No"/>
    <s v=""/>
    <m/>
    <m/>
    <s v="*MAV191000946"/>
    <s v="*MAV191000946"/>
    <n v="5.15910459052887E-5"/>
  </r>
  <r>
    <x v="126"/>
    <s v="Pesos"/>
    <d v="2026-10-21T00:00:00"/>
    <s v="25/08/2026"/>
    <n v="0.95240594999999995"/>
    <m/>
    <n v="50000000"/>
    <n v="47620297.310000002"/>
    <n v="50000000"/>
    <n v="47620297.310000002"/>
    <n v="5027"/>
    <s v="AMOMPY"/>
    <s v="Momentum Capital Investment S.A."/>
    <s v="21/07/2026"/>
    <s v="21/07/2026"/>
    <n v="32"/>
    <s v="No"/>
    <s v=""/>
    <m/>
    <m/>
    <s v="*MAV191000859"/>
    <s v="*MAV191000859"/>
    <n v="7.7935730685109428E-4"/>
  </r>
  <r>
    <x v="108"/>
    <s v="Pesos"/>
    <d v="2026-10-21T00:00:00"/>
    <s v="25/08/2026"/>
    <n v="0.95099144000000002"/>
    <m/>
    <n v="2502550.36"/>
    <n v="2379903.96"/>
    <n v="2502550.36"/>
    <n v="2379903.96"/>
    <n v="3127"/>
    <s v="AMOMPY"/>
    <s v="Momentum Capital Investment S.A."/>
    <s v="23/07/2026"/>
    <s v="23/07/2026"/>
    <n v="33"/>
    <s v="No"/>
    <s v=""/>
    <m/>
    <m/>
    <s v="*MAV171001372"/>
    <s v="*MAV171001372"/>
    <n v="3.8949684181000641E-5"/>
  </r>
  <r>
    <x v="233"/>
    <s v="Pesos"/>
    <d v="2026-10-21T00:00:00"/>
    <s v="25/08/2026"/>
    <n v="0.95240592000000002"/>
    <m/>
    <n v="6331582.3099999996"/>
    <n v="6030236.4400000004"/>
    <n v="6331582.3099999996"/>
    <n v="6030236.4400000004"/>
    <n v="11231838"/>
    <s v="AMOMPY"/>
    <s v="Momentum Capital Investment S.A."/>
    <s v="25/08/2026"/>
    <s v="25/08/2026"/>
    <n v="32"/>
    <s v="No"/>
    <s v=""/>
    <m/>
    <m/>
    <s v="*MAV171001445"/>
    <s v="*MAV171001445"/>
    <n v="9.8691295456629114E-5"/>
  </r>
  <r>
    <x v="211"/>
    <s v="Pesos"/>
    <d v="2026-10-21T00:00:00"/>
    <s v="25/08/2026"/>
    <n v="0.95240590999999997"/>
    <m/>
    <n v="12000000"/>
    <n v="11428870.960000001"/>
    <n v="12000000"/>
    <n v="11428870.960000001"/>
    <n v="68962672"/>
    <s v="AMOMPY"/>
    <s v="Momentum Capital Investment S.A."/>
    <s v="25/08/2026"/>
    <s v="25/08/2026"/>
    <n v="32"/>
    <s v="No"/>
    <s v=""/>
    <m/>
    <m/>
    <s v="*MAV171001446"/>
    <s v="*MAV171001446"/>
    <n v="1.8704574718948308E-4"/>
  </r>
  <r>
    <x v="234"/>
    <s v="Pesos"/>
    <d v="2026-10-21T00:00:00"/>
    <s v="25/08/2026"/>
    <n v="0.95240592000000002"/>
    <m/>
    <n v="8475000"/>
    <n v="8071640.1299999999"/>
    <n v="8475000"/>
    <n v="8071640.1299999999"/>
    <n v="29838177"/>
    <s v="AMOMPY"/>
    <s v="Momentum Capital Investment S.A."/>
    <s v="25/08/2026"/>
    <s v="25/08/2026"/>
    <n v="32"/>
    <s v="No"/>
    <s v=""/>
    <m/>
    <m/>
    <s v="*MAV191001021"/>
    <s v="*MAV191001021"/>
    <n v="1.3210105918988048E-4"/>
  </r>
  <r>
    <x v="195"/>
    <s v="Pesos"/>
    <d v="2026-10-21T00:00:00"/>
    <s v="25/08/2026"/>
    <n v="0.95240590999999997"/>
    <m/>
    <n v="27150000"/>
    <n v="25857820.48"/>
    <n v="27150000"/>
    <n v="25857820.48"/>
    <n v="29768697"/>
    <s v="AMOMPY"/>
    <s v="Momentum Capital Investment S.A."/>
    <s v="31/07/2026"/>
    <s v="31/07/2026"/>
    <n v="32"/>
    <s v="No"/>
    <s v=""/>
    <m/>
    <m/>
    <s v="*MAV191000908"/>
    <s v="*MAV191000908"/>
    <n v="4.2319100191967845E-4"/>
  </r>
  <r>
    <x v="29"/>
    <s v="Pesos"/>
    <d v="2026-10-21T00:00:00"/>
    <s v="25/08/2026"/>
    <n v="0.95524735000000005"/>
    <m/>
    <n v="11923076.92"/>
    <n v="11389487.630000001"/>
    <n v="11923076.92"/>
    <n v="11389487.630000001"/>
    <n v="90021989"/>
    <s v="AMOMPY"/>
    <s v="Momentum Capital Investment S.A."/>
    <s v="11/05/2026"/>
    <s v="11/05/2026"/>
    <n v="30"/>
    <s v="No"/>
    <s v=""/>
    <m/>
    <m/>
    <s v="*NEU191000011"/>
    <s v="*NEU191000011"/>
    <n v="1.8640119669867413E-4"/>
  </r>
  <r>
    <x v="99"/>
    <s v="Pesos"/>
    <d v="2026-10-21T00:00:00"/>
    <s v="25/08/2026"/>
    <n v="0.95240594999999995"/>
    <m/>
    <n v="10655603.25"/>
    <n v="10148459.93"/>
    <n v="10655603.25"/>
    <n v="10148459.93"/>
    <n v="30826"/>
    <s v="AMOMPY"/>
    <s v="Momentum Capital Investment S.A."/>
    <s v="14/07/2026"/>
    <s v="14/07/2026"/>
    <n v="32"/>
    <s v="No"/>
    <s v=""/>
    <m/>
    <m/>
    <s v="*MAV191000845"/>
    <s v="*MAV191000845"/>
    <n v="1.6609044559808198E-4"/>
  </r>
  <r>
    <x v="111"/>
    <s v="Pesos"/>
    <d v="2026-10-22T00:00:00"/>
    <s v="25/08/2026"/>
    <n v="0.95017450000000003"/>
    <m/>
    <n v="45000000"/>
    <n v="42757852.380000003"/>
    <n v="45000000"/>
    <n v="42757852.380000003"/>
    <n v="67838018"/>
    <s v="AMOMPY"/>
    <s v="Momentum Capital Investment S.A."/>
    <s v="22/06/2026"/>
    <s v="22/06/2026"/>
    <n v="33"/>
    <s v="No"/>
    <s v=""/>
    <m/>
    <m/>
    <s v="*MAV201001476"/>
    <s v="*MAV201001476"/>
    <n v="6.9977817359438601E-4"/>
  </r>
  <r>
    <x v="214"/>
    <s v="Pesos"/>
    <d v="2026-10-22T00:00:00"/>
    <s v="25/08/2026"/>
    <n v="0.94164395000000001"/>
    <m/>
    <n v="3750000"/>
    <n v="3531164.82"/>
    <n v="3750000"/>
    <n v="3531164.82"/>
    <n v="66918105"/>
    <s v="AMOMPY"/>
    <s v="Momentum Capital Investment S.A."/>
    <s v="13/05/2026"/>
    <s v="13/05/2026"/>
    <n v="39"/>
    <s v="No"/>
    <s v=""/>
    <m/>
    <m/>
    <s v="*MAV201001458"/>
    <s v="*MAV201001458"/>
    <n v="5.7791304540734478E-5"/>
  </r>
  <r>
    <x v="5"/>
    <s v="Pesos"/>
    <d v="2026-10-22T00:00:00"/>
    <s v="25/08/2026"/>
    <n v="0.95017448000000004"/>
    <m/>
    <n v="1000000"/>
    <n v="950174.48"/>
    <n v="1000000"/>
    <n v="950174.48"/>
    <n v="519"/>
    <s v="AMOMPY"/>
    <s v="Momentum Capital Investment S.A."/>
    <s v="11/08/2026"/>
    <s v="11/08/2026"/>
    <n v="33"/>
    <s v="No"/>
    <s v=""/>
    <m/>
    <m/>
    <s v="*MAV201001674"/>
    <s v="*MAV201001674"/>
    <n v="1.555062579619663E-5"/>
  </r>
  <r>
    <x v="10"/>
    <s v="Pesos"/>
    <d v="2026-10-22T00:00:00"/>
    <s v="25/08/2026"/>
    <n v="0.95449793000000005"/>
    <m/>
    <n v="3000000"/>
    <n v="2863493.78"/>
    <n v="3000000"/>
    <n v="2863493.78"/>
    <n v="12759458"/>
    <s v="AMOMPY"/>
    <s v="Momentum Capital Investment S.A."/>
    <s v="14/08/2026"/>
    <s v="14/08/2026"/>
    <n v="30"/>
    <s v="No"/>
    <s v=""/>
    <m/>
    <m/>
    <s v="*MIL201000051"/>
    <s v="*MIL201000051"/>
    <n v="4.6864150932065224E-5"/>
  </r>
  <r>
    <x v="12"/>
    <s v="Pesos"/>
    <d v="2026-10-22T00:00:00"/>
    <s v="25/08/2026"/>
    <n v="0.96032419999999996"/>
    <m/>
    <n v="20000000"/>
    <n v="19206484.079999998"/>
    <n v="20000000"/>
    <n v="19206484.079999998"/>
    <n v="9508921"/>
    <s v="AMOMPY"/>
    <s v="Momentum Capital Investment S.A."/>
    <s v="17/07/2026"/>
    <s v="17/07/2026"/>
    <n v="26"/>
    <s v="No"/>
    <s v=""/>
    <m/>
    <m/>
    <s v="*PRO201000022"/>
    <s v="*PRO201000022"/>
    <n v="3.1433473859315592E-4"/>
  </r>
  <r>
    <x v="13"/>
    <s v="Pesos"/>
    <d v="2026-10-22T00:00:00"/>
    <s v="25/08/2026"/>
    <n v="0.95740221999999997"/>
    <m/>
    <n v="2500000"/>
    <n v="2393505.56"/>
    <n v="2500000"/>
    <n v="2393505.56"/>
    <n v="90031818"/>
    <s v="AMOMPY"/>
    <s v="Momentum Capital Investment S.A."/>
    <s v="22/04/2026"/>
    <s v="22/04/2026"/>
    <n v="28"/>
    <s v="No"/>
    <s v=""/>
    <m/>
    <m/>
    <s v="*MOV201000066"/>
    <s v="*MOV201000066"/>
    <n v="3.9172288972311754E-5"/>
  </r>
  <r>
    <x v="10"/>
    <s v="Pesos"/>
    <d v="2026-10-22T00:00:00"/>
    <s v="25/08/2026"/>
    <n v="0.96179186999999999"/>
    <m/>
    <n v="8650000"/>
    <n v="8319499.6500000004"/>
    <n v="8650000"/>
    <n v="8319499.6500000004"/>
    <n v="34389"/>
    <s v="AMOMPY"/>
    <s v="Momentum Capital Investment S.A."/>
    <s v="20/07/2026"/>
    <s v="20/07/2026"/>
    <n v="25"/>
    <s v="No"/>
    <s v=""/>
    <m/>
    <m/>
    <s v="*MIL201000042"/>
    <s v="*MIL201000042"/>
    <n v="1.3615754642109398E-4"/>
  </r>
  <r>
    <x v="10"/>
    <s v="Pesos"/>
    <d v="2026-10-22T00:00:00"/>
    <s v="25/08/2026"/>
    <n v="0.95886095000000005"/>
    <m/>
    <n v="15000000"/>
    <n v="14382914.220000001"/>
    <n v="15000000"/>
    <n v="14382914.220000001"/>
    <n v="11349968"/>
    <s v="AMOMPY"/>
    <s v="Momentum Capital Investment S.A."/>
    <s v="16/07/2026"/>
    <s v="16/07/2026"/>
    <n v="27"/>
    <s v="No"/>
    <s v=""/>
    <m/>
    <m/>
    <s v="*MIL201000040"/>
    <s v="*MIL201000040"/>
    <n v="2.353918376065155E-4"/>
  </r>
  <r>
    <x v="10"/>
    <s v="Pesos"/>
    <d v="2026-10-22T00:00:00"/>
    <s v="25/08/2026"/>
    <n v="0.96179188999999998"/>
    <m/>
    <n v="11000000"/>
    <n v="10579710.789999999"/>
    <n v="11000000"/>
    <n v="10579710.789999999"/>
    <n v="189"/>
    <s v="AMOMPY"/>
    <s v="Momentum Capital Investment S.A."/>
    <s v="17/07/2026"/>
    <s v="17/07/2026"/>
    <n v="25"/>
    <s v="No"/>
    <s v=""/>
    <m/>
    <m/>
    <s v="*MIL201000041"/>
    <s v="*MIL201000041"/>
    <n v="1.7314832905980995E-4"/>
  </r>
  <r>
    <x v="34"/>
    <s v="Pesos"/>
    <d v="2026-10-22T00:00:00"/>
    <s v="25/08/2026"/>
    <n v="0.95449804999999999"/>
    <m/>
    <n v="6500000"/>
    <n v="6204237.3300000001"/>
    <n v="6500000"/>
    <n v="6204237.3300000001"/>
    <n v="744"/>
    <s v="AMOMPY"/>
    <s v="Momentum Capital Investment S.A."/>
    <s v="08/07/2026"/>
    <s v="08/07/2026"/>
    <n v="30"/>
    <s v="No"/>
    <s v=""/>
    <m/>
    <m/>
    <s v="*MAV201001520"/>
    <s v="*MAV201001520"/>
    <n v="1.0153900688810764E-4"/>
  </r>
  <r>
    <x v="34"/>
    <s v="Pesos"/>
    <d v="2026-10-22T00:00:00"/>
    <s v="25/08/2026"/>
    <n v="0.95449799999999996"/>
    <m/>
    <n v="5000000"/>
    <n v="4772490.0199999996"/>
    <n v="5000000"/>
    <n v="4772490.0199999996"/>
    <n v="793"/>
    <s v="AMOMPY"/>
    <s v="Momentum Capital Investment S.A."/>
    <s v="14/07/2026"/>
    <s v="14/07/2026"/>
    <n v="30"/>
    <s v="No"/>
    <s v=""/>
    <m/>
    <m/>
    <s v="*MAV201001549"/>
    <s v="*MAV201001549"/>
    <n v="7.8106924548323968E-5"/>
  </r>
  <r>
    <x v="34"/>
    <s v="Pesos"/>
    <d v="2026-10-22T00:00:00"/>
    <s v="25/08/2026"/>
    <n v="0.95161125000000002"/>
    <m/>
    <n v="3000000"/>
    <n v="2854833.76"/>
    <n v="3000000"/>
    <n v="2854833.76"/>
    <n v="1041"/>
    <s v="AMOMPY"/>
    <s v="Momentum Capital Investment S.A."/>
    <s v="25/08/2026"/>
    <s v="25/08/2026"/>
    <n v="32"/>
    <s v="No"/>
    <s v=""/>
    <m/>
    <m/>
    <s v="*MAV201001759"/>
    <s v="*MAV201001759"/>
    <n v="4.6722420404417737E-5"/>
  </r>
  <r>
    <x v="108"/>
    <s v="Pesos"/>
    <d v="2026-10-22T00:00:00"/>
    <s v="25/08/2026"/>
    <n v="0.94874210000000003"/>
    <m/>
    <n v="990902.64"/>
    <n v="940111.05"/>
    <n v="990902.64"/>
    <n v="940111.05"/>
    <n v="2951"/>
    <s v="AMOMPY"/>
    <s v="Momentum Capital Investment S.A."/>
    <s v="15/07/2026"/>
    <s v="15/07/2026"/>
    <n v="34"/>
    <s v="No"/>
    <s v=""/>
    <m/>
    <m/>
    <s v="*MAV201001555"/>
    <s v="*MAV201001555"/>
    <n v="1.5385926956720094E-5"/>
  </r>
  <r>
    <x v="108"/>
    <s v="Pesos"/>
    <d v="2026-10-22T00:00:00"/>
    <s v="25/08/2026"/>
    <n v="0.94874208000000004"/>
    <m/>
    <n v="1020845.65"/>
    <n v="968519.22"/>
    <n v="1020845.65"/>
    <n v="968519.22"/>
    <n v="2901"/>
    <s v="AMOMPY"/>
    <s v="Momentum Capital Investment S.A."/>
    <s v="15/07/2026"/>
    <s v="15/07/2026"/>
    <n v="34"/>
    <s v="No"/>
    <s v=""/>
    <m/>
    <m/>
    <s v="*MAV201001556"/>
    <s v="*MAV201001556"/>
    <n v="1.585085716745859E-5"/>
  </r>
  <r>
    <x v="34"/>
    <s v="Pesos"/>
    <d v="2026-10-22T00:00:00"/>
    <s v="25/08/2026"/>
    <n v="0.95449801999999995"/>
    <m/>
    <n v="10000000"/>
    <n v="9544980.1500000004"/>
    <n v="10000000"/>
    <n v="9544980.1500000004"/>
    <n v="727"/>
    <s v="AMOMPY"/>
    <s v="Momentum Capital Investment S.A."/>
    <s v="30/06/2026"/>
    <s v="30/06/2026"/>
    <n v="30"/>
    <s v="No"/>
    <s v=""/>
    <m/>
    <m/>
    <s v="*MAV201001491"/>
    <s v="*MAV201001491"/>
    <n v="1.562138508969161E-4"/>
  </r>
  <r>
    <x v="215"/>
    <s v="Pesos"/>
    <d v="2026-10-22T00:00:00"/>
    <s v="25/08/2026"/>
    <n v="0.95161125000000002"/>
    <m/>
    <n v="7485785.1900000004"/>
    <n v="7123557.4199999999"/>
    <n v="7485785.1900000004"/>
    <n v="7123557.4199999999"/>
    <n v="72607219"/>
    <s v="AMOMPY"/>
    <s v="Momentum Capital Investment S.A."/>
    <s v="25/08/2026"/>
    <s v="25/08/2026"/>
    <n v="32"/>
    <s v="No"/>
    <s v=""/>
    <m/>
    <m/>
    <s v="*MAV201001760"/>
    <s v="*MAV201001760"/>
    <n v="1.1658466745617068E-4"/>
  </r>
  <r>
    <x v="235"/>
    <s v="Pesos"/>
    <d v="2026-10-22T00:00:00"/>
    <s v="25/08/2026"/>
    <n v="0.94589018000000002"/>
    <m/>
    <n v="3250000"/>
    <n v="3074143.08"/>
    <n v="3250000"/>
    <n v="3074143.08"/>
    <n v="65"/>
    <s v="AMOMPY"/>
    <s v="Momentum Capital Investment S.A."/>
    <s v="24/08/2026"/>
    <s v="24/08/2026"/>
    <n v="36"/>
    <s v="No"/>
    <s v=""/>
    <m/>
    <m/>
    <s v="*MAV201001753"/>
    <s v="*MAV201001753"/>
    <n v="5.0311652951410944E-5"/>
  </r>
  <r>
    <x v="99"/>
    <s v="Pesos"/>
    <d v="2026-10-22T00:00:00"/>
    <s v="25/08/2026"/>
    <n v="0.95161132000000004"/>
    <m/>
    <n v="10655603.279999999"/>
    <n v="10139992.720000001"/>
    <n v="10655603.279999999"/>
    <n v="10139992.720000001"/>
    <n v="30827"/>
    <s v="AMOMPY"/>
    <s v="Momentum Capital Investment S.A."/>
    <s v="14/07/2026"/>
    <s v="14/07/2026"/>
    <n v="32"/>
    <s v="No"/>
    <s v=""/>
    <m/>
    <m/>
    <s v="*MAV201001548"/>
    <s v="*MAV201001548"/>
    <n v="1.65951870613151E-4"/>
  </r>
  <r>
    <x v="29"/>
    <s v="Pesos"/>
    <d v="2026-10-22T00:00:00"/>
    <s v="25/08/2026"/>
    <n v="0.95740216"/>
    <m/>
    <n v="20000000"/>
    <n v="19148043.23"/>
    <n v="20000000"/>
    <n v="19148043.23"/>
    <n v="11092146"/>
    <s v="AMOMPY"/>
    <s v="Momentum Capital Investment S.A."/>
    <s v="29/05/2026"/>
    <s v="29/05/2026"/>
    <n v="28"/>
    <s v="No"/>
    <s v=""/>
    <m/>
    <m/>
    <s v="*NEU201000037"/>
    <s v="*NEU201000037"/>
    <n v="3.1337829132090165E-4"/>
  </r>
  <r>
    <x v="196"/>
    <s v="Pesos"/>
    <d v="2026-10-22T00:00:00"/>
    <s v="25/08/2026"/>
    <n v="0.94731392000000003"/>
    <m/>
    <n v="1066766.07"/>
    <n v="1010562.35"/>
    <n v="1066766.07"/>
    <n v="1010562.35"/>
    <n v="30095688"/>
    <s v="AMOMPY"/>
    <s v="Momentum Capital Investment S.A."/>
    <s v="19/08/2026"/>
    <s v="19/08/2026"/>
    <n v="35"/>
    <s v="No"/>
    <s v=""/>
    <m/>
    <m/>
    <s v="*MAV201001706"/>
    <s v="*MAV201001706"/>
    <n v="1.6538938141734859E-5"/>
  </r>
  <r>
    <x v="0"/>
    <s v="Pesos"/>
    <d v="2026-10-23T00:00:00"/>
    <s v="25/08/2026"/>
    <n v="0.95374970000000003"/>
    <m/>
    <n v="1556161.8"/>
    <n v="1484188.85"/>
    <n v="1556161.8"/>
    <n v="1484188.85"/>
    <n v="9802"/>
    <s v="AMOMPY"/>
    <s v="Momentum Capital Investment S.A."/>
    <s v="04/08/2026"/>
    <s v="04/08/2026"/>
    <n v="30"/>
    <s v="No"/>
    <s v=""/>
    <m/>
    <m/>
    <s v="*MAV211001296"/>
    <s v="*MAV211001296"/>
    <n v="2.4290344460985112E-5"/>
  </r>
  <r>
    <x v="103"/>
    <s v="Pesos"/>
    <d v="2026-10-23T00:00:00"/>
    <s v="25/08/2026"/>
    <n v="0.94790432999999996"/>
    <m/>
    <n v="5000300.25"/>
    <n v="4739806.28"/>
    <n v="5000300.25"/>
    <n v="4739806.28"/>
    <n v="372"/>
    <s v="AMOMPY"/>
    <s v="Momentum Capital Investment S.A."/>
    <s v="15/07/2026"/>
    <s v="15/07/2026"/>
    <n v="34"/>
    <s v="No"/>
    <s v=""/>
    <m/>
    <m/>
    <s v="*MAV211001208"/>
    <s v="*MAV211001208"/>
    <n v="7.7572020042827067E-5"/>
  </r>
  <r>
    <x v="5"/>
    <s v="Pesos"/>
    <d v="2026-10-23T00:00:00"/>
    <s v="25/08/2026"/>
    <n v="0.94935886000000003"/>
    <m/>
    <n v="1000000"/>
    <n v="949358.86"/>
    <n v="1000000"/>
    <n v="949358.86"/>
    <n v="520"/>
    <s v="AMOMPY"/>
    <s v="Momentum Capital Investment S.A."/>
    <s v="11/08/2026"/>
    <s v="11/08/2026"/>
    <n v="33"/>
    <s v="No"/>
    <s v=""/>
    <m/>
    <m/>
    <s v="*MAV211001325"/>
    <s v="*MAV211001325"/>
    <n v="1.5537277298969157E-5"/>
  </r>
  <r>
    <x v="47"/>
    <s v="Pesos"/>
    <d v="2026-10-23T00:00:00"/>
    <s v="25/08/2026"/>
    <n v="0.94790439000000004"/>
    <m/>
    <n v="10000000"/>
    <n v="9479043.9100000001"/>
    <n v="10000000"/>
    <n v="9479043.9100000001"/>
    <n v="14284510"/>
    <s v="AMOMPY"/>
    <s v="Momentum Capital Investment S.A."/>
    <s v="24/08/2026"/>
    <s v="24/08/2026"/>
    <n v="34"/>
    <s v="No"/>
    <s v=""/>
    <m/>
    <m/>
    <s v="*MAV211001384"/>
    <s v="*MAV211001384"/>
    <n v="1.5513473351770778E-4"/>
  </r>
  <r>
    <x v="13"/>
    <s v="Pesos"/>
    <d v="2026-10-23T00:00:00"/>
    <s v="25/08/2026"/>
    <n v="0.95669956"/>
    <m/>
    <n v="2500000"/>
    <n v="2391748.91"/>
    <n v="2500000"/>
    <n v="2391748.91"/>
    <n v="90031819"/>
    <s v="AMOMPY"/>
    <s v="Momentum Capital Investment S.A."/>
    <s v="22/04/2026"/>
    <s v="22/04/2026"/>
    <n v="28"/>
    <s v="No"/>
    <s v=""/>
    <m/>
    <m/>
    <s v="*MOV211000064"/>
    <s v="*MOV211000064"/>
    <n v="3.9143539508523923E-5"/>
  </r>
  <r>
    <x v="10"/>
    <s v="Pesos"/>
    <d v="2026-10-23T00:00:00"/>
    <s v="25/08/2026"/>
    <n v="0.95818135000000004"/>
    <m/>
    <n v="24500000"/>
    <n v="23475443.059999999"/>
    <n v="24500000"/>
    <n v="23475443.059999999"/>
    <n v="34221"/>
    <s v="AMOMPY"/>
    <s v="Momentum Capital Investment S.A."/>
    <s v="07/07/2026"/>
    <s v="07/07/2026"/>
    <n v="27"/>
    <s v="No"/>
    <s v=""/>
    <m/>
    <m/>
    <s v="*MIL211000031"/>
    <s v="*MIL211000031"/>
    <n v="3.842008369094286E-4"/>
  </r>
  <r>
    <x v="108"/>
    <s v="Pesos"/>
    <d v="2026-10-23T00:00:00"/>
    <s v="25/08/2026"/>
    <n v="0.94935901"/>
    <m/>
    <n v="2502550.36"/>
    <n v="2375818.73"/>
    <n v="2502550.36"/>
    <n v="2375818.73"/>
    <n v="3138"/>
    <s v="AMOMPY"/>
    <s v="Momentum Capital Investment S.A."/>
    <s v="23/07/2026"/>
    <s v="23/07/2026"/>
    <n v="33"/>
    <s v="No"/>
    <s v=""/>
    <m/>
    <m/>
    <s v="*MAV211001243"/>
    <s v="*MAV211001243"/>
    <n v="3.8882825004756085E-5"/>
  </r>
  <r>
    <x v="108"/>
    <s v="Pesos"/>
    <d v="2026-10-23T00:00:00"/>
    <s v="25/08/2026"/>
    <n v="0.94935901"/>
    <m/>
    <n v="2502550.36"/>
    <n v="2375818.73"/>
    <n v="2502550.36"/>
    <n v="2375818.73"/>
    <n v="3128"/>
    <s v="AMOMPY"/>
    <s v="Momentum Capital Investment S.A."/>
    <s v="23/07/2026"/>
    <s v="23/07/2026"/>
    <n v="33"/>
    <s v="No"/>
    <s v=""/>
    <m/>
    <m/>
    <s v="*MAV211001244"/>
    <s v="*MAV211001244"/>
    <n v="3.8882825004756085E-5"/>
  </r>
  <r>
    <x v="10"/>
    <s v="Pesos"/>
    <d v="2026-10-23T00:00:00"/>
    <s v="25/08/2026"/>
    <n v="0.95818141999999995"/>
    <m/>
    <n v="20000000"/>
    <n v="19163628.449999999"/>
    <n v="20000000"/>
    <n v="19163628.449999999"/>
    <n v="885"/>
    <s v="AMOMPY"/>
    <s v="Momentum Capital Investment S.A."/>
    <s v="16/07/2026"/>
    <s v="16/07/2026"/>
    <n v="27"/>
    <s v="No"/>
    <s v=""/>
    <m/>
    <m/>
    <s v="*MIL211000032"/>
    <s v="*MIL211000032"/>
    <n v="3.1363336018380288E-4"/>
  </r>
  <r>
    <x v="34"/>
    <s v="Pesos"/>
    <d v="2026-10-23T00:00:00"/>
    <s v="25/08/2026"/>
    <n v="0.95374972999999996"/>
    <m/>
    <n v="5000000"/>
    <n v="4768748.6500000004"/>
    <n v="5000000"/>
    <n v="4768748.6500000004"/>
    <n v="794"/>
    <s v="AMOMPY"/>
    <s v="Momentum Capital Investment S.A."/>
    <s v="14/07/2026"/>
    <s v="14/07/2026"/>
    <n v="30"/>
    <s v="No"/>
    <s v=""/>
    <m/>
    <m/>
    <s v="*MAV211001201"/>
    <s v="*MAV211001201"/>
    <n v="7.8045693010264655E-5"/>
  </r>
  <r>
    <x v="34"/>
    <s v="Pesos"/>
    <d v="2026-10-23T00:00:00"/>
    <s v="25/08/2026"/>
    <n v="0.95374981000000003"/>
    <m/>
    <n v="2500000"/>
    <n v="2384374.52"/>
    <n v="2500000"/>
    <n v="2384374.52"/>
    <n v="895"/>
    <s v="AMOMPY"/>
    <s v="Momentum Capital Investment S.A."/>
    <s v="06/08/2026"/>
    <s v="06/08/2026"/>
    <n v="30"/>
    <s v="No"/>
    <s v=""/>
    <m/>
    <m/>
    <s v="*MAV211001312"/>
    <s v="*MAV211001312"/>
    <n v="3.9022849696516747E-5"/>
  </r>
  <r>
    <x v="34"/>
    <s v="Pesos"/>
    <d v="2026-10-23T00:00:00"/>
    <s v="25/08/2026"/>
    <n v="0.95374974999999995"/>
    <m/>
    <n v="4000000"/>
    <n v="3814998.99"/>
    <n v="4000000"/>
    <n v="3814998.99"/>
    <n v="861"/>
    <s v="AMOMPY"/>
    <s v="Momentum Capital Investment S.A."/>
    <s v="05/08/2026"/>
    <s v="05/08/2026"/>
    <n v="30"/>
    <s v="No"/>
    <s v=""/>
    <m/>
    <m/>
    <s v="*MAV211001302"/>
    <s v="*MAV211001302"/>
    <n v="6.2436555553836899E-5"/>
  </r>
  <r>
    <x v="34"/>
    <s v="Pesos"/>
    <d v="2026-10-23T00:00:00"/>
    <s v="25/08/2026"/>
    <n v="0.95081821"/>
    <m/>
    <n v="3000000"/>
    <n v="2852454.62"/>
    <n v="3000000"/>
    <n v="2852454.62"/>
    <n v="1042"/>
    <s v="AMOMPY"/>
    <s v="Momentum Capital Investment S.A."/>
    <s v="25/08/2026"/>
    <s v="25/08/2026"/>
    <n v="32"/>
    <s v="No"/>
    <s v=""/>
    <m/>
    <m/>
    <s v="*MAV211001399"/>
    <s v="*MAV211001399"/>
    <n v="4.6683483223262585E-5"/>
  </r>
  <r>
    <x v="108"/>
    <s v="Pesos"/>
    <d v="2026-10-23T00:00:00"/>
    <s v="25/08/2026"/>
    <n v="0.94790430000000003"/>
    <m/>
    <n v="1020845.65"/>
    <n v="967663.98"/>
    <n v="1020845.65"/>
    <n v="967663.98"/>
    <n v="2902"/>
    <s v="AMOMPY"/>
    <s v="Momentum Capital Investment S.A."/>
    <s v="15/07/2026"/>
    <s v="15/07/2026"/>
    <n v="34"/>
    <s v="No"/>
    <s v=""/>
    <m/>
    <m/>
    <s v="*MAV211001207"/>
    <s v="*MAV211001207"/>
    <n v="1.5836860246381591E-5"/>
  </r>
  <r>
    <x v="108"/>
    <s v="Pesos"/>
    <d v="2026-10-23T00:00:00"/>
    <s v="25/08/2026"/>
    <n v="0.94790432000000002"/>
    <m/>
    <n v="990902.64"/>
    <n v="939280.89"/>
    <n v="990902.64"/>
    <n v="939280.89"/>
    <n v="2952"/>
    <s v="AMOMPY"/>
    <s v="Momentum Capital Investment S.A."/>
    <s v="15/07/2026"/>
    <s v="15/07/2026"/>
    <n v="34"/>
    <s v="No"/>
    <s v=""/>
    <m/>
    <m/>
    <s v="*MAV211001209"/>
    <s v="*MAV211001209"/>
    <n v="1.5372340496777527E-5"/>
  </r>
  <r>
    <x v="17"/>
    <s v="Pesos"/>
    <d v="2026-10-23T00:00:00"/>
    <s v="25/08/2026"/>
    <n v="0.94790432000000002"/>
    <m/>
    <n v="10000000"/>
    <n v="9479043.2300000004"/>
    <n v="10000000"/>
    <n v="9479043.2300000004"/>
    <n v="4408"/>
    <s v="AMOMPY"/>
    <s v="Momentum Capital Investment S.A."/>
    <s v="22/07/2026"/>
    <s v="22/07/2026"/>
    <n v="34"/>
    <s v="No"/>
    <s v=""/>
    <m/>
    <m/>
    <s v="*MAV211001235"/>
    <s v="*MAV211001235"/>
    <n v="1.5513472238877751E-4"/>
  </r>
  <r>
    <x v="235"/>
    <s v="Pesos"/>
    <d v="2026-10-23T00:00:00"/>
    <s v="25/08/2026"/>
    <n v="0.94500846000000005"/>
    <m/>
    <n v="3250000"/>
    <n v="3071277.5"/>
    <n v="3250000"/>
    <n v="3071277.5"/>
    <n v="66"/>
    <s v="AMOMPY"/>
    <s v="Momentum Capital Investment S.A."/>
    <s v="24/08/2026"/>
    <s v="24/08/2026"/>
    <n v="36"/>
    <s v="No"/>
    <s v=""/>
    <m/>
    <m/>
    <s v="*MAV211001396"/>
    <s v="*MAV211001396"/>
    <n v="5.0264754657248101E-5"/>
  </r>
  <r>
    <x v="99"/>
    <s v="Pesos"/>
    <d v="2026-10-23T00:00:00"/>
    <s v="25/08/2026"/>
    <n v="0.95081802000000004"/>
    <m/>
    <n v="10655603.279999999"/>
    <n v="10131539.609999999"/>
    <n v="10655603.279999999"/>
    <n v="10131539.609999999"/>
    <n v="30828"/>
    <s v="AMOMPY"/>
    <s v="Momentum Capital Investment S.A."/>
    <s v="14/07/2026"/>
    <s v="14/07/2026"/>
    <n v="32"/>
    <s v="No"/>
    <s v=""/>
    <m/>
    <m/>
    <s v="*MAV211001198"/>
    <s v="*MAV211001198"/>
    <n v="1.6581352638986256E-4"/>
  </r>
  <r>
    <x v="195"/>
    <s v="Pesos"/>
    <d v="2026-10-23T00:00:00"/>
    <s v="25/08/2026"/>
    <n v="0.95081815999999997"/>
    <m/>
    <n v="27125210.43"/>
    <n v="25791142.780000001"/>
    <n v="27125210.43"/>
    <n v="25791142.780000001"/>
    <n v="29768698"/>
    <s v="AMOMPY"/>
    <s v="Momentum Capital Investment S.A."/>
    <s v="31/07/2026"/>
    <s v="31/07/2026"/>
    <n v="32"/>
    <s v="No"/>
    <s v=""/>
    <m/>
    <m/>
    <s v="*MAV211001277"/>
    <s v="*MAV211001277"/>
    <n v="4.2209974975128617E-4"/>
  </r>
  <r>
    <x v="39"/>
    <s v="Pesos"/>
    <d v="2026-10-23T00:00:00"/>
    <s v="25/08/2026"/>
    <n v="0.94935886999999997"/>
    <m/>
    <n v="24012581.18"/>
    <n v="22796556.949999999"/>
    <n v="24012581.18"/>
    <n v="22796556.949999999"/>
    <n v="10180813"/>
    <s v="AMOMPY"/>
    <s v="Momentum Capital Investment S.A."/>
    <s v="24/07/2026"/>
    <s v="24/07/2026"/>
    <n v="33"/>
    <s v="No"/>
    <s v=""/>
    <m/>
    <m/>
    <s v="*MAV211001255"/>
    <s v="*MAV211001255"/>
    <n v="3.730901366358898E-4"/>
  </r>
  <r>
    <x v="27"/>
    <s v="Pesos"/>
    <d v="2026-10-26T00:00:00"/>
    <s v="25/08/2026"/>
    <n v="0.95151209000000003"/>
    <m/>
    <n v="100000000"/>
    <n v="95151209.319999993"/>
    <n v="100000000"/>
    <n v="95151209.319999993"/>
    <n v="90004009"/>
    <s v="AMOMPY"/>
    <s v="Momentum Capital Investment S.A."/>
    <s v="12/08/2026"/>
    <s v="12/08/2026"/>
    <n v="30"/>
    <s v="No"/>
    <s v=""/>
    <m/>
    <m/>
    <s v="*MAV221001167"/>
    <s v="*MAV221001167"/>
    <n v="1.5572517272731815E-3"/>
  </r>
  <r>
    <x v="27"/>
    <s v="Pesos"/>
    <d v="2026-10-26T00:00:00"/>
    <s v="25/08/2026"/>
    <n v="0.95151209000000003"/>
    <m/>
    <n v="100000000"/>
    <n v="95151209.319999993"/>
    <n v="100000000"/>
    <n v="95151209.319999993"/>
    <n v="90004010"/>
    <s v="AMOMPY"/>
    <s v="Momentum Capital Investment S.A."/>
    <s v="12/08/2026"/>
    <s v="12/08/2026"/>
    <n v="30"/>
    <s v="No"/>
    <s v=""/>
    <m/>
    <m/>
    <s v="*MAV221001168"/>
    <s v="*MAV221001168"/>
    <n v="1.5572517272731815E-3"/>
  </r>
  <r>
    <x v="181"/>
    <s v="Pesos"/>
    <d v="2026-10-26T00:00:00"/>
    <s v="25/08/2026"/>
    <n v="0.94388426000000003"/>
    <m/>
    <n v="3072441.47"/>
    <n v="2900029.15"/>
    <n v="3072441.47"/>
    <n v="2900029.15"/>
    <n v="40773797"/>
    <s v="AMOMPY"/>
    <s v="Momentum Capital Investment S.A."/>
    <s v="12/08/2026"/>
    <s v="12/08/2026"/>
    <n v="35"/>
    <s v="No"/>
    <s v=""/>
    <m/>
    <m/>
    <s v="*MAV221001166"/>
    <s v="*MAV221001166"/>
    <n v="4.7462091498934156E-5"/>
  </r>
  <r>
    <x v="203"/>
    <s v="Pesos"/>
    <d v="2026-10-26T00:00:00"/>
    <s v="25/08/2026"/>
    <n v="0.94692056000000002"/>
    <m/>
    <n v="6500236.5700000003"/>
    <n v="6155207.6699999999"/>
    <n v="6500236.5700000003"/>
    <n v="6155207.6699999999"/>
    <n v="90000581"/>
    <s v="AMOMPY"/>
    <s v="Momentum Capital Investment S.A."/>
    <s v="02/06/2026"/>
    <s v="02/06/2026"/>
    <n v="33"/>
    <s v="No"/>
    <s v=""/>
    <m/>
    <m/>
    <s v="*MAV221000987"/>
    <s v="*MAV221000987"/>
    <n v="1.0073658384726282E-4"/>
  </r>
  <r>
    <x v="214"/>
    <s v="Pesos"/>
    <d v="2026-10-26T00:00:00"/>
    <s v="25/08/2026"/>
    <n v="0.93786944000000005"/>
    <m/>
    <n v="3750000"/>
    <n v="3517010.41"/>
    <n v="3750000"/>
    <n v="3517010.41"/>
    <n v="66918134"/>
    <s v="AMOMPY"/>
    <s v="Momentum Capital Investment S.A."/>
    <s v="13/05/2026"/>
    <s v="13/05/2026"/>
    <n v="39"/>
    <s v="No"/>
    <s v=""/>
    <m/>
    <m/>
    <s v="*MAV221000981"/>
    <s v="*MAV221000981"/>
    <n v="5.7559652420088239E-5"/>
  </r>
  <r>
    <x v="103"/>
    <s v="Pesos"/>
    <d v="2026-10-26T00:00:00"/>
    <s v="25/08/2026"/>
    <n v="0.94540005999999999"/>
    <m/>
    <n v="5000300.25"/>
    <n v="4727284.16"/>
    <n v="5000300.25"/>
    <n v="4727284.16"/>
    <n v="373"/>
    <s v="AMOMPY"/>
    <s v="Momentum Capital Investment S.A."/>
    <s v="15/07/2026"/>
    <s v="15/07/2026"/>
    <n v="34"/>
    <s v="No"/>
    <s v=""/>
    <m/>
    <m/>
    <s v="*MAV221001045"/>
    <s v="*MAV221001045"/>
    <n v="7.7367082101013399E-5"/>
  </r>
  <r>
    <x v="5"/>
    <s v="Pesos"/>
    <d v="2026-10-26T00:00:00"/>
    <s v="25/08/2026"/>
    <n v="0.94692061999999999"/>
    <m/>
    <n v="1000000"/>
    <n v="946920.62"/>
    <n v="1000000"/>
    <n v="946920.62"/>
    <n v="521"/>
    <s v="AMOMPY"/>
    <s v="Momentum Capital Investment S.A."/>
    <s v="11/08/2026"/>
    <s v="11/08/2026"/>
    <n v="33"/>
    <s v="No"/>
    <s v=""/>
    <m/>
    <m/>
    <s v="*MAV221001159"/>
    <s v="*MAV221001159"/>
    <n v="1.5497372882844113E-5"/>
  </r>
  <r>
    <x v="48"/>
    <s v="Pesos"/>
    <d v="2026-10-26T00:00:00"/>
    <s v="25/08/2026"/>
    <n v="0.95305245000000005"/>
    <m/>
    <n v="7511409.4699999997"/>
    <n v="7158767.1799999997"/>
    <n v="7511409.4699999997"/>
    <n v="7158767.1799999997"/>
    <n v="90000775"/>
    <s v="AMOMPY"/>
    <s v="Momentum Capital Investment S.A."/>
    <s v="03/07/2026"/>
    <s v="03/07/2026"/>
    <n v="29"/>
    <s v="No"/>
    <s v=""/>
    <m/>
    <m/>
    <s v="*FED221000026"/>
    <s v="*FED221000026"/>
    <n v="1.1716091299176315E-4"/>
  </r>
  <r>
    <x v="232"/>
    <s v="Pesos"/>
    <d v="2026-10-26T00:00:00"/>
    <s v="25/08/2026"/>
    <n v="0.94844614999999999"/>
    <m/>
    <n v="100000000"/>
    <n v="94844615.480000004"/>
    <n v="100000000"/>
    <n v="94844615.480000004"/>
    <n v="161"/>
    <s v="AMOMPY"/>
    <s v="Momentum Capital Investment S.A."/>
    <s v="24/07/2026"/>
    <s v="24/07/2026"/>
    <n v="32"/>
    <s v="No"/>
    <s v=""/>
    <m/>
    <m/>
    <s v="*MAV221001081"/>
    <s v="*MAV221001081"/>
    <n v="1.5522339898179944E-3"/>
  </r>
  <r>
    <x v="107"/>
    <s v="Pesos"/>
    <d v="2026-10-26T00:00:00"/>
    <s v="25/08/2026"/>
    <n v="0.94540004"/>
    <m/>
    <n v="25000000"/>
    <n v="23635001"/>
    <n v="25000000"/>
    <n v="23635001"/>
    <n v="563"/>
    <s v="AMOMPY"/>
    <s v="Momentum Capital Investment S.A."/>
    <s v="05/08/2026"/>
    <s v="05/08/2026"/>
    <n v="34"/>
    <s v="No"/>
    <s v=""/>
    <m/>
    <m/>
    <s v="*MAV221001135"/>
    <s v="*MAV221001135"/>
    <n v="3.8681217395328607E-4"/>
  </r>
  <r>
    <x v="13"/>
    <s v="Pesos"/>
    <d v="2026-10-26T00:00:00"/>
    <s v="25/08/2026"/>
    <n v="0.95459784000000003"/>
    <m/>
    <n v="2500000"/>
    <n v="2386494.59"/>
    <n v="2500000"/>
    <n v="2386494.59"/>
    <n v="90031820"/>
    <s v="AMOMPY"/>
    <s v="Momentum Capital Investment S.A."/>
    <s v="22/04/2026"/>
    <s v="22/04/2026"/>
    <n v="28"/>
    <s v="No"/>
    <s v=""/>
    <m/>
    <m/>
    <s v="*MOV221000057"/>
    <s v="*MOV221000057"/>
    <n v="3.9057546918896092E-5"/>
  </r>
  <r>
    <x v="10"/>
    <s v="Pesos"/>
    <d v="2026-10-26T00:00:00"/>
    <s v="25/08/2026"/>
    <n v="0.95926414999999998"/>
    <m/>
    <n v="12500000"/>
    <n v="11990801.85"/>
    <n v="12500000"/>
    <n v="11990801.85"/>
    <n v="5296"/>
    <s v="AMOMPY"/>
    <s v="Momentum Capital Investment S.A."/>
    <s v="20/07/2026"/>
    <s v="20/07/2026"/>
    <n v="25"/>
    <s v="No"/>
    <s v=""/>
    <m/>
    <m/>
    <s v="*MIL221000036"/>
    <s v="*MIL221000036"/>
    <n v="1.9624234968475713E-4"/>
  </r>
  <r>
    <x v="10"/>
    <s v="Pesos"/>
    <d v="2026-10-26T00:00:00"/>
    <s v="25/08/2026"/>
    <n v="0.95926414999999998"/>
    <m/>
    <n v="8650000"/>
    <n v="8297634.8799999999"/>
    <n v="8650000"/>
    <n v="8297634.8799999999"/>
    <n v="34390"/>
    <s v="AMOMPY"/>
    <s v="Momentum Capital Investment S.A."/>
    <s v="20/07/2026"/>
    <s v="20/07/2026"/>
    <n v="25"/>
    <s v="No"/>
    <s v=""/>
    <m/>
    <m/>
    <s v="*MIL221000035"/>
    <s v="*MIL221000035"/>
    <n v="1.3579970597857872E-4"/>
  </r>
  <r>
    <x v="108"/>
    <s v="Pesos"/>
    <d v="2026-10-26T00:00:00"/>
    <s v="25/08/2026"/>
    <n v="0.94692074000000004"/>
    <m/>
    <n v="2502550.36"/>
    <n v="2369716.84"/>
    <n v="2502550.36"/>
    <n v="2369716.84"/>
    <n v="3139"/>
    <s v="AMOMPY"/>
    <s v="Momentum Capital Investment S.A."/>
    <s v="23/07/2026"/>
    <s v="23/07/2026"/>
    <n v="33"/>
    <s v="No"/>
    <s v=""/>
    <m/>
    <m/>
    <s v="*MAV221001071"/>
    <s v="*MAV221001071"/>
    <n v="3.8782961021838384E-5"/>
  </r>
  <r>
    <x v="10"/>
    <s v="Pesos"/>
    <d v="2026-10-26T00:00:00"/>
    <s v="25/08/2026"/>
    <n v="0.95614816999999996"/>
    <m/>
    <n v="15000000"/>
    <n v="14342222.57"/>
    <n v="15000000"/>
    <n v="14342222.57"/>
    <n v="11349969"/>
    <s v="AMOMPY"/>
    <s v="Momentum Capital Investment S.A."/>
    <s v="16/07/2026"/>
    <s v="16/07/2026"/>
    <n v="27"/>
    <s v="No"/>
    <s v=""/>
    <m/>
    <m/>
    <s v="*MIL221000034"/>
    <s v="*MIL221000034"/>
    <n v="2.3472587505384855E-4"/>
  </r>
  <r>
    <x v="34"/>
    <s v="Pesos"/>
    <d v="2026-10-26T00:00:00"/>
    <s v="25/08/2026"/>
    <n v="0.95151211999999996"/>
    <m/>
    <n v="6500000"/>
    <n v="6184828.8099999996"/>
    <n v="6500000"/>
    <n v="6184828.8099999996"/>
    <n v="745"/>
    <s v="AMOMPY"/>
    <s v="Momentum Capital Investment S.A."/>
    <s v="08/07/2026"/>
    <s v="08/07/2026"/>
    <n v="30"/>
    <s v="No"/>
    <s v=""/>
    <m/>
    <m/>
    <s v="*MAV221001020"/>
    <s v="*MAV221001020"/>
    <n v="1.0122136561470909E-4"/>
  </r>
  <r>
    <x v="34"/>
    <s v="Pesos"/>
    <d v="2026-10-26T00:00:00"/>
    <s v="25/08/2026"/>
    <n v="0.95151207000000004"/>
    <m/>
    <n v="5000000"/>
    <n v="4757560.37"/>
    <n v="5000000"/>
    <n v="4757560.37"/>
    <n v="795"/>
    <s v="AMOMPY"/>
    <s v="Momentum Capital Investment S.A."/>
    <s v="14/07/2026"/>
    <s v="14/07/2026"/>
    <n v="30"/>
    <s v="No"/>
    <s v=""/>
    <m/>
    <m/>
    <s v="*MAV221001036"/>
    <s v="*MAV221001036"/>
    <n v="7.7862584792515974E-5"/>
  </r>
  <r>
    <x v="34"/>
    <s v="Pesos"/>
    <d v="2026-10-26T00:00:00"/>
    <s v="25/08/2026"/>
    <n v="0.95151216000000005"/>
    <m/>
    <n v="2500000"/>
    <n v="2378780.4"/>
    <n v="2500000"/>
    <n v="2378780.4"/>
    <n v="884"/>
    <s v="AMOMPY"/>
    <s v="Momentum Capital Investment S.A."/>
    <s v="06/08/2026"/>
    <s v="06/08/2026"/>
    <n v="30"/>
    <s v="No"/>
    <s v=""/>
    <m/>
    <m/>
    <s v="*MAV221001138"/>
    <s v="*MAV221001138"/>
    <n v="3.8931295914963882E-5"/>
  </r>
  <r>
    <x v="34"/>
    <s v="Pesos"/>
    <d v="2026-10-26T00:00:00"/>
    <s v="25/08/2026"/>
    <n v="0.95151202999999995"/>
    <m/>
    <n v="3300000"/>
    <n v="3139989.69"/>
    <n v="3300000"/>
    <n v="3139989.69"/>
    <n v="927"/>
    <s v="AMOMPY"/>
    <s v="Momentum Capital Investment S.A."/>
    <s v="11/08/2026"/>
    <s v="11/08/2026"/>
    <n v="30"/>
    <s v="No"/>
    <s v=""/>
    <m/>
    <m/>
    <s v="*MAV221001161"/>
    <s v="*MAV221001161"/>
    <n v="5.1389303439411942E-5"/>
  </r>
  <r>
    <x v="34"/>
    <s v="Pesos"/>
    <d v="2026-10-26T00:00:00"/>
    <s v="25/08/2026"/>
    <n v="0.95151200999999996"/>
    <m/>
    <n v="2500000"/>
    <n v="2378780.0299999998"/>
    <n v="2500000"/>
    <n v="2378780.0299999998"/>
    <n v="908"/>
    <s v="AMOMPY"/>
    <s v="Momentum Capital Investment S.A."/>
    <s v="07/08/2026"/>
    <s v="07/08/2026"/>
    <n v="30"/>
    <s v="No"/>
    <s v=""/>
    <m/>
    <m/>
    <s v="*MAV221001146"/>
    <s v="*MAV221001146"/>
    <n v="3.8931289859516527E-5"/>
  </r>
  <r>
    <x v="34"/>
    <s v="Pesos"/>
    <d v="2026-10-26T00:00:00"/>
    <s v="25/08/2026"/>
    <n v="0.94844611000000001"/>
    <m/>
    <n v="3000000"/>
    <n v="2845338.33"/>
    <n v="3000000"/>
    <n v="2845338.33"/>
    <n v="1043"/>
    <s v="AMOMPY"/>
    <s v="Momentum Capital Investment S.A."/>
    <s v="25/08/2026"/>
    <s v="25/08/2026"/>
    <n v="32"/>
    <s v="No"/>
    <s v=""/>
    <m/>
    <m/>
    <s v="*MAV221001226"/>
    <s v="*MAV221001226"/>
    <n v="4.6567017494939494E-5"/>
  </r>
  <r>
    <x v="108"/>
    <s v="Pesos"/>
    <d v="2026-10-26T00:00:00"/>
    <s v="25/08/2026"/>
    <n v="0.94540007000000004"/>
    <m/>
    <n v="1020845.65"/>
    <n v="965107.55"/>
    <n v="1020845.65"/>
    <n v="965107.55"/>
    <n v="2903"/>
    <s v="AMOMPY"/>
    <s v="Momentum Capital Investment S.A."/>
    <s v="15/07/2026"/>
    <s v="15/07/2026"/>
    <n v="34"/>
    <s v="No"/>
    <s v=""/>
    <m/>
    <m/>
    <s v="*MAV221001043"/>
    <s v="*MAV221001043"/>
    <n v="1.57950215239775E-5"/>
  </r>
  <r>
    <x v="108"/>
    <s v="Pesos"/>
    <d v="2026-10-26T00:00:00"/>
    <s v="25/08/2026"/>
    <n v="0.94540004"/>
    <m/>
    <n v="990902.64"/>
    <n v="936799.4"/>
    <n v="990902.64"/>
    <n v="936799.4"/>
    <n v="2953"/>
    <s v="AMOMPY"/>
    <s v="Momentum Capital Investment S.A."/>
    <s v="15/07/2026"/>
    <s v="15/07/2026"/>
    <n v="34"/>
    <s v="No"/>
    <s v=""/>
    <m/>
    <m/>
    <s v="*MAV221001044"/>
    <s v="*MAV221001044"/>
    <n v="1.5331728247954547E-5"/>
  </r>
  <r>
    <x v="63"/>
    <s v="Pesos"/>
    <d v="2026-10-26T00:00:00"/>
    <s v="25/08/2026"/>
    <n v="0.94388419999999995"/>
    <m/>
    <n v="50000000"/>
    <n v="47194209.969999999"/>
    <n v="50000000"/>
    <n v="47194209.969999999"/>
    <n v="68527643"/>
    <s v="AMOMPY"/>
    <s v="Momentum Capital Investment S.A."/>
    <s v="24/07/2026"/>
    <s v="24/07/2026"/>
    <n v="35"/>
    <s v="No"/>
    <s v=""/>
    <m/>
    <m/>
    <s v="*MAV221001069"/>
    <s v="*MAV221001069"/>
    <n v="7.7238392993948031E-4"/>
  </r>
  <r>
    <x v="17"/>
    <s v="Pesos"/>
    <d v="2026-10-26T00:00:00"/>
    <s v="25/08/2026"/>
    <n v="0.94388422999999999"/>
    <m/>
    <n v="20000000"/>
    <n v="18877684.649999999"/>
    <n v="20000000"/>
    <n v="18877684.649999999"/>
    <n v="4407"/>
    <s v="AMOMPY"/>
    <s v="Momentum Capital Investment S.A."/>
    <s v="21/07/2026"/>
    <s v="21/07/2026"/>
    <n v="35"/>
    <s v="No"/>
    <s v=""/>
    <m/>
    <m/>
    <s v="*MAV221001062"/>
    <s v="*MAV221001062"/>
    <n v="3.0895358281013305E-4"/>
  </r>
  <r>
    <x v="17"/>
    <s v="Pesos"/>
    <d v="2026-10-26T00:00:00"/>
    <s v="25/08/2026"/>
    <n v="0.94540011000000002"/>
    <m/>
    <n v="10000000"/>
    <n v="9454001.0999999996"/>
    <n v="10000000"/>
    <n v="9454001.0999999996"/>
    <n v="4409"/>
    <s v="AMOMPY"/>
    <s v="Momentum Capital Investment S.A."/>
    <s v="23/07/2026"/>
    <s v="23/07/2026"/>
    <n v="34"/>
    <s v="No"/>
    <s v=""/>
    <m/>
    <m/>
    <s v="*MAV221001074"/>
    <s v="*MAV221001074"/>
    <n v="1.5472488103756616E-4"/>
  </r>
  <r>
    <x v="108"/>
    <s v="Pesos"/>
    <d v="2026-10-26T00:00:00"/>
    <s v="25/08/2026"/>
    <n v="0.94692074000000004"/>
    <m/>
    <n v="2502550.36"/>
    <n v="2369716.84"/>
    <n v="2502550.36"/>
    <n v="2369716.84"/>
    <n v="3129"/>
    <s v="AMOMPY"/>
    <s v="Momentum Capital Investment S.A."/>
    <s v="23/07/2026"/>
    <s v="23/07/2026"/>
    <n v="33"/>
    <s v="No"/>
    <s v=""/>
    <m/>
    <m/>
    <s v="*MAV221001070"/>
    <s v="*MAV221001070"/>
    <n v="3.8782961021838384E-5"/>
  </r>
  <r>
    <x v="235"/>
    <s v="Pesos"/>
    <d v="2026-10-26T00:00:00"/>
    <s v="25/08/2026"/>
    <n v="0.94237347000000005"/>
    <m/>
    <n v="3250000"/>
    <n v="3062713.76"/>
    <n v="3250000"/>
    <n v="3062713.76"/>
    <n v="67"/>
    <s v="AMOMPY"/>
    <s v="Momentum Capital Investment S.A."/>
    <s v="24/08/2026"/>
    <s v="24/08/2026"/>
    <n v="36"/>
    <s v="No"/>
    <s v=""/>
    <m/>
    <m/>
    <s v="*MAV221001221"/>
    <s v="*MAV221001221"/>
    <n v="5.0124599855199614E-5"/>
  </r>
  <r>
    <x v="99"/>
    <s v="Pesos"/>
    <d v="2026-10-26T00:00:00"/>
    <s v="25/08/2026"/>
    <n v="0.94844618999999997"/>
    <m/>
    <n v="10655603.279999999"/>
    <n v="10106266.380000001"/>
    <n v="10655603.279999999"/>
    <n v="10106266.380000001"/>
    <n v="30829"/>
    <s v="AMOMPY"/>
    <s v="Momentum Capital Investment S.A."/>
    <s v="14/07/2026"/>
    <s v="14/07/2026"/>
    <n v="32"/>
    <s v="No"/>
    <s v=""/>
    <m/>
    <m/>
    <s v="*MAV221001035"/>
    <s v="*MAV221001035"/>
    <n v="1.6539990283896358E-4"/>
  </r>
  <r>
    <x v="88"/>
    <s v="Dolar 3500"/>
    <d v="2026-10-26T00:00:00"/>
    <s v="25/08/2026"/>
    <n v="0.99661425999999997"/>
    <s v="1 US3 = 1511,5325398191 $"/>
    <n v="101000"/>
    <n v="100658.04"/>
    <n v="152664786.52000001"/>
    <n v="152147902.84999999"/>
    <n v="161880"/>
    <s v="AMOMPY"/>
    <s v="Momentum Capital Investment S.A."/>
    <s v="24/08/2026"/>
    <s v="24/08/2026"/>
    <n v="2"/>
    <s v="No"/>
    <s v=""/>
    <m/>
    <m/>
    <s v="#UMV221060020"/>
    <s v="#UMV221060020"/>
    <n v="2.4900638279576068E-3"/>
  </r>
  <r>
    <x v="127"/>
    <s v="Pesos"/>
    <d v="2026-10-26T00:00:00"/>
    <s v="25/08/2026"/>
    <n v="0.95151215"/>
    <m/>
    <n v="35466704.420000002"/>
    <n v="33747000.289999999"/>
    <n v="35466704.420000002"/>
    <n v="33747000.289999999"/>
    <n v="40293687"/>
    <s v="AMOMPY"/>
    <s v="Momentum Capital Investment S.A."/>
    <s v="20/08/2026"/>
    <s v="20/08/2026"/>
    <n v="30"/>
    <s v="No"/>
    <s v=""/>
    <m/>
    <m/>
    <s v="*MAV221001204"/>
    <s v="*MAV221001204"/>
    <n v="5.523059020212047E-4"/>
  </r>
  <r>
    <x v="27"/>
    <s v="Pesos"/>
    <d v="2026-10-27T00:00:00"/>
    <s v="25/08/2026"/>
    <n v="0.95076846999999998"/>
    <m/>
    <n v="100000000"/>
    <n v="95076846.980000004"/>
    <n v="100000000"/>
    <n v="95076846.980000004"/>
    <n v="90004012"/>
    <s v="AMOMPY"/>
    <s v="Momentum Capital Investment S.A."/>
    <s v="12/08/2026"/>
    <s v="12/08/2026"/>
    <n v="30"/>
    <s v="No"/>
    <s v=""/>
    <m/>
    <m/>
    <s v="*MAV231001310"/>
    <s v="*MAV231001310"/>
    <n v="1.556034707718342E-3"/>
  </r>
  <r>
    <x v="27"/>
    <s v="Pesos"/>
    <d v="2026-10-27T00:00:00"/>
    <s v="25/08/2026"/>
    <n v="0.95076846999999998"/>
    <m/>
    <n v="100000000"/>
    <n v="95076846.980000004"/>
    <n v="100000000"/>
    <n v="95076846.980000004"/>
    <n v="90004011"/>
    <s v="AMOMPY"/>
    <s v="Momentum Capital Investment S.A."/>
    <s v="12/08/2026"/>
    <s v="12/08/2026"/>
    <n v="30"/>
    <s v="No"/>
    <s v=""/>
    <m/>
    <m/>
    <s v="*MAV231001311"/>
    <s v="*MAV231001311"/>
    <n v="1.556034707718342E-3"/>
  </r>
  <r>
    <x v="181"/>
    <s v="Pesos"/>
    <d v="2026-10-27T00:00:00"/>
    <s v="25/08/2026"/>
    <n v="0.94303084999999998"/>
    <m/>
    <n v="6500000"/>
    <n v="6129700.5"/>
    <n v="6500000"/>
    <n v="6129700.5"/>
    <n v="40773808"/>
    <s v="AMOMPY"/>
    <s v="Momentum Capital Investment S.A."/>
    <s v="18/08/2026"/>
    <s v="18/08/2026"/>
    <n v="35"/>
    <s v="No"/>
    <s v=""/>
    <m/>
    <m/>
    <s v="*MAV231001342"/>
    <s v="*MAV231001342"/>
    <n v="1.0031913161702614E-4"/>
  </r>
  <r>
    <x v="103"/>
    <s v="Pesos"/>
    <d v="2026-10-27T00:00:00"/>
    <s v="25/08/2026"/>
    <n v="0.94456817999999998"/>
    <m/>
    <n v="5000300.25"/>
    <n v="4723124.49"/>
    <n v="5000300.25"/>
    <n v="4723124.49"/>
    <n v="374"/>
    <s v="AMOMPY"/>
    <s v="Momentum Capital Investment S.A."/>
    <s v="15/07/2026"/>
    <s v="15/07/2026"/>
    <n v="34"/>
    <s v="No"/>
    <s v=""/>
    <m/>
    <m/>
    <s v="*MAV231001170"/>
    <s v="*MAV231001170"/>
    <n v="7.7299004634224705E-5"/>
  </r>
  <r>
    <x v="5"/>
    <s v="Pesos"/>
    <d v="2026-10-27T00:00:00"/>
    <s v="25/08/2026"/>
    <n v="0.94611080999999997"/>
    <m/>
    <n v="1400000"/>
    <n v="1324555.1299999999"/>
    <n v="1400000"/>
    <n v="1324555.1299999999"/>
    <n v="522"/>
    <s v="AMOMPY"/>
    <s v="Momentum Capital Investment S.A."/>
    <s v="11/08/2026"/>
    <s v="11/08/2026"/>
    <n v="33"/>
    <s v="No"/>
    <s v=""/>
    <m/>
    <m/>
    <s v="*MAV231001295"/>
    <s v="*MAV231001295"/>
    <n v="2.1677767196044435E-5"/>
  </r>
  <r>
    <x v="236"/>
    <s v="Pesos"/>
    <d v="2026-10-27T00:00:00"/>
    <s v="25/08/2026"/>
    <n v="0.94611071000000002"/>
    <m/>
    <n v="20000194"/>
    <n v="18922397.829999998"/>
    <n v="20000194"/>
    <n v="18922397.829999998"/>
    <n v="731"/>
    <s v="AMOMPY"/>
    <s v="Momentum Capital Investment S.A."/>
    <s v="24/08/2026"/>
    <s v="24/08/2026"/>
    <n v="33"/>
    <s v="No"/>
    <s v=""/>
    <m/>
    <m/>
    <s v="*MAV231001402"/>
    <s v="*MAV231001402"/>
    <n v="3.0968536202013455E-4"/>
  </r>
  <r>
    <x v="237"/>
    <s v="Pesos"/>
    <d v="2026-10-27T00:00:00"/>
    <s v="25/08/2026"/>
    <n v="0.94456817999999998"/>
    <m/>
    <n v="4549416.66"/>
    <n v="4297234.22"/>
    <n v="4549416.66"/>
    <n v="4297234.22"/>
    <n v="50456545"/>
    <s v="AMOMPY"/>
    <s v="Momentum Capital Investment S.A."/>
    <s v="15/07/2026"/>
    <s v="15/07/2026"/>
    <n v="34"/>
    <s v="No"/>
    <s v=""/>
    <m/>
    <m/>
    <s v="*MAV231001172"/>
    <s v="*MAV231001172"/>
    <n v="7.0328852984802211E-5"/>
  </r>
  <r>
    <x v="13"/>
    <s v="Pesos"/>
    <d v="2026-10-27T00:00:00"/>
    <s v="25/08/2026"/>
    <n v="0.95389926999999997"/>
    <m/>
    <n v="2500000"/>
    <n v="2384748.1800000002"/>
    <n v="2500000"/>
    <n v="2384748.1800000002"/>
    <n v="90031821"/>
    <s v="AMOMPY"/>
    <s v="Momentum Capital Investment S.A."/>
    <s v="22/04/2026"/>
    <s v="22/04/2026"/>
    <n v="28"/>
    <s v="No"/>
    <s v=""/>
    <m/>
    <m/>
    <s v="*MOV231000049"/>
    <s v="*MOV231000049"/>
    <n v="3.9028965043705409E-5"/>
  </r>
  <r>
    <x v="10"/>
    <s v="Pesos"/>
    <d v="2026-10-27T00:00:00"/>
    <s v="25/08/2026"/>
    <n v="0.95547236999999996"/>
    <m/>
    <n v="50000000"/>
    <n v="47773618.649999999"/>
    <n v="50000000"/>
    <n v="47773618.649999999"/>
    <n v="1415416"/>
    <s v="AMOMPY"/>
    <s v="Momentum Capital Investment S.A."/>
    <s v="25/06/2026"/>
    <s v="25/06/2026"/>
    <n v="27"/>
    <s v="No"/>
    <s v=""/>
    <m/>
    <m/>
    <s v="*MIL231000034"/>
    <s v="*MIL231000034"/>
    <n v="7.8186657523821349E-4"/>
  </r>
  <r>
    <x v="10"/>
    <s v="Pesos"/>
    <d v="2026-10-27T00:00:00"/>
    <s v="25/08/2026"/>
    <n v="0.95547241000000005"/>
    <m/>
    <n v="10000000"/>
    <n v="9554724.1400000006"/>
    <n v="10000000"/>
    <n v="9554724.1400000006"/>
    <n v="2012"/>
    <s v="AMOMPY"/>
    <s v="Momentum Capital Investment S.A."/>
    <s v="07/07/2026"/>
    <s v="07/07/2026"/>
    <n v="27"/>
    <s v="No"/>
    <s v=""/>
    <m/>
    <m/>
    <s v="*MIL231000035"/>
    <s v="*MIL231000035"/>
    <n v="1.5637332175773302E-4"/>
  </r>
  <r>
    <x v="10"/>
    <s v="Pesos"/>
    <d v="2026-10-27T00:00:00"/>
    <s v="25/08/2026"/>
    <n v="0.95076859999999996"/>
    <m/>
    <n v="5000000"/>
    <n v="4753843"/>
    <n v="5000000"/>
    <n v="4753843"/>
    <n v="8779"/>
    <s v="AMOMPY"/>
    <s v="Momentum Capital Investment S.A."/>
    <s v="14/08/2026"/>
    <s v="14/08/2026"/>
    <n v="30"/>
    <s v="No"/>
    <s v=""/>
    <m/>
    <m/>
    <s v="*MIL231000038"/>
    <s v="*MIL231000038"/>
    <n v="7.7801746040231229E-5"/>
  </r>
  <r>
    <x v="34"/>
    <s v="Pesos"/>
    <d v="2026-10-27T00:00:00"/>
    <s v="25/08/2026"/>
    <n v="0.94765832999999999"/>
    <m/>
    <n v="3000000"/>
    <n v="2842974.99"/>
    <n v="3000000"/>
    <n v="2842974.99"/>
    <n v="1044"/>
    <s v="AMOMPY"/>
    <s v="Momentum Capital Investment S.A."/>
    <s v="25/08/2026"/>
    <s v="25/08/2026"/>
    <n v="32"/>
    <s v="No"/>
    <s v=""/>
    <m/>
    <m/>
    <s v="*MAV231001412"/>
    <s v="*MAV231001412"/>
    <n v="4.6528338897752606E-5"/>
  </r>
  <r>
    <x v="108"/>
    <s v="Pesos"/>
    <d v="2026-10-27T00:00:00"/>
    <s v="25/08/2026"/>
    <n v="0.94456817999999998"/>
    <m/>
    <n v="1020845.65"/>
    <n v="964258.32"/>
    <n v="1020845.65"/>
    <n v="964258.32"/>
    <n v="2904"/>
    <s v="AMOMPY"/>
    <s v="Momentum Capital Investment S.A."/>
    <s v="15/07/2026"/>
    <s v="15/07/2026"/>
    <n v="34"/>
    <s v="No"/>
    <s v=""/>
    <m/>
    <m/>
    <s v="*MAV231001169"/>
    <s v="*MAV231001169"/>
    <n v="1.5781122963004881E-5"/>
  </r>
  <r>
    <x v="108"/>
    <s v="Pesos"/>
    <d v="2026-10-27T00:00:00"/>
    <s v="25/08/2026"/>
    <n v="0.94456819000000003"/>
    <m/>
    <n v="990902.64"/>
    <n v="935975.11"/>
    <n v="990902.64"/>
    <n v="935975.11"/>
    <n v="2954"/>
    <s v="AMOMPY"/>
    <s v="Momentum Capital Investment S.A."/>
    <s v="15/07/2026"/>
    <s v="15/07/2026"/>
    <n v="34"/>
    <s v="No"/>
    <s v=""/>
    <m/>
    <m/>
    <s v="*MAV231001171"/>
    <s v="*MAV231001171"/>
    <n v="1.531823785686601E-5"/>
  </r>
  <r>
    <x v="190"/>
    <s v="Pesos"/>
    <d v="2026-10-27T00:00:00"/>
    <s v="25/08/2026"/>
    <n v="0.95389926000000003"/>
    <m/>
    <n v="150000000"/>
    <n v="143084889.62"/>
    <n v="150000000"/>
    <n v="143084889.62"/>
    <n v="81"/>
    <s v="AMOMPY"/>
    <s v="Momentum Capital Investment S.A."/>
    <s v="12/08/2026"/>
    <s v="12/08/2026"/>
    <n v="28"/>
    <s v="No"/>
    <s v=""/>
    <m/>
    <m/>
    <s v="*MAV231001316"/>
    <s v="*MAV231001316"/>
    <n v="2.3417378833103571E-3"/>
  </r>
  <r>
    <x v="235"/>
    <s v="Pesos"/>
    <d v="2026-10-27T00:00:00"/>
    <s v="25/08/2026"/>
    <n v="0.94149828999999996"/>
    <m/>
    <n v="3250000"/>
    <n v="3059869.45"/>
    <n v="3250000"/>
    <n v="3059869.45"/>
    <n v="68"/>
    <s v="AMOMPY"/>
    <s v="Momentum Capital Investment S.A."/>
    <s v="24/08/2026"/>
    <s v="24/08/2026"/>
    <n v="36"/>
    <s v="No"/>
    <s v=""/>
    <m/>
    <m/>
    <s v="*MAV231001407"/>
    <s v="*MAV231001407"/>
    <n v="5.0078049667429495E-5"/>
  </r>
  <r>
    <x v="99"/>
    <s v="Pesos"/>
    <d v="2026-10-27T00:00:00"/>
    <s v="25/08/2026"/>
    <n v="0.94765816000000003"/>
    <m/>
    <n v="10655603.279999999"/>
    <n v="10097869.359999999"/>
    <n v="10655603.279999999"/>
    <n v="10097869.359999999"/>
    <n v="30830"/>
    <s v="AMOMPY"/>
    <s v="Momentum Capital Investment S.A."/>
    <s v="14/07/2026"/>
    <s v="14/07/2026"/>
    <n v="32"/>
    <s v="No"/>
    <s v=""/>
    <m/>
    <m/>
    <s v="*MAV231001165"/>
    <s v="*MAV231001165"/>
    <n v="1.6526247658876244E-4"/>
  </r>
  <r>
    <x v="191"/>
    <s v="Pesos"/>
    <d v="2026-10-27T00:00:00"/>
    <s v="25/08/2026"/>
    <n v="0.95389935999999997"/>
    <m/>
    <n v="5225717"/>
    <n v="4984808.08"/>
    <n v="5225717"/>
    <n v="4984808.08"/>
    <n v="3174"/>
    <s v="AMOMPY"/>
    <s v="Momentum Capital Investment S.A."/>
    <s v="10/08/2026"/>
    <s v="10/08/2026"/>
    <n v="28"/>
    <s v="No"/>
    <s v=""/>
    <m/>
    <m/>
    <s v="*MAV231001288"/>
    <s v="*MAV231001288"/>
    <n v="8.1581737617218882E-5"/>
  </r>
  <r>
    <x v="238"/>
    <s v="Pesos"/>
    <d v="2026-10-27T00:00:00"/>
    <s v="25/08/2026"/>
    <n v="0.94611076000000005"/>
    <m/>
    <n v="25000000"/>
    <n v="23652769.02"/>
    <n v="25000000"/>
    <n v="23652769.02"/>
    <n v="90016068"/>
    <s v="AMOMPY"/>
    <s v="Momentum Capital Investment S.A."/>
    <s v="14/08/2026"/>
    <s v="14/08/2026"/>
    <n v="33"/>
    <s v="No"/>
    <s v=""/>
    <m/>
    <m/>
    <s v="*MAV231001339"/>
    <s v="*MAV231001339"/>
    <n v="3.8710296668238497E-4"/>
  </r>
  <r>
    <x v="87"/>
    <s v="Pesos"/>
    <d v="2026-10-27T00:00:00"/>
    <s v="25/08/2026"/>
    <n v="0.94303077000000002"/>
    <m/>
    <n v="250000000"/>
    <n v="235757693.58000001"/>
    <n v="250000000"/>
    <n v="235757693.58000001"/>
    <n v="70400476"/>
    <s v="AMOMPY"/>
    <s v="Momentum Capital Investment S.A."/>
    <s v="10/08/2026"/>
    <s v="10/08/2026"/>
    <n v="35"/>
    <s v="No"/>
    <s v=""/>
    <m/>
    <m/>
    <s v="*MAV231001287"/>
    <s v="*MAV231001287"/>
    <n v="3.8584278452068808E-3"/>
  </r>
  <r>
    <x v="239"/>
    <s v="Pesos"/>
    <d v="2026-10-27T00:00:00"/>
    <s v="25/08/2026"/>
    <n v="0.95863430999999999"/>
    <m/>
    <n v="19922304"/>
    <n v="19098204.140000001"/>
    <n v="19922304"/>
    <n v="19098204.140000001"/>
    <n v="67863887"/>
    <s v="AMOMPY"/>
    <s v="Momentum Capital Investment S.A."/>
    <s v="26/06/2026"/>
    <s v="26/06/2026"/>
    <n v="25"/>
    <s v="No"/>
    <s v=""/>
    <m/>
    <m/>
    <s v="*MAV231001129"/>
    <s v="*MAV231001129"/>
    <n v="3.1256262108882702E-4"/>
  </r>
  <r>
    <x v="240"/>
    <s v="Pesos"/>
    <d v="2026-10-28T00:00:00"/>
    <s v="25/08/2026"/>
    <n v="0.94687157"/>
    <m/>
    <n v="6714705.0300000003"/>
    <n v="6357963.2699999996"/>
    <n v="6714705.0300000003"/>
    <n v="6357963.2699999996"/>
    <n v="198201"/>
    <s v="AMOMPY"/>
    <s v="Momentum Capital Investment S.A."/>
    <s v="25/08/2026"/>
    <s v="25/08/2026"/>
    <n v="32"/>
    <s v="No"/>
    <s v=""/>
    <m/>
    <m/>
    <s v="*MAV261001052"/>
    <s v="*MAV261001052"/>
    <n v="1.0405489698874323E-4"/>
  </r>
  <r>
    <x v="189"/>
    <s v="Pesos"/>
    <d v="2026-10-28T00:00:00"/>
    <s v="25/08/2026"/>
    <n v="0.95320179000000005"/>
    <m/>
    <n v="12995399.76"/>
    <n v="12387238.27"/>
    <n v="12995399.76"/>
    <n v="12387238.27"/>
    <n v="7564"/>
    <s v="AMOMPY"/>
    <s v="Momentum Capital Investment S.A."/>
    <s v="10/08/2026"/>
    <s v="10/08/2026"/>
    <n v="28"/>
    <s v="No"/>
    <s v=""/>
    <m/>
    <m/>
    <s v="*MAV251001233"/>
    <s v="*MAV251001233"/>
    <n v="2.0273045744724285E-4"/>
  </r>
  <r>
    <x v="241"/>
    <s v="Pesos"/>
    <d v="2026-10-28T00:00:00"/>
    <s v="25/08/2026"/>
    <n v="0.94687158999999999"/>
    <m/>
    <n v="20000000"/>
    <n v="18937431.739999998"/>
    <n v="20000000"/>
    <n v="18937431.739999998"/>
    <n v="6645"/>
    <s v="AMOMPY"/>
    <s v="Momentum Capital Investment S.A."/>
    <s v="04/08/2026"/>
    <s v="04/08/2026"/>
    <n v="32"/>
    <s v="No"/>
    <s v=""/>
    <m/>
    <m/>
    <s v="*MAV241001273"/>
    <s v="*MAV241001273"/>
    <n v="3.0993140810281158E-4"/>
  </r>
  <r>
    <x v="241"/>
    <s v="Pesos"/>
    <d v="2026-10-28T00:00:00"/>
    <s v="25/08/2026"/>
    <n v="0.94687158999999999"/>
    <m/>
    <n v="20000000"/>
    <n v="18937431.739999998"/>
    <n v="20000000"/>
    <n v="18937431.739999998"/>
    <n v="6646"/>
    <s v="AMOMPY"/>
    <s v="Momentum Capital Investment S.A."/>
    <s v="04/08/2026"/>
    <s v="04/08/2026"/>
    <n v="32"/>
    <s v="No"/>
    <s v=""/>
    <m/>
    <m/>
    <s v="*MAV241001272"/>
    <s v="*MAV241001272"/>
    <n v="3.0993140810281158E-4"/>
  </r>
  <r>
    <x v="30"/>
    <s v="Pesos"/>
    <d v="2026-10-28T00:00:00"/>
    <s v="25/08/2026"/>
    <n v="0.94530203999999995"/>
    <m/>
    <n v="7954930.75"/>
    <n v="7519812.25"/>
    <n v="7954930.75"/>
    <n v="7519812.25"/>
    <n v="894"/>
    <s v="AMOMPY"/>
    <s v="Momentum Capital Investment S.A."/>
    <s v="06/08/2026"/>
    <s v="06/08/2026"/>
    <n v="33"/>
    <s v="No"/>
    <s v=""/>
    <m/>
    <m/>
    <s v="*MAV261000958"/>
    <s v="*MAV261000958"/>
    <n v="1.2306980330328954E-4"/>
  </r>
  <r>
    <x v="31"/>
    <s v="Pesos"/>
    <d v="2026-10-28T00:00:00"/>
    <s v="25/08/2026"/>
    <n v="0.93753218999999999"/>
    <m/>
    <n v="3511491.25"/>
    <n v="3292136.09"/>
    <n v="3511491.25"/>
    <n v="3292136.09"/>
    <n v="13270638"/>
    <s v="AMOMPY"/>
    <s v="Momentum Capital Investment S.A."/>
    <s v="24/04/2026"/>
    <s v="24/04/2026"/>
    <n v="38"/>
    <s v="No"/>
    <s v=""/>
    <m/>
    <m/>
    <s v="*MAV261000813"/>
    <s v="*MAV261000813"/>
    <n v="5.387934267161533E-5"/>
  </r>
  <r>
    <x v="148"/>
    <s v="Pesos"/>
    <d v="2026-10-28T00:00:00"/>
    <s v="25/08/2026"/>
    <n v="0.95002613000000002"/>
    <m/>
    <n v="25000000"/>
    <n v="23750653.32"/>
    <n v="25000000"/>
    <n v="23750653.32"/>
    <n v="509760"/>
    <s v="AMOMPY"/>
    <s v="Momentum Capital Investment S.A."/>
    <s v="14/08/2026"/>
    <s v="14/08/2026"/>
    <n v="30"/>
    <s v="No"/>
    <s v=""/>
    <m/>
    <m/>
    <s v="*AFB251000012"/>
    <s v="*AFB251000012"/>
    <n v="3.8870494837381353E-4"/>
  </r>
  <r>
    <x v="242"/>
    <s v="Pesos"/>
    <d v="2026-10-28T00:00:00"/>
    <s v="25/08/2026"/>
    <n v="0.95320176000000001"/>
    <m/>
    <n v="100000000"/>
    <n v="95320175.939999998"/>
    <n v="100000000"/>
    <n v="95320175.939999998"/>
    <n v="40627526"/>
    <s v="AMOMPY"/>
    <s v="Momentum Capital Investment S.A."/>
    <s v="04/05/2026"/>
    <s v="04/05/2026"/>
    <n v="28"/>
    <s v="No"/>
    <s v=""/>
    <m/>
    <m/>
    <s v="*AAR241000023"/>
    <s v="*AAR241000023"/>
    <n v="1.5600170474696028E-3"/>
  </r>
  <r>
    <x v="62"/>
    <s v="Pesos"/>
    <d v="2026-10-28T00:00:00"/>
    <s v="25/08/2026"/>
    <n v="0.95320174999999996"/>
    <m/>
    <n v="30000000"/>
    <n v="28596052.489999998"/>
    <n v="30000000"/>
    <n v="28596052.489999998"/>
    <n v="3329634"/>
    <s v="AMOMPY"/>
    <s v="Momentum Capital Investment S.A."/>
    <s v="30/04/2026"/>
    <s v="30/04/2026"/>
    <n v="28"/>
    <s v="No"/>
    <s v=""/>
    <m/>
    <m/>
    <s v="*FID261000025"/>
    <s v="*FID261000025"/>
    <n v="4.6800510946198723E-4"/>
  </r>
  <r>
    <x v="48"/>
    <s v="Pesos"/>
    <d v="2026-10-28T00:00:00"/>
    <s v="25/08/2026"/>
    <n v="0.95800536999999997"/>
    <m/>
    <n v="2750004"/>
    <n v="2634518.61"/>
    <n v="2750004"/>
    <n v="2634518.61"/>
    <n v="68693810"/>
    <s v="AMOMPY"/>
    <s v="Momentum Capital Investment S.A."/>
    <s v="04/08/2026"/>
    <s v="04/08/2026"/>
    <n v="25"/>
    <s v="No"/>
    <s v=""/>
    <m/>
    <m/>
    <s v="*FED261000040"/>
    <s v="*FED261000040"/>
    <n v="4.3116726369272814E-5"/>
  </r>
  <r>
    <x v="237"/>
    <s v="Pesos"/>
    <d v="2026-10-28T00:00:00"/>
    <s v="25/08/2026"/>
    <n v="0.94373775999999998"/>
    <m/>
    <n v="4549416.66"/>
    <n v="4293456.28"/>
    <n v="4549416.66"/>
    <n v="4293456.28"/>
    <n v="50456546"/>
    <s v="AMOMPY"/>
    <s v="Momentum Capital Investment S.A."/>
    <s v="15/07/2026"/>
    <s v="15/07/2026"/>
    <n v="34"/>
    <s v="No"/>
    <s v=""/>
    <m/>
    <m/>
    <s v="*MAV241001245"/>
    <s v="*MAV241001245"/>
    <n v="7.0267022939418889E-5"/>
  </r>
  <r>
    <x v="47"/>
    <s v="Pesos"/>
    <d v="2026-10-28T00:00:00"/>
    <s v="25/08/2026"/>
    <n v="0.94373777999999997"/>
    <m/>
    <n v="10000000"/>
    <n v="9437377.7599999998"/>
    <n v="10000000"/>
    <n v="9437377.7599999998"/>
    <n v="14284511"/>
    <s v="AMOMPY"/>
    <s v="Momentum Capital Investment S.A."/>
    <s v="24/08/2026"/>
    <s v="24/08/2026"/>
    <n v="34"/>
    <s v="No"/>
    <s v=""/>
    <m/>
    <m/>
    <s v="*MAV261001031"/>
    <s v="*MAV261001031"/>
    <n v="1.5445282222598564E-4"/>
  </r>
  <r>
    <x v="10"/>
    <s v="Pesos"/>
    <d v="2026-10-28T00:00:00"/>
    <s v="25/08/2026"/>
    <n v="0.95002613000000002"/>
    <m/>
    <n v="3000000"/>
    <n v="2850078.39"/>
    <n v="3000000"/>
    <n v="2850078.39"/>
    <n v="12759459"/>
    <s v="AMOMPY"/>
    <s v="Momentum Capital Investment S.A."/>
    <s v="14/08/2026"/>
    <s v="14/08/2026"/>
    <n v="30"/>
    <s v="No"/>
    <s v=""/>
    <m/>
    <m/>
    <s v="*MIL261000032"/>
    <s v="*MIL261000032"/>
    <n v="4.6644593667382604E-5"/>
  </r>
  <r>
    <x v="12"/>
    <s v="Pesos"/>
    <d v="2026-10-28T00:00:00"/>
    <s v="25/08/2026"/>
    <n v="0.95479762000000001"/>
    <m/>
    <n v="15000000"/>
    <n v="14321964.300000001"/>
    <n v="15000000"/>
    <n v="14321964.300000001"/>
    <n v="234"/>
    <s v="AMOMPY"/>
    <s v="Momentum Capital Investment S.A."/>
    <s v="02/07/2026"/>
    <s v="02/07/2026"/>
    <n v="27"/>
    <s v="No"/>
    <s v=""/>
    <m/>
    <m/>
    <s v="*PRO261000007"/>
    <s v="*PRO261000007"/>
    <n v="2.3439432670911895E-4"/>
  </r>
  <r>
    <x v="13"/>
    <s v="Pesos"/>
    <d v="2026-10-28T00:00:00"/>
    <s v="25/08/2026"/>
    <n v="0.95320174000000002"/>
    <m/>
    <n v="2500000"/>
    <n v="2383004.34"/>
    <n v="2500000"/>
    <n v="2383004.34"/>
    <n v="90031822"/>
    <s v="AMOMPY"/>
    <s v="Momentum Capital Investment S.A."/>
    <s v="22/04/2026"/>
    <s v="22/04/2026"/>
    <n v="28"/>
    <s v="No"/>
    <s v=""/>
    <m/>
    <m/>
    <s v="*MOV261000050"/>
    <s v="*MOV261000050"/>
    <n v="3.9000425229324747E-5"/>
  </r>
  <r>
    <x v="10"/>
    <s v="Pesos"/>
    <d v="2026-10-28T00:00:00"/>
    <s v="25/08/2026"/>
    <n v="0.95479760999999996"/>
    <m/>
    <n v="15000000"/>
    <n v="14321964.109999999"/>
    <n v="15000000"/>
    <n v="14321964.109999999"/>
    <n v="11349971"/>
    <s v="AMOMPY"/>
    <s v="Momentum Capital Investment S.A."/>
    <s v="16/07/2026"/>
    <s v="16/07/2026"/>
    <n v="27"/>
    <s v="No"/>
    <s v=""/>
    <m/>
    <m/>
    <s v="*MIL261000028"/>
    <s v="*MIL261000028"/>
    <n v="2.3439432359956486E-4"/>
  </r>
  <r>
    <x v="10"/>
    <s v="Pesos"/>
    <d v="2026-10-28T00:00:00"/>
    <s v="25/08/2026"/>
    <n v="0.95479760999999996"/>
    <m/>
    <n v="15000000"/>
    <n v="14321964.109999999"/>
    <n v="15000000"/>
    <n v="14321964.109999999"/>
    <n v="11349970"/>
    <s v="AMOMPY"/>
    <s v="Momentum Capital Investment S.A."/>
    <s v="16/07/2026"/>
    <s v="16/07/2026"/>
    <n v="27"/>
    <s v="No"/>
    <s v=""/>
    <m/>
    <m/>
    <s v="*MIL241000049"/>
    <s v="*MIL241000049"/>
    <n v="2.3439432359956486E-4"/>
  </r>
  <r>
    <x v="10"/>
    <s v="Pesos"/>
    <d v="2026-10-28T00:00:00"/>
    <s v="25/08/2026"/>
    <n v="0.95002613000000002"/>
    <m/>
    <n v="11000000"/>
    <n v="10450287.460000001"/>
    <n v="11000000"/>
    <n v="10450287.460000001"/>
    <n v="10679148"/>
    <s v="AMOMPY"/>
    <s v="Momentum Capital Investment S.A."/>
    <s v="14/08/2026"/>
    <s v="14/08/2026"/>
    <n v="30"/>
    <s v="No"/>
    <s v=""/>
    <m/>
    <m/>
    <s v="*MIL261000031"/>
    <s v="*MIL261000031"/>
    <n v="1.7103017727138509E-4"/>
  </r>
  <r>
    <x v="34"/>
    <s v="Pesos"/>
    <d v="2026-10-28T00:00:00"/>
    <s v="25/08/2026"/>
    <n v="0.95002607999999999"/>
    <m/>
    <n v="2500000"/>
    <n v="2375065.2000000002"/>
    <n v="2500000"/>
    <n v="2375065.2000000002"/>
    <n v="896"/>
    <s v="AMOMPY"/>
    <s v="Momentum Capital Investment S.A."/>
    <s v="06/08/2026"/>
    <s v="06/08/2026"/>
    <n v="30"/>
    <s v="No"/>
    <s v=""/>
    <m/>
    <m/>
    <s v="*MAV261000960"/>
    <s v="*MAV261000960"/>
    <n v="3.8870492677059596E-5"/>
  </r>
  <r>
    <x v="34"/>
    <s v="Pesos"/>
    <d v="2026-10-28T00:00:00"/>
    <s v="25/08/2026"/>
    <n v="0.95002615999999995"/>
    <m/>
    <n v="3300000"/>
    <n v="3135086.34"/>
    <n v="3300000"/>
    <n v="3135086.34"/>
    <n v="928"/>
    <s v="AMOMPY"/>
    <s v="Momentum Capital Investment S.A."/>
    <s v="11/08/2026"/>
    <s v="11/08/2026"/>
    <n v="30"/>
    <s v="No"/>
    <s v=""/>
    <m/>
    <m/>
    <s v="*MAV261000986"/>
    <s v="*MAV261000986"/>
    <n v="5.1309054850755068E-5"/>
  </r>
  <r>
    <x v="108"/>
    <s v="Pesos"/>
    <d v="2026-10-28T00:00:00"/>
    <s v="25/08/2026"/>
    <n v="0.94373775999999998"/>
    <m/>
    <n v="1020845.65"/>
    <n v="963410.59"/>
    <n v="1020845.65"/>
    <n v="963410.59"/>
    <n v="2905"/>
    <s v="AMOMPY"/>
    <s v="Momentum Capital Investment S.A."/>
    <s v="15/07/2026"/>
    <s v="15/07/2026"/>
    <n v="34"/>
    <s v="No"/>
    <s v=""/>
    <m/>
    <m/>
    <s v="*MAV241001243"/>
    <s v="*MAV241001243"/>
    <n v="1.5767248951143178E-5"/>
  </r>
  <r>
    <x v="108"/>
    <s v="Pesos"/>
    <d v="2026-10-28T00:00:00"/>
    <s v="25/08/2026"/>
    <n v="0.94373777000000003"/>
    <m/>
    <n v="990902.64"/>
    <n v="935152.25"/>
    <n v="990902.64"/>
    <n v="935152.25"/>
    <n v="2955"/>
    <s v="AMOMPY"/>
    <s v="Momentum Capital Investment S.A."/>
    <s v="15/07/2026"/>
    <s v="15/07/2026"/>
    <n v="34"/>
    <s v="No"/>
    <s v=""/>
    <m/>
    <m/>
    <s v="*MAV241001244"/>
    <s v="*MAV241001244"/>
    <n v="1.5304770869263209E-5"/>
  </r>
  <r>
    <x v="15"/>
    <s v="Pesos"/>
    <d v="2026-10-28T00:00:00"/>
    <s v="25/08/2026"/>
    <n v="0.94530210000000003"/>
    <m/>
    <n v="100000000"/>
    <n v="94530210.239999995"/>
    <n v="100000000"/>
    <n v="94530210.239999995"/>
    <n v="2163"/>
    <s v="AMOMPY"/>
    <s v="Momentum Capital Investment S.A."/>
    <s v="07/08/2026"/>
    <s v="07/08/2026"/>
    <n v="33"/>
    <s v="No"/>
    <s v=""/>
    <m/>
    <m/>
    <s v="*MAV261000974"/>
    <s v="*MAV261000974"/>
    <n v="1.5470884104128271E-3"/>
  </r>
  <r>
    <x v="211"/>
    <s v="Pesos"/>
    <d v="2026-10-28T00:00:00"/>
    <s v="25/08/2026"/>
    <n v="0.94687157"/>
    <m/>
    <n v="12000000"/>
    <n v="11362458.800000001"/>
    <n v="12000000"/>
    <n v="11362458.800000001"/>
    <n v="68962745"/>
    <s v="AMOMPY"/>
    <s v="Momentum Capital Investment S.A."/>
    <s v="25/08/2026"/>
    <s v="25/08/2026"/>
    <n v="32"/>
    <s v="No"/>
    <s v=""/>
    <m/>
    <m/>
    <s v="*MAV241001330"/>
    <s v="*MAV241001330"/>
    <n v="1.8595884086836494E-4"/>
  </r>
  <r>
    <x v="243"/>
    <s v="Pesos"/>
    <d v="2026-10-28T00:00:00"/>
    <s v="25/08/2026"/>
    <n v="0.94687157"/>
    <m/>
    <n v="13264589.890000001"/>
    <n v="12559863.01"/>
    <n v="13264589.890000001"/>
    <n v="12559863.01"/>
    <n v="10769580"/>
    <s v="AMOMPY"/>
    <s v="Momentum Capital Investment S.A."/>
    <s v="25/08/2026"/>
    <s v="25/08/2026"/>
    <n v="32"/>
    <s v="No"/>
    <s v=""/>
    <m/>
    <m/>
    <s v="*MAV241001331"/>
    <s v="*MAV241001331"/>
    <n v="2.0555564670606796E-4"/>
  </r>
  <r>
    <x v="99"/>
    <s v="Pesos"/>
    <d v="2026-10-28T00:00:00"/>
    <s v="25/08/2026"/>
    <n v="0.94687160000000004"/>
    <m/>
    <n v="10655603.279999999"/>
    <n v="10089488.119999999"/>
    <n v="10655603.279999999"/>
    <n v="10089488.119999999"/>
    <n v="30831"/>
    <s v="AMOMPY"/>
    <s v="Momentum Capital Investment S.A."/>
    <s v="14/07/2026"/>
    <s v="14/07/2026"/>
    <n v="32"/>
    <s v="No"/>
    <s v=""/>
    <m/>
    <m/>
    <s v="*MAV261000869"/>
    <s v="*MAV261000869"/>
    <n v="1.6512530859520813E-4"/>
  </r>
  <r>
    <x v="191"/>
    <s v="Pesos"/>
    <d v="2026-10-28T00:00:00"/>
    <s v="25/08/2026"/>
    <n v="0.95320178"/>
    <m/>
    <n v="5225717"/>
    <n v="4981162.7699999996"/>
    <n v="5225717"/>
    <n v="4981162.7699999996"/>
    <n v="3175"/>
    <s v="AMOMPY"/>
    <s v="Momentum Capital Investment S.A."/>
    <s v="10/08/2026"/>
    <s v="10/08/2026"/>
    <n v="28"/>
    <s v="No"/>
    <s v=""/>
    <m/>
    <m/>
    <s v="*MAV261000980"/>
    <s v="*MAV261000980"/>
    <n v="8.1522078204222296E-5"/>
  </r>
  <r>
    <x v="191"/>
    <s v="Pesos"/>
    <d v="2026-10-28T00:00:00"/>
    <s v="25/08/2026"/>
    <n v="0.94687157"/>
    <m/>
    <n v="5444206"/>
    <n v="5154963.8600000003"/>
    <n v="5444206"/>
    <n v="5154963.8600000003"/>
    <n v="3441"/>
    <s v="AMOMPY"/>
    <s v="Momentum Capital Investment S.A."/>
    <s v="25/08/2026"/>
    <s v="25/08/2026"/>
    <n v="32"/>
    <s v="No"/>
    <s v=""/>
    <m/>
    <m/>
    <s v="*MAV261001050"/>
    <s v="*MAV261001050"/>
    <n v="8.4366519694127493E-5"/>
  </r>
  <r>
    <x v="244"/>
    <s v="Pesos"/>
    <d v="2026-10-28T00:00:00"/>
    <s v="25/08/2026"/>
    <n v="0.94373775999999998"/>
    <m/>
    <n v="7000000"/>
    <n v="6606164.3499999996"/>
    <n v="7000000"/>
    <n v="6606164.3499999996"/>
    <n v="69017379"/>
    <s v="AMOMPY"/>
    <s v="Momentum Capital Investment S.A."/>
    <s v="13/08/2026"/>
    <s v="13/08/2026"/>
    <n v="34"/>
    <s v="No"/>
    <s v=""/>
    <m/>
    <m/>
    <s v="*MAV261000993"/>
    <s v="*MAV261000993"/>
    <n v="1.0811697421617188E-4"/>
  </r>
  <r>
    <x v="86"/>
    <s v="Pesos"/>
    <d v="2026-10-28T00:00:00"/>
    <s v="25/08/2026"/>
    <n v="0.94373775000000004"/>
    <m/>
    <n v="3000000"/>
    <n v="2831213.26"/>
    <n v="3000000"/>
    <n v="2831213.26"/>
    <n v="4564"/>
    <s v="AMOMPY"/>
    <s v="Momentum Capital Investment S.A."/>
    <s v="15/07/2026"/>
    <s v="15/07/2026"/>
    <n v="34"/>
    <s v="No"/>
    <s v=""/>
    <m/>
    <m/>
    <s v="*MAV261000873"/>
    <s v="*MAV261000873"/>
    <n v="4.6335845554902662E-5"/>
  </r>
  <r>
    <x v="127"/>
    <s v="Pesos"/>
    <d v="2026-10-28T00:00:00"/>
    <s v="25/08/2026"/>
    <n v="0.95002615000000001"/>
    <m/>
    <n v="54154566.950000003"/>
    <n v="51448255"/>
    <n v="54154566.950000003"/>
    <n v="51448255"/>
    <n v="40294033"/>
    <s v="AMOMPY"/>
    <s v="Momentum Capital Investment S.A."/>
    <s v="25/08/2026"/>
    <s v="25/08/2026"/>
    <n v="30"/>
    <s v="No"/>
    <s v=""/>
    <m/>
    <m/>
    <s v="*MAV261001053"/>
    <s v="*MAV261001053"/>
    <n v="8.4200594544730578E-4"/>
  </r>
  <r>
    <x v="127"/>
    <s v="Pesos"/>
    <d v="2026-10-28T00:00:00"/>
    <s v="25/08/2026"/>
    <n v="0.95002615000000001"/>
    <m/>
    <n v="54154566.950000003"/>
    <n v="51448255"/>
    <n v="54154566.950000003"/>
    <n v="51448255"/>
    <n v="40294032"/>
    <s v="AMOMPY"/>
    <s v="Momentum Capital Investment S.A."/>
    <s v="25/08/2026"/>
    <s v="25/08/2026"/>
    <n v="30"/>
    <s v="No"/>
    <s v=""/>
    <m/>
    <m/>
    <s v="*MAV261001054"/>
    <s v="*MAV261001054"/>
    <n v="8.4200594544730578E-4"/>
  </r>
  <r>
    <x v="116"/>
    <s v="Pesos"/>
    <d v="2026-10-28T00:00:00"/>
    <s v="25/08/2026"/>
    <n v="0.94373786999999998"/>
    <m/>
    <n v="50000000"/>
    <n v="47186893.420000002"/>
    <n v="50000000"/>
    <n v="47186893.420000002"/>
    <n v="377"/>
    <s v="AMOMPY"/>
    <s v="Momentum Capital Investment S.A."/>
    <s v="18/08/2026"/>
    <s v="18/08/2026"/>
    <n v="34"/>
    <s v="No"/>
    <s v=""/>
    <m/>
    <m/>
    <s v="*MAV261001009"/>
    <s v="*MAV261001009"/>
    <n v="7.7226418674118983E-4"/>
  </r>
  <r>
    <x v="196"/>
    <s v="Pesos"/>
    <d v="2026-10-28T00:00:00"/>
    <s v="25/08/2026"/>
    <n v="0.94217877000000005"/>
    <m/>
    <n v="763324.59"/>
    <n v="719188.22"/>
    <n v="763324.59"/>
    <n v="719188.22"/>
    <n v="118472"/>
    <s v="AMOMPY"/>
    <s v="Momentum Capital Investment S.A."/>
    <s v="25/08/2026"/>
    <s v="25/08/2026"/>
    <n v="35"/>
    <s v="No"/>
    <s v=""/>
    <m/>
    <m/>
    <s v="*MAV261001046"/>
    <s v="*MAV261001046"/>
    <n v="1.1770287585762918E-5"/>
  </r>
  <r>
    <x v="131"/>
    <s v="Pesos"/>
    <d v="2026-10-29T00:00:00"/>
    <s v="25/08/2026"/>
    <n v="0.96229905999999998"/>
    <m/>
    <n v="13000000"/>
    <n v="12509887.83"/>
    <n v="13000000"/>
    <n v="12509887.83"/>
    <n v="34114"/>
    <s v="AMOMPY"/>
    <s v="Momentum Capital Investment S.A."/>
    <s v="30/06/2026"/>
    <s v="30/06/2026"/>
    <n v="22"/>
    <s v="No"/>
    <s v=""/>
    <m/>
    <m/>
    <s v="*MAV271001292"/>
    <s v="*MAV271001292"/>
    <n v="2.0473774921499078E-4"/>
  </r>
  <r>
    <x v="214"/>
    <s v="Pesos"/>
    <d v="2026-10-29T00:00:00"/>
    <s v="25/08/2026"/>
    <n v="0.93505837999999997"/>
    <m/>
    <n v="3750000"/>
    <n v="3506468.92"/>
    <n v="3750000"/>
    <n v="3506468.92"/>
    <n v="66918205"/>
    <s v="AMOMPY"/>
    <s v="Momentum Capital Investment S.A."/>
    <s v="13/05/2026"/>
    <s v="13/05/2026"/>
    <n v="39"/>
    <s v="No"/>
    <s v=""/>
    <m/>
    <m/>
    <s v="*MAV271001267"/>
    <s v="*MAV271001267"/>
    <n v="5.7387129615303636E-5"/>
  </r>
  <r>
    <x v="221"/>
    <s v="Pesos"/>
    <d v="2026-10-29T00:00:00"/>
    <s v="25/08/2026"/>
    <n v="0.96894082000000004"/>
    <m/>
    <n v="362000000"/>
    <n v="350756577.49000001"/>
    <n v="362000000"/>
    <n v="350756577.49000001"/>
    <n v="159275"/>
    <s v="AMOMPY"/>
    <s v="Momentum Capital Investment S.A."/>
    <s v="03/08/2026"/>
    <s v="03/08/2026"/>
    <n v="18"/>
    <s v="No"/>
    <s v=""/>
    <m/>
    <m/>
    <s v="#MAV281060019"/>
    <s v="#MAV281060019"/>
    <n v="5.74050808236992E-3"/>
  </r>
  <r>
    <x v="148"/>
    <s v="Pesos"/>
    <d v="2026-10-29T00:00:00"/>
    <s v="25/08/2026"/>
    <n v="0.94928484999999996"/>
    <m/>
    <n v="3000000"/>
    <n v="2847854.55"/>
    <n v="3000000"/>
    <n v="2847854.55"/>
    <n v="3792078"/>
    <s v="AMOMPY"/>
    <s v="Momentum Capital Investment S.A."/>
    <s v="18/08/2026"/>
    <s v="18/08/2026"/>
    <n v="30"/>
    <s v="No"/>
    <s v=""/>
    <m/>
    <m/>
    <s v="*AFB271000007"/>
    <s v="*AFB271000007"/>
    <n v="4.6608198137510425E-5"/>
  </r>
  <r>
    <x v="232"/>
    <s v="Pesos"/>
    <d v="2026-10-29T00:00:00"/>
    <s v="25/08/2026"/>
    <n v="0.94608621999999998"/>
    <m/>
    <n v="100000000"/>
    <n v="94608621.590000004"/>
    <n v="100000000"/>
    <n v="94608621.590000004"/>
    <n v="163"/>
    <s v="AMOMPY"/>
    <s v="Momentum Capital Investment S.A."/>
    <s v="29/07/2026"/>
    <s v="29/07/2026"/>
    <n v="32"/>
    <s v="No"/>
    <s v=""/>
    <m/>
    <m/>
    <s v="*MAV271001384"/>
    <s v="*MAV271001384"/>
    <n v="1.5483716963647133E-3"/>
  </r>
  <r>
    <x v="237"/>
    <s v="Pesos"/>
    <d v="2026-10-29T00:00:00"/>
    <s v="25/08/2026"/>
    <n v="0.94290898000000001"/>
    <m/>
    <n v="4549416.66"/>
    <n v="4289685.84"/>
    <n v="4549416.66"/>
    <n v="4289685.84"/>
    <n v="50456547"/>
    <s v="AMOMPY"/>
    <s v="Momentum Capital Investment S.A."/>
    <s v="15/07/2026"/>
    <s v="15/07/2026"/>
    <n v="34"/>
    <s v="No"/>
    <s v=""/>
    <m/>
    <m/>
    <s v="*MAV271001343"/>
    <s v="*MAV271001343"/>
    <n v="7.0205315639590118E-5"/>
  </r>
  <r>
    <x v="13"/>
    <s v="Pesos"/>
    <d v="2026-10-29T00:00:00"/>
    <s v="25/08/2026"/>
    <n v="0.9525053"/>
    <m/>
    <n v="2500000"/>
    <n v="2381263.25"/>
    <n v="2500000"/>
    <n v="2381263.25"/>
    <n v="90031823"/>
    <s v="AMOMPY"/>
    <s v="Momentum Capital Investment S.A."/>
    <s v="22/04/2026"/>
    <s v="22/04/2026"/>
    <n v="28"/>
    <s v="No"/>
    <s v=""/>
    <m/>
    <m/>
    <s v="*MOV271000069"/>
    <s v="*MOV271000069"/>
    <n v="3.8971930421647425E-5"/>
  </r>
  <r>
    <x v="34"/>
    <s v="Pesos"/>
    <d v="2026-10-29T00:00:00"/>
    <s v="25/08/2026"/>
    <n v="0.94928478999999999"/>
    <m/>
    <n v="6500000"/>
    <n v="6170351.1500000004"/>
    <n v="6500000"/>
    <n v="6170351.1500000004"/>
    <n v="746"/>
    <s v="AMOMPY"/>
    <s v="Momentum Capital Investment S.A."/>
    <s v="08/07/2026"/>
    <s v="08/07/2026"/>
    <n v="30"/>
    <s v="No"/>
    <s v=""/>
    <m/>
    <m/>
    <s v="*MAV271001316"/>
    <s v="*MAV271001316"/>
    <n v="1.0098442316066155E-4"/>
  </r>
  <r>
    <x v="34"/>
    <s v="Pesos"/>
    <d v="2026-10-29T00:00:00"/>
    <s v="25/08/2026"/>
    <n v="0.94928489999999999"/>
    <m/>
    <n v="5000000"/>
    <n v="4746424.5"/>
    <n v="5000000"/>
    <n v="4746424.5"/>
    <n v="796"/>
    <s v="AMOMPY"/>
    <s v="Momentum Capital Investment S.A."/>
    <s v="14/07/2026"/>
    <s v="14/07/2026"/>
    <n v="30"/>
    <s v="No"/>
    <s v=""/>
    <m/>
    <m/>
    <s v="*MAV271001338"/>
    <s v="*MAV271001338"/>
    <n v="7.7680334320702539E-5"/>
  </r>
  <r>
    <x v="34"/>
    <s v="Pesos"/>
    <d v="2026-10-29T00:00:00"/>
    <s v="25/08/2026"/>
    <n v="0.94928500000000005"/>
    <m/>
    <n v="2500000"/>
    <n v="2373212.4900000002"/>
    <n v="2500000"/>
    <n v="2373212.4900000002"/>
    <n v="885"/>
    <s v="AMOMPY"/>
    <s v="Momentum Capital Investment S.A."/>
    <s v="06/08/2026"/>
    <s v="06/08/2026"/>
    <n v="30"/>
    <s v="No"/>
    <s v=""/>
    <m/>
    <m/>
    <s v="*MAV271001403"/>
    <s v="*MAV271001403"/>
    <n v="3.8840171088209017E-5"/>
  </r>
  <r>
    <x v="34"/>
    <s v="Pesos"/>
    <d v="2026-10-29T00:00:00"/>
    <s v="25/08/2026"/>
    <n v="0.94608610999999998"/>
    <m/>
    <n v="3000000"/>
    <n v="2838258.33"/>
    <n v="3000000"/>
    <n v="2838258.33"/>
    <n v="1045"/>
    <s v="AMOMPY"/>
    <s v="Momentum Capital Investment S.A."/>
    <s v="25/08/2026"/>
    <s v="25/08/2026"/>
    <n v="32"/>
    <s v="No"/>
    <s v=""/>
    <m/>
    <m/>
    <s v="*MAV271001463"/>
    <s v="*MAV271001463"/>
    <n v="4.6451145691439706E-5"/>
  </r>
  <r>
    <x v="108"/>
    <s v="Pesos"/>
    <d v="2026-10-29T00:00:00"/>
    <s v="25/08/2026"/>
    <n v="0.94290898000000001"/>
    <m/>
    <n v="1020845.65"/>
    <n v="962564.53"/>
    <n v="1020845.65"/>
    <n v="962564.53"/>
    <n v="2906"/>
    <s v="AMOMPY"/>
    <s v="Momentum Capital Investment S.A."/>
    <s v="15/07/2026"/>
    <s v="15/07/2026"/>
    <n v="34"/>
    <s v="No"/>
    <s v=""/>
    <m/>
    <m/>
    <s v="*MAV271001341"/>
    <s v="*MAV271001341"/>
    <n v="1.5753402270624953E-5"/>
  </r>
  <r>
    <x v="108"/>
    <s v="Pesos"/>
    <d v="2026-10-29T00:00:00"/>
    <s v="25/08/2026"/>
    <n v="0.94290896999999996"/>
    <m/>
    <n v="990902.64"/>
    <n v="934330.99"/>
    <n v="990902.64"/>
    <n v="934330.99"/>
    <n v="2956"/>
    <s v="AMOMPY"/>
    <s v="Momentum Capital Investment S.A."/>
    <s v="15/07/2026"/>
    <s v="15/07/2026"/>
    <n v="34"/>
    <s v="No"/>
    <s v=""/>
    <m/>
    <m/>
    <s v="*MAV271001342"/>
    <s v="*MAV271001342"/>
    <n v="1.5291330067378712E-5"/>
  </r>
  <r>
    <x v="245"/>
    <s v="Pesos"/>
    <d v="2026-10-29T00:00:00"/>
    <s v="25/08/2026"/>
    <n v="0.96894084000000003"/>
    <m/>
    <n v="851000000"/>
    <n v="824568657.82000005"/>
    <n v="851000000"/>
    <n v="824568657.82000005"/>
    <n v="159265"/>
    <s v="AMOMPY"/>
    <s v="Momentum Capital Investment S.A."/>
    <s v="31/07/2026"/>
    <s v="31/07/2026"/>
    <n v="18"/>
    <s v="No"/>
    <s v=""/>
    <m/>
    <m/>
    <s v="#MAV281060018"/>
    <s v="#MAV281060018"/>
    <n v="1.3494951623022883E-2"/>
  </r>
  <r>
    <x v="34"/>
    <s v="Pesos"/>
    <d v="2026-10-29T00:00:00"/>
    <s v="25/08/2026"/>
    <n v="0.94928491000000004"/>
    <m/>
    <n v="10000000"/>
    <n v="9492849.0899999999"/>
    <n v="10000000"/>
    <n v="9492849.0899999999"/>
    <n v="728"/>
    <s v="AMOMPY"/>
    <s v="Momentum Capital Investment S.A."/>
    <s v="30/06/2026"/>
    <s v="30/06/2026"/>
    <n v="30"/>
    <s v="No"/>
    <s v=""/>
    <m/>
    <m/>
    <s v="*MAV271001297"/>
    <s v="*MAV271001297"/>
    <n v="1.5536067011435173E-4"/>
  </r>
  <r>
    <x v="17"/>
    <s v="Pesos"/>
    <d v="2026-10-29T00:00:00"/>
    <s v="25/08/2026"/>
    <n v="0.94290892000000004"/>
    <m/>
    <n v="20000000"/>
    <n v="18858178.370000001"/>
    <n v="20000000"/>
    <n v="18858178.370000001"/>
    <n v="44"/>
    <s v="AMOMPY"/>
    <s v="Momentum Capital Investment S.A."/>
    <s v="28/07/2026"/>
    <s v="28/07/2026"/>
    <n v="34"/>
    <s v="No"/>
    <s v=""/>
    <m/>
    <m/>
    <s v="*MAV271001378"/>
    <s v="*MAV271001378"/>
    <n v="3.0863434158934612E-4"/>
  </r>
  <r>
    <x v="108"/>
    <s v="Pesos"/>
    <d v="2026-10-29T00:00:00"/>
    <s v="25/08/2026"/>
    <n v="0.94449479000000003"/>
    <m/>
    <n v="2502550.36"/>
    <n v="2363645.7799999998"/>
    <n v="2502550.36"/>
    <n v="2363645.7799999998"/>
    <n v="3140"/>
    <s v="AMOMPY"/>
    <s v="Momentum Capital Investment S.A."/>
    <s v="23/07/2026"/>
    <s v="23/07/2026"/>
    <n v="33"/>
    <s v="No"/>
    <s v=""/>
    <m/>
    <m/>
    <s v="*MAV271001362"/>
    <s v="*MAV271001362"/>
    <n v="3.8683601604980278E-5"/>
  </r>
  <r>
    <x v="108"/>
    <s v="Pesos"/>
    <d v="2026-10-29T00:00:00"/>
    <s v="25/08/2026"/>
    <n v="0.94449479000000003"/>
    <m/>
    <n v="2502550.36"/>
    <n v="2363645.7799999998"/>
    <n v="2502550.36"/>
    <n v="2363645.7799999998"/>
    <n v="3130"/>
    <s v="AMOMPY"/>
    <s v="Momentum Capital Investment S.A."/>
    <s v="23/07/2026"/>
    <s v="23/07/2026"/>
    <n v="33"/>
    <s v="No"/>
    <s v=""/>
    <m/>
    <m/>
    <s v="*MAV271001363"/>
    <s v="*MAV271001363"/>
    <n v="3.8683601604980278E-5"/>
  </r>
  <r>
    <x v="139"/>
    <s v="Pesos"/>
    <d v="2026-10-29T00:00:00"/>
    <s v="25/08/2026"/>
    <n v="0.95250526000000002"/>
    <m/>
    <n v="50000000"/>
    <n v="47625262.899999999"/>
    <n v="50000000"/>
    <n v="47625262.899999999"/>
    <n v="68035"/>
    <s v="AMOMPY"/>
    <s v="Momentum Capital Investment S.A."/>
    <s v="14/08/2026"/>
    <s v="14/08/2026"/>
    <n v="28"/>
    <s v="No"/>
    <s v=""/>
    <m/>
    <m/>
    <s v="*MAV271001426"/>
    <s v="*MAV271001426"/>
    <n v="7.7943857406419313E-4"/>
  </r>
  <r>
    <x v="191"/>
    <s v="Pesos"/>
    <d v="2026-10-29T00:00:00"/>
    <s v="25/08/2026"/>
    <n v="0.95250524000000003"/>
    <m/>
    <n v="5225722"/>
    <n v="4977527.5599999996"/>
    <n v="5225722"/>
    <n v="4977527.5599999996"/>
    <n v="3176"/>
    <s v="AMOMPY"/>
    <s v="Momentum Capital Investment S.A."/>
    <s v="10/08/2026"/>
    <s v="10/08/2026"/>
    <n v="28"/>
    <s v="No"/>
    <s v=""/>
    <m/>
    <m/>
    <s v="*MAV271001409"/>
    <s v="*MAV271001409"/>
    <n v="8.1462584088572512E-5"/>
  </r>
  <r>
    <x v="191"/>
    <s v="Pesos"/>
    <d v="2026-10-29T00:00:00"/>
    <s v="25/08/2026"/>
    <n v="0.94608610999999998"/>
    <m/>
    <n v="5444206"/>
    <n v="5150687.68"/>
    <n v="5444206"/>
    <n v="5150687.68"/>
    <n v="3442"/>
    <s v="AMOMPY"/>
    <s v="Momentum Capital Investment S.A."/>
    <s v="25/08/2026"/>
    <s v="25/08/2026"/>
    <n v="32"/>
    <s v="No"/>
    <s v=""/>
    <m/>
    <m/>
    <s v="*MAV271001467"/>
    <s v="*MAV271001467"/>
    <n v="8.4296535416063963E-5"/>
  </r>
  <r>
    <x v="244"/>
    <s v="Pesos"/>
    <d v="2026-10-29T00:00:00"/>
    <s v="25/08/2026"/>
    <n v="0.94290903999999998"/>
    <m/>
    <n v="7000000"/>
    <n v="6600363.2800000003"/>
    <n v="7000000"/>
    <n v="6600363.2800000003"/>
    <n v="69017468"/>
    <s v="AMOMPY"/>
    <s v="Momentum Capital Investment S.A."/>
    <s v="13/08/2026"/>
    <s v="13/08/2026"/>
    <n v="34"/>
    <s v="No"/>
    <s v=""/>
    <m/>
    <m/>
    <s v="*MAV271001423"/>
    <s v="*MAV271001423"/>
    <n v="1.0802203347561702E-4"/>
  </r>
  <r>
    <x v="99"/>
    <s v="Pesos"/>
    <d v="2026-10-29T00:00:00"/>
    <s v="25/08/2026"/>
    <n v="0.94608616999999995"/>
    <m/>
    <n v="10655603.279999999"/>
    <n v="10081118.939999999"/>
    <n v="10655603.279999999"/>
    <n v="10081118.939999999"/>
    <n v="30832"/>
    <s v="AMOMPY"/>
    <s v="Momentum Capital Investment S.A."/>
    <s v="14/07/2026"/>
    <s v="14/07/2026"/>
    <n v="32"/>
    <s v="No"/>
    <s v=""/>
    <m/>
    <m/>
    <s v="*MAV271001336"/>
    <s v="*MAV271001336"/>
    <n v="1.6498833797650553E-4"/>
  </r>
  <r>
    <x v="166"/>
    <s v="Pesos"/>
    <d v="2026-10-29T00:00:00"/>
    <s v="25/08/2026"/>
    <n v="0.94608605999999995"/>
    <m/>
    <n v="15000000"/>
    <n v="14191290.83"/>
    <n v="15000000"/>
    <n v="14191290.83"/>
    <n v="67448999"/>
    <s v="AMOMPY"/>
    <s v="Momentum Capital Investment S.A."/>
    <s v="05/06/2026"/>
    <s v="05/06/2026"/>
    <n v="32"/>
    <s v="No"/>
    <s v=""/>
    <m/>
    <m/>
    <s v="*MAV271001273"/>
    <s v="*MAV271001273"/>
    <n v="2.3225571503701791E-4"/>
  </r>
  <r>
    <x v="232"/>
    <s v="Pesos"/>
    <d v="2026-10-30T00:00:00"/>
    <s v="25/08/2026"/>
    <n v="0.94530214000000001"/>
    <m/>
    <n v="100000000"/>
    <n v="94530214.189999998"/>
    <n v="100000000"/>
    <n v="94530214.189999998"/>
    <n v="164"/>
    <s v="AMOMPY"/>
    <s v="Momentum Capital Investment S.A."/>
    <s v="30/07/2026"/>
    <s v="30/07/2026"/>
    <n v="32"/>
    <s v="No"/>
    <s v=""/>
    <m/>
    <m/>
    <s v="*MAV281001256"/>
    <s v="*MAV281001256"/>
    <n v="1.5470884750588192E-3"/>
  </r>
  <r>
    <x v="181"/>
    <s v="Pesos"/>
    <d v="2026-10-30T00:00:00"/>
    <s v="25/08/2026"/>
    <n v="0.94047926000000004"/>
    <m/>
    <n v="6500000"/>
    <n v="6113115.1799999997"/>
    <n v="6500000"/>
    <n v="6113115.1799999997"/>
    <n v="40773810"/>
    <s v="AMOMPY"/>
    <s v="Momentum Capital Investment S.A."/>
    <s v="18/08/2026"/>
    <s v="18/08/2026"/>
    <n v="35"/>
    <s v="No"/>
    <s v=""/>
    <m/>
    <m/>
    <s v="*MAV281001331"/>
    <s v="*MAV281001331"/>
    <n v="1.0004769504357684E-4"/>
  </r>
  <r>
    <x v="108"/>
    <s v="Pesos"/>
    <d v="2026-10-30T00:00:00"/>
    <s v="25/08/2026"/>
    <n v="0.94368912000000005"/>
    <m/>
    <n v="2502550.36"/>
    <n v="2361629.56"/>
    <n v="2502550.36"/>
    <n v="2361629.56"/>
    <n v="3141"/>
    <s v="AMOMPY"/>
    <s v="Momentum Capital Investment S.A."/>
    <s v="27/07/2026"/>
    <s v="27/07/2026"/>
    <n v="33"/>
    <s v="No"/>
    <s v=""/>
    <m/>
    <m/>
    <s v="*MAV281001238"/>
    <s v="*MAV281001238"/>
    <n v="3.8650603999379663E-5"/>
  </r>
  <r>
    <x v="34"/>
    <s v="Pesos"/>
    <d v="2026-10-30T00:00:00"/>
    <s v="25/08/2026"/>
    <n v="0.94854477000000004"/>
    <m/>
    <n v="5000000"/>
    <n v="4742723.83"/>
    <n v="5000000"/>
    <n v="4742723.83"/>
    <n v="797"/>
    <s v="AMOMPY"/>
    <s v="Momentum Capital Investment S.A."/>
    <s v="14/07/2026"/>
    <s v="14/07/2026"/>
    <n v="30"/>
    <s v="No"/>
    <s v=""/>
    <m/>
    <m/>
    <s v="*MAV281001197"/>
    <s v="*MAV281001197"/>
    <n v="7.7619768881852599E-5"/>
  </r>
  <r>
    <x v="34"/>
    <s v="Pesos"/>
    <d v="2026-10-30T00:00:00"/>
    <s v="25/08/2026"/>
    <n v="0.94854484999999999"/>
    <m/>
    <n v="2500000"/>
    <n v="2371362.13"/>
    <n v="2500000"/>
    <n v="2371362.13"/>
    <n v="886"/>
    <s v="AMOMPY"/>
    <s v="Momentum Capital Investment S.A."/>
    <s v="06/08/2026"/>
    <s v="06/08/2026"/>
    <n v="30"/>
    <s v="No"/>
    <s v=""/>
    <m/>
    <m/>
    <s v="*MAV281001290"/>
    <s v="*MAV281001290"/>
    <n v="3.8809887959632195E-5"/>
  </r>
  <r>
    <x v="34"/>
    <s v="Pesos"/>
    <d v="2026-10-30T00:00:00"/>
    <s v="25/08/2026"/>
    <n v="0.94854490999999996"/>
    <m/>
    <n v="2500000"/>
    <n v="2371362.27"/>
    <n v="2500000"/>
    <n v="2371362.27"/>
    <n v="909"/>
    <s v="AMOMPY"/>
    <s v="Momentum Capital Investment S.A."/>
    <s v="07/08/2026"/>
    <s v="07/08/2026"/>
    <n v="30"/>
    <s v="No"/>
    <s v=""/>
    <m/>
    <m/>
    <s v="*MAV281001300"/>
    <s v="*MAV281001300"/>
    <n v="3.8809890250882548E-5"/>
  </r>
  <r>
    <x v="34"/>
    <s v="Pesos"/>
    <d v="2026-10-30T00:00:00"/>
    <s v="25/08/2026"/>
    <n v="0.943689"/>
    <m/>
    <n v="2500000"/>
    <n v="2359222.4900000002"/>
    <n v="2500000"/>
    <n v="2359222.4900000002"/>
    <n v="1010"/>
    <s v="AMOMPY"/>
    <s v="Momentum Capital Investment S.A."/>
    <s v="19/08/2026"/>
    <s v="19/08/2026"/>
    <n v="33"/>
    <s v="No"/>
    <s v=""/>
    <m/>
    <m/>
    <s v="*MAV281001335"/>
    <s v="*MAV281001335"/>
    <n v="3.8611209713779356E-5"/>
  </r>
  <r>
    <x v="34"/>
    <s v="Pesos"/>
    <d v="2026-10-30T00:00:00"/>
    <s v="25/08/2026"/>
    <n v="0.94530223999999996"/>
    <m/>
    <n v="3000000"/>
    <n v="2835906.72"/>
    <n v="3000000"/>
    <n v="2835906.72"/>
    <n v="1046"/>
    <s v="AMOMPY"/>
    <s v="Momentum Capital Investment S.A."/>
    <s v="25/08/2026"/>
    <s v="25/08/2026"/>
    <n v="32"/>
    <s v="No"/>
    <s v=""/>
    <m/>
    <m/>
    <s v="*MAV281001368"/>
    <s v="*MAV281001368"/>
    <n v="4.6412659068300141E-5"/>
  </r>
  <r>
    <x v="108"/>
    <s v="Pesos"/>
    <d v="2026-10-30T00:00:00"/>
    <s v="25/08/2026"/>
    <n v="0.94208146999999998"/>
    <m/>
    <n v="990902.64"/>
    <n v="933511.02"/>
    <n v="990902.64"/>
    <n v="933511.02"/>
    <n v="2957"/>
    <s v="AMOMPY"/>
    <s v="Momentum Capital Investment S.A."/>
    <s v="15/07/2026"/>
    <s v="15/07/2026"/>
    <n v="34"/>
    <s v="No"/>
    <s v=""/>
    <m/>
    <m/>
    <s v="*MAV281001203"/>
    <s v="*MAV281001203"/>
    <n v="1.5277910377729602E-5"/>
  </r>
  <r>
    <x v="108"/>
    <s v="Pesos"/>
    <d v="2026-10-30T00:00:00"/>
    <s v="25/08/2026"/>
    <n v="0.94208146000000004"/>
    <m/>
    <n v="1020845.65"/>
    <n v="961719.76"/>
    <n v="1020845.65"/>
    <n v="961719.76"/>
    <n v="2907"/>
    <s v="AMOMPY"/>
    <s v="Momentum Capital Investment S.A."/>
    <s v="15/07/2026"/>
    <s v="15/07/2026"/>
    <n v="34"/>
    <s v="No"/>
    <s v=""/>
    <m/>
    <m/>
    <s v="*MAV281001204"/>
    <s v="*MAV281001204"/>
    <n v="1.573957670234211E-5"/>
  </r>
  <r>
    <x v="197"/>
    <s v="Pesos"/>
    <d v="2026-10-30T00:00:00"/>
    <s v="25/08/2026"/>
    <n v="0.93729161000000005"/>
    <m/>
    <n v="15000000"/>
    <n v="14059374.140000001"/>
    <n v="15000000"/>
    <n v="14059374.140000001"/>
    <n v="2591"/>
    <s v="AMOMPY"/>
    <s v="Momentum Capital Investment S.A."/>
    <s v="07/08/2026"/>
    <s v="07/08/2026"/>
    <n v="37"/>
    <s v="No"/>
    <s v=""/>
    <m/>
    <m/>
    <s v="*MAV281001299"/>
    <s v="*MAV281001299"/>
    <n v="2.3009675673447239E-4"/>
  </r>
  <r>
    <x v="108"/>
    <s v="Pesos"/>
    <d v="2026-10-30T00:00:00"/>
    <s v="25/08/2026"/>
    <n v="0.94368907999999996"/>
    <m/>
    <n v="2502550.36"/>
    <n v="2361629.46"/>
    <n v="2502550.36"/>
    <n v="2361629.46"/>
    <n v="3131"/>
    <s v="AMOMPY"/>
    <s v="Momentum Capital Investment S.A."/>
    <s v="23/07/2026"/>
    <s v="23/07/2026"/>
    <n v="33"/>
    <s v="No"/>
    <s v=""/>
    <m/>
    <m/>
    <s v="*MAV281001231"/>
    <s v="*MAV281001231"/>
    <n v="3.8650602362772269E-5"/>
  </r>
  <r>
    <x v="246"/>
    <s v="Pesos"/>
    <d v="2026-10-30T00:00:00"/>
    <s v="25/08/2026"/>
    <n v="0.94208163"/>
    <m/>
    <n v="12000000"/>
    <n v="11304979.59"/>
    <n v="12000000"/>
    <n v="11304979.59"/>
    <n v="14330927"/>
    <s v="AMOMPY"/>
    <s v="Momentum Capital Investment S.A."/>
    <s v="25/08/2026"/>
    <s v="25/08/2026"/>
    <n v="34"/>
    <s v="No"/>
    <s v=""/>
    <m/>
    <m/>
    <s v="*MAV281001371"/>
    <s v="*MAV281001371"/>
    <n v="1.850181318674549E-4"/>
  </r>
  <r>
    <x v="191"/>
    <s v="Pesos"/>
    <d v="2026-10-30T00:00:00"/>
    <s v="25/08/2026"/>
    <n v="0.94530223999999996"/>
    <m/>
    <n v="5444206"/>
    <n v="5146420.13"/>
    <n v="5444206"/>
    <n v="5146420.13"/>
    <n v="3443"/>
    <s v="AMOMPY"/>
    <s v="Momentum Capital Investment S.A."/>
    <s v="25/08/2026"/>
    <s v="25/08/2026"/>
    <n v="32"/>
    <s v="No"/>
    <s v=""/>
    <m/>
    <m/>
    <s v="*MAV281001373"/>
    <s v="*MAV281001373"/>
    <n v="8.4226692377218563E-5"/>
  </r>
  <r>
    <x v="99"/>
    <s v="Pesos"/>
    <d v="2026-10-30T00:00:00"/>
    <s v="25/08/2026"/>
    <n v="0.94530205"/>
    <m/>
    <n v="10655603.279999999"/>
    <n v="10072763.619999999"/>
    <n v="10655603.279999999"/>
    <n v="10072763.619999999"/>
    <n v="30833"/>
    <s v="AMOMPY"/>
    <s v="Momentum Capital Investment S.A."/>
    <s v="14/07/2026"/>
    <s v="14/07/2026"/>
    <n v="32"/>
    <s v="No"/>
    <s v=""/>
    <m/>
    <m/>
    <s v="*MAV281001194"/>
    <s v="*MAV281001194"/>
    <n v="1.6485159419158776E-4"/>
  </r>
  <r>
    <x v="232"/>
    <s v="Pesos"/>
    <d v="2026-11-02T00:00:00"/>
    <s v="25/08/2026"/>
    <n v="0.94295773000000005"/>
    <m/>
    <n v="100000000"/>
    <n v="94295772.989999995"/>
    <n v="100000000"/>
    <n v="94295772.989999995"/>
    <n v="165"/>
    <s v="AMOMPY"/>
    <s v="Momentum Capital Investment S.A."/>
    <s v="30/07/2026"/>
    <s v="30/07/2026"/>
    <n v="32"/>
    <s v="No"/>
    <s v=""/>
    <m/>
    <m/>
    <s v="*MAV291001158"/>
    <s v="*MAV291001158"/>
    <n v="1.5432515930448849E-3"/>
  </r>
  <r>
    <x v="214"/>
    <s v="Pesos"/>
    <d v="2026-11-02T00:00:00"/>
    <s v="25/08/2026"/>
    <n v="0.93133635000000004"/>
    <m/>
    <n v="3750000"/>
    <n v="3492511.33"/>
    <n v="3750000"/>
    <n v="3492511.33"/>
    <n v="66918247"/>
    <s v="AMOMPY"/>
    <s v="Momentum Capital Investment S.A."/>
    <s v="13/05/2026"/>
    <s v="13/05/2026"/>
    <n v="39"/>
    <s v="No"/>
    <s v=""/>
    <m/>
    <m/>
    <s v="*MAV291001079"/>
    <s v="*MAV291001079"/>
    <n v="5.7158698665330394E-5"/>
  </r>
  <r>
    <x v="12"/>
    <s v="Pesos"/>
    <d v="2026-11-02T00:00:00"/>
    <s v="25/08/2026"/>
    <n v="0.95143761999999998"/>
    <m/>
    <n v="15000000"/>
    <n v="14271564.359999999"/>
    <n v="15000000"/>
    <n v="14271564.359999999"/>
    <n v="235"/>
    <s v="AMOMPY"/>
    <s v="Momentum Capital Investment S.A."/>
    <s v="02/07/2026"/>
    <s v="02/07/2026"/>
    <n v="27"/>
    <s v="No"/>
    <s v=""/>
    <m/>
    <m/>
    <s v="*PRO291000023"/>
    <s v="*PRO291000023"/>
    <n v="2.3356947756447471E-4"/>
  </r>
  <r>
    <x v="12"/>
    <s v="Pesos"/>
    <d v="2026-11-02T00:00:00"/>
    <s v="25/08/2026"/>
    <n v="0.95315205999999997"/>
    <m/>
    <n v="15000000"/>
    <n v="14297280.93"/>
    <n v="15000000"/>
    <n v="14297280.93"/>
    <n v="68218060"/>
    <s v="AMOMPY"/>
    <s v="Momentum Capital Investment S.A."/>
    <s v="08/07/2026"/>
    <s v="08/07/2026"/>
    <n v="26"/>
    <s v="No"/>
    <s v=""/>
    <m/>
    <m/>
    <s v="*PRO291000024"/>
    <s v="*PRO291000024"/>
    <n v="2.3399035685059457E-4"/>
  </r>
  <r>
    <x v="12"/>
    <s v="Pesos"/>
    <d v="2026-11-02T00:00:00"/>
    <s v="25/08/2026"/>
    <n v="0.95487248000000002"/>
    <m/>
    <n v="32000000"/>
    <n v="30555919.510000002"/>
    <n v="32000000"/>
    <n v="30555919.510000002"/>
    <n v="5313"/>
    <s v="AMOMPY"/>
    <s v="Momentum Capital Investment S.A."/>
    <s v="16/07/2026"/>
    <s v="16/07/2026"/>
    <n v="25"/>
    <s v="No"/>
    <s v=""/>
    <m/>
    <m/>
    <s v="*PRO291000025"/>
    <s v="*PRO291000025"/>
    <n v="5.0008043802514445E-4"/>
  </r>
  <r>
    <x v="13"/>
    <s v="Pesos"/>
    <d v="2026-11-02T00:00:00"/>
    <s v="25/08/2026"/>
    <n v="0.94972946000000003"/>
    <m/>
    <n v="2500000"/>
    <n v="2374323.66"/>
    <n v="2500000"/>
    <n v="2374323.66"/>
    <n v="90031824"/>
    <s v="AMOMPY"/>
    <s v="Momentum Capital Investment S.A."/>
    <s v="22/04/2026"/>
    <s v="22/04/2026"/>
    <n v="28"/>
    <s v="No"/>
    <s v=""/>
    <m/>
    <m/>
    <s v="*MOV291000063"/>
    <s v="*MOV291000063"/>
    <n v="3.8858356578589646E-5"/>
  </r>
  <r>
    <x v="108"/>
    <s v="Pesos"/>
    <d v="2026-11-02T00:00:00"/>
    <s v="25/08/2026"/>
    <n v="0.94127965999999996"/>
    <m/>
    <n v="2502550.36"/>
    <n v="2355599.75"/>
    <n v="2502550.36"/>
    <n v="2355599.75"/>
    <n v="3132"/>
    <s v="AMOMPY"/>
    <s v="Momentum Capital Investment S.A."/>
    <s v="27/07/2026"/>
    <s v="27/07/2026"/>
    <n v="33"/>
    <s v="No"/>
    <s v=""/>
    <m/>
    <m/>
    <s v="*MAV291001138"/>
    <s v="*MAV291001138"/>
    <n v="3.8551919683071605E-5"/>
  </r>
  <r>
    <x v="108"/>
    <s v="Pesos"/>
    <d v="2026-11-02T00:00:00"/>
    <s v="25/08/2026"/>
    <n v="0.94127965999999996"/>
    <m/>
    <n v="2502550.36"/>
    <n v="2355599.75"/>
    <n v="2502550.36"/>
    <n v="2355599.75"/>
    <n v="3142"/>
    <s v="AMOMPY"/>
    <s v="Momentum Capital Investment S.A."/>
    <s v="27/07/2026"/>
    <s v="27/07/2026"/>
    <n v="33"/>
    <s v="No"/>
    <s v=""/>
    <m/>
    <m/>
    <s v="*MAV291001139"/>
    <s v="*MAV291001139"/>
    <n v="3.8551919683071605E-5"/>
  </r>
  <r>
    <x v="34"/>
    <s v="Pesos"/>
    <d v="2026-11-02T00:00:00"/>
    <s v="25/08/2026"/>
    <n v="0.94633153999999997"/>
    <m/>
    <n v="2500000"/>
    <n v="2365828.84"/>
    <n v="2500000"/>
    <n v="2365828.84"/>
    <n v="887"/>
    <s v="AMOMPY"/>
    <s v="Momentum Capital Investment S.A."/>
    <s v="06/08/2026"/>
    <s v="06/08/2026"/>
    <n v="30"/>
    <s v="No"/>
    <s v=""/>
    <m/>
    <m/>
    <s v="*MAV291001181"/>
    <s v="*MAV291001181"/>
    <n v="3.8719329726357146E-5"/>
  </r>
  <r>
    <x v="34"/>
    <s v="Pesos"/>
    <d v="2026-11-02T00:00:00"/>
    <s v="25/08/2026"/>
    <n v="0.94633140000000004"/>
    <m/>
    <n v="3800000"/>
    <n v="3596059.33"/>
    <n v="3800000"/>
    <n v="3596059.33"/>
    <n v="929"/>
    <s v="AMOMPY"/>
    <s v="Momentum Capital Investment S.A."/>
    <s v="11/08/2026"/>
    <s v="11/08/2026"/>
    <n v="30"/>
    <s v="No"/>
    <s v=""/>
    <m/>
    <m/>
    <s v="*MAV291001196"/>
    <s v="*MAV291001196"/>
    <n v="5.8853372889736592E-5"/>
  </r>
  <r>
    <x v="34"/>
    <s v="Pesos"/>
    <d v="2026-11-02T00:00:00"/>
    <s v="25/08/2026"/>
    <n v="0.94127974000000003"/>
    <m/>
    <n v="2500000"/>
    <n v="2353199.36"/>
    <n v="2500000"/>
    <n v="2353199.36"/>
    <n v="1009"/>
    <s v="AMOMPY"/>
    <s v="Momentum Capital Investment S.A."/>
    <s v="19/08/2026"/>
    <s v="19/08/2026"/>
    <n v="33"/>
    <s v="No"/>
    <s v=""/>
    <m/>
    <m/>
    <s v="*MAV291001215"/>
    <s v="*MAV291001215"/>
    <n v="3.8512634722845213E-5"/>
  </r>
  <r>
    <x v="34"/>
    <s v="Pesos"/>
    <d v="2026-11-02T00:00:00"/>
    <s v="25/08/2026"/>
    <n v="0.94295755999999997"/>
    <m/>
    <n v="3000000"/>
    <n v="2828872.67"/>
    <n v="3000000"/>
    <n v="2828872.67"/>
    <n v="1047"/>
    <s v="AMOMPY"/>
    <s v="Momentum Capital Investment S.A."/>
    <s v="25/08/2026"/>
    <s v="25/08/2026"/>
    <n v="32"/>
    <s v="No"/>
    <s v=""/>
    <m/>
    <m/>
    <s v="*MAV291001238"/>
    <s v="*MAV291001238"/>
    <n v="4.6297539285897921E-5"/>
  </r>
  <r>
    <x v="108"/>
    <s v="Pesos"/>
    <d v="2026-11-02T00:00:00"/>
    <s v="25/08/2026"/>
    <n v="0.93960785000000002"/>
    <m/>
    <n v="1020845.65"/>
    <n v="959194.59"/>
    <n v="1020845.65"/>
    <n v="959194.59"/>
    <n v="2908"/>
    <s v="AMOMPY"/>
    <s v="Momentum Capital Investment S.A."/>
    <s v="15/07/2026"/>
    <s v="15/07/2026"/>
    <n v="34"/>
    <s v="No"/>
    <s v=""/>
    <m/>
    <m/>
    <s v="*MAV291001115"/>
    <s v="*MAV291001115"/>
    <n v="1.5698249583409405E-5"/>
  </r>
  <r>
    <x v="108"/>
    <s v="Pesos"/>
    <d v="2026-11-02T00:00:00"/>
    <s v="25/08/2026"/>
    <n v="0.93960783999999997"/>
    <m/>
    <n v="990902.64"/>
    <n v="931059.89"/>
    <n v="990902.64"/>
    <n v="931059.89"/>
    <n v="2958"/>
    <s v="AMOMPY"/>
    <s v="Momentum Capital Investment S.A."/>
    <s v="15/07/2026"/>
    <s v="15/07/2026"/>
    <n v="34"/>
    <s v="No"/>
    <s v=""/>
    <m/>
    <m/>
    <s v="*MAV291001116"/>
    <s v="*MAV291001116"/>
    <n v="1.523779500291146E-5"/>
  </r>
  <r>
    <x v="191"/>
    <s v="Pesos"/>
    <d v="2026-11-02T00:00:00"/>
    <s v="25/08/2026"/>
    <n v="0.94295755999999997"/>
    <m/>
    <n v="5444206"/>
    <n v="5133655.18"/>
    <n v="5444206"/>
    <n v="5133655.18"/>
    <n v="3444"/>
    <s v="AMOMPY"/>
    <s v="Momentum Capital Investment S.A."/>
    <s v="25/08/2026"/>
    <s v="25/08/2026"/>
    <n v="32"/>
    <s v="No"/>
    <s v=""/>
    <m/>
    <m/>
    <s v="*MAV291001239"/>
    <s v="*MAV291001239"/>
    <n v="8.4017780261669883E-5"/>
  </r>
  <r>
    <x v="87"/>
    <s v="Pesos"/>
    <d v="2026-11-02T00:00:00"/>
    <s v="25/08/2026"/>
    <n v="0.93297914999999998"/>
    <m/>
    <n v="247000000"/>
    <n v="230445851.24000001"/>
    <n v="247000000"/>
    <n v="230445851.24000001"/>
    <n v="70403676"/>
    <s v="AMOMPY"/>
    <s v="Momentum Capital Investment S.A."/>
    <s v="24/08/2026"/>
    <s v="24/08/2026"/>
    <n v="38"/>
    <s v="No"/>
    <s v=""/>
    <m/>
    <m/>
    <s v="*MAV291001226"/>
    <s v="*MAV291001226"/>
    <n v="3.771493840709377E-3"/>
  </r>
  <r>
    <x v="99"/>
    <s v="Pesos"/>
    <d v="2026-11-02T00:00:00"/>
    <s v="25/08/2026"/>
    <n v="0.94295768000000002"/>
    <m/>
    <n v="11829797.539999999"/>
    <n v="11154998.42"/>
    <n v="11829797.539999999"/>
    <n v="11154998.42"/>
    <n v="30888"/>
    <s v="AMOMPY"/>
    <s v="Momentum Capital Investment S.A."/>
    <s v="22/07/2026"/>
    <s v="22/07/2026"/>
    <n v="32"/>
    <s v="No"/>
    <s v=""/>
    <m/>
    <m/>
    <s v="*MAV291001129"/>
    <s v="*MAV291001129"/>
    <n v="1.8256352894953002E-4"/>
  </r>
  <r>
    <x v="99"/>
    <s v="Pesos"/>
    <d v="2026-11-02T00:00:00"/>
    <s v="25/08/2026"/>
    <n v="0.94295762999999999"/>
    <m/>
    <n v="10655603.279999999"/>
    <n v="10047782.439999999"/>
    <n v="10655603.279999999"/>
    <n v="10047782.439999999"/>
    <n v="30834"/>
    <s v="AMOMPY"/>
    <s v="Momentum Capital Investment S.A."/>
    <s v="14/07/2026"/>
    <s v="14/07/2026"/>
    <n v="32"/>
    <s v="No"/>
    <s v=""/>
    <m/>
    <m/>
    <s v="*MAV291001113"/>
    <s v="*MAV291001113"/>
    <n v="1.6444275035258312E-4"/>
  </r>
  <r>
    <x v="247"/>
    <s v="Pesos"/>
    <d v="2026-11-02T00:00:00"/>
    <s v="25/08/2026"/>
    <n v="0.94127972000000004"/>
    <m/>
    <n v="333534247"/>
    <n v="313949022.63"/>
    <n v="333534247"/>
    <n v="313949022.63"/>
    <n v="155636"/>
    <s v="AMOMPY"/>
    <s v="Momentum Capital Investment S.A."/>
    <s v="03/07/2026"/>
    <s v="03/07/2026"/>
    <n v="33"/>
    <s v="No"/>
    <s v=""/>
    <m/>
    <m/>
    <s v="#MAV301060025"/>
    <s v="#MAV301060025"/>
    <n v="5.1381129179567074E-3"/>
  </r>
  <r>
    <x v="131"/>
    <s v="Pesos"/>
    <d v="2026-11-03T00:00:00"/>
    <s v="25/08/2026"/>
    <n v="0.95951635000000002"/>
    <m/>
    <n v="13000000"/>
    <n v="12473712.59"/>
    <n v="13000000"/>
    <n v="12473712.59"/>
    <n v="34115"/>
    <s v="AMOMPY"/>
    <s v="Momentum Capital Investment S.A."/>
    <s v="30/06/2026"/>
    <s v="30/06/2026"/>
    <n v="22"/>
    <s v="No"/>
    <s v=""/>
    <m/>
    <m/>
    <s v="*MAV301001261"/>
    <s v="*MAV301001261"/>
    <n v="2.0414570256233009E-4"/>
  </r>
  <r>
    <x v="240"/>
    <s v="Pesos"/>
    <d v="2026-11-03T00:00:00"/>
    <s v="25/08/2026"/>
    <n v="0.94217885999999995"/>
    <m/>
    <n v="6714705.04"/>
    <n v="6326453.1399999997"/>
    <n v="6714705.04"/>
    <n v="6326453.1399999997"/>
    <n v="198202"/>
    <s v="AMOMPY"/>
    <s v="Momentum Capital Investment S.A."/>
    <s v="25/08/2026"/>
    <s v="25/08/2026"/>
    <n v="32"/>
    <s v="No"/>
    <s v=""/>
    <m/>
    <m/>
    <s v="*MAV301001554"/>
    <s v="*MAV301001554"/>
    <n v="1.035391998712838E-4"/>
  </r>
  <r>
    <x v="199"/>
    <s v="Pesos"/>
    <d v="2026-11-03T00:00:00"/>
    <s v="25/08/2026"/>
    <n v="0.94047937000000004"/>
    <m/>
    <n v="1655023.2"/>
    <n v="1556515.18"/>
    <n v="1655023.2"/>
    <n v="1556515.18"/>
    <n v="610"/>
    <s v="AMOMPY"/>
    <s v="Momentum Capital Investment S.A."/>
    <s v="02/06/2026"/>
    <s v="02/06/2026"/>
    <n v="33"/>
    <s v="No"/>
    <s v=""/>
    <m/>
    <m/>
    <s v="*MAV301001239"/>
    <s v="*MAV301001239"/>
    <n v="2.5474042525620809E-5"/>
  </r>
  <r>
    <x v="199"/>
    <s v="Pesos"/>
    <d v="2026-11-03T00:00:00"/>
    <s v="25/08/2026"/>
    <n v="0.94047935999999999"/>
    <m/>
    <n v="3772034.12"/>
    <n v="3547520.23"/>
    <n v="3772034.12"/>
    <n v="3547520.23"/>
    <n v="639"/>
    <s v="AMOMPY"/>
    <s v="Momentum Capital Investment S.A."/>
    <s v="02/06/2026"/>
    <s v="02/06/2026"/>
    <n v="33"/>
    <s v="No"/>
    <s v=""/>
    <m/>
    <m/>
    <s v="*MAV301001240"/>
    <s v="*MAV301001240"/>
    <n v="5.8058978390124091E-5"/>
  </r>
  <r>
    <x v="62"/>
    <s v="Pesos"/>
    <d v="2026-11-03T00:00:00"/>
    <s v="25/08/2026"/>
    <n v="0.95076844999999999"/>
    <m/>
    <n v="110000000"/>
    <n v="104584529.13"/>
    <n v="110000000"/>
    <n v="104584529.13"/>
    <n v="377"/>
    <s v="AMOMPY"/>
    <s v="Momentum Capital Investment S.A."/>
    <s v="06/07/2026"/>
    <s v="06/07/2026"/>
    <n v="27"/>
    <s v="No"/>
    <s v=""/>
    <m/>
    <m/>
    <s v="*FID301000039"/>
    <s v="*FID301000039"/>
    <n v="1.7116381367894196E-3"/>
  </r>
  <r>
    <x v="228"/>
    <s v="Pesos"/>
    <d v="2026-11-03T00:00:00"/>
    <s v="25/08/2026"/>
    <n v="0.94217870000000004"/>
    <m/>
    <n v="3517425"/>
    <n v="3314042.92"/>
    <n v="3517425"/>
    <n v="3314042.92"/>
    <n v="67525725"/>
    <s v="AMOMPY"/>
    <s v="Momentum Capital Investment S.A."/>
    <s v="12/06/2026"/>
    <s v="12/06/2026"/>
    <n v="32"/>
    <s v="No"/>
    <s v=""/>
    <m/>
    <m/>
    <s v="*MAV301001250"/>
    <s v="*MAV301001250"/>
    <n v="5.4237871471200531E-5"/>
  </r>
  <r>
    <x v="10"/>
    <s v="Pesos"/>
    <d v="2026-11-03T00:00:00"/>
    <s v="25/08/2026"/>
    <n v="0.94559603999999997"/>
    <m/>
    <n v="25000000"/>
    <n v="23639901.050000001"/>
    <n v="25000000"/>
    <n v="23639901.050000001"/>
    <n v="12742279"/>
    <s v="AMOMPY"/>
    <s v="Momentum Capital Investment S.A."/>
    <s v="14/08/2026"/>
    <s v="14/08/2026"/>
    <n v="30"/>
    <s v="No"/>
    <s v=""/>
    <m/>
    <m/>
    <s v="*MIL301000040"/>
    <s v="*MIL301000040"/>
    <n v="3.8689236853389894E-4"/>
  </r>
  <r>
    <x v="10"/>
    <s v="Pesos"/>
    <d v="2026-11-03T00:00:00"/>
    <s v="25/08/2026"/>
    <n v="0.95250524000000003"/>
    <m/>
    <n v="15000000"/>
    <n v="14287578.6"/>
    <n v="15000000"/>
    <n v="14287578.6"/>
    <n v="9621093"/>
    <s v="AMOMPY"/>
    <s v="Momentum Capital Investment S.A."/>
    <s v="17/07/2026"/>
    <s v="17/07/2026"/>
    <n v="26"/>
    <s v="No"/>
    <s v=""/>
    <m/>
    <m/>
    <s v="*MIL301000034"/>
    <s v="*MIL301000034"/>
    <n v="2.33831567800418E-4"/>
  </r>
  <r>
    <x v="10"/>
    <s v="Pesos"/>
    <d v="2026-11-03T00:00:00"/>
    <s v="25/08/2026"/>
    <n v="0.95076848999999997"/>
    <m/>
    <n v="10000000"/>
    <n v="9507684.8699999992"/>
    <n v="10000000"/>
    <n v="9507684.8699999992"/>
    <n v="2013"/>
    <s v="AMOMPY"/>
    <s v="Momentum Capital Investment S.A."/>
    <s v="07/07/2026"/>
    <s v="07/07/2026"/>
    <n v="27"/>
    <s v="No"/>
    <s v=""/>
    <m/>
    <m/>
    <s v="*MIL301000033"/>
    <s v="*MIL301000033"/>
    <n v="1.5560347358679891E-4"/>
  </r>
  <r>
    <x v="108"/>
    <s v="Pesos"/>
    <d v="2026-11-03T00:00:00"/>
    <s v="25/08/2026"/>
    <n v="0.94047944000000006"/>
    <m/>
    <n v="2502550.36"/>
    <n v="2353597.16"/>
    <n v="2502550.36"/>
    <n v="2353597.16"/>
    <n v="3143"/>
    <s v="AMOMPY"/>
    <s v="Momentum Capital Investment S.A."/>
    <s v="27/07/2026"/>
    <s v="27/07/2026"/>
    <n v="33"/>
    <s v="No"/>
    <s v=""/>
    <m/>
    <m/>
    <s v="*MAV301001349"/>
    <s v="*MAV301001349"/>
    <n v="3.8519145147058809E-5"/>
  </r>
  <r>
    <x v="108"/>
    <s v="Pesos"/>
    <d v="2026-11-03T00:00:00"/>
    <s v="25/08/2026"/>
    <n v="0.94047944000000006"/>
    <m/>
    <n v="2502550.36"/>
    <n v="2353597.16"/>
    <n v="2502550.36"/>
    <n v="2353597.16"/>
    <n v="3133"/>
    <s v="AMOMPY"/>
    <s v="Momentum Capital Investment S.A."/>
    <s v="27/07/2026"/>
    <s v="27/07/2026"/>
    <n v="33"/>
    <s v="No"/>
    <s v=""/>
    <m/>
    <m/>
    <s v="*MAV301001350"/>
    <s v="*MAV301001350"/>
    <n v="3.8519145147058809E-5"/>
  </r>
  <r>
    <x v="108"/>
    <s v="Pesos"/>
    <d v="2026-11-03T00:00:00"/>
    <s v="25/08/2026"/>
    <n v="0.93878614000000005"/>
    <m/>
    <n v="990902.64"/>
    <n v="930245.66"/>
    <n v="990902.64"/>
    <n v="930245.66"/>
    <n v="2959"/>
    <s v="AMOMPY"/>
    <s v="Momentum Capital Investment S.A."/>
    <s v="15/07/2026"/>
    <s v="15/07/2026"/>
    <n v="34"/>
    <s v="No"/>
    <s v=""/>
    <m/>
    <m/>
    <s v="*MAV301001301"/>
    <s v="*MAV301001301"/>
    <n v="1.5224469254526768E-5"/>
  </r>
  <r>
    <x v="108"/>
    <s v="Pesos"/>
    <d v="2026-11-03T00:00:00"/>
    <s v="25/08/2026"/>
    <n v="0.93878611000000001"/>
    <m/>
    <n v="1020845.65"/>
    <n v="958355.72"/>
    <n v="1020845.65"/>
    <n v="958355.72"/>
    <n v="2909"/>
    <s v="AMOMPY"/>
    <s v="Momentum Capital Investment S.A."/>
    <s v="15/07/2026"/>
    <s v="15/07/2026"/>
    <n v="34"/>
    <s v="No"/>
    <s v=""/>
    <m/>
    <m/>
    <s v="*MAV301001302"/>
    <s v="*MAV301001302"/>
    <n v="1.5684520574962814E-5"/>
  </r>
  <r>
    <x v="197"/>
    <s v="Pesos"/>
    <d v="2026-11-03T00:00:00"/>
    <s v="25/08/2026"/>
    <n v="0.93374287"/>
    <m/>
    <n v="15000000"/>
    <n v="14006143.109999999"/>
    <n v="15000000"/>
    <n v="14006143.109999999"/>
    <n v="2592"/>
    <s v="AMOMPY"/>
    <s v="Momentum Capital Investment S.A."/>
    <s v="07/08/2026"/>
    <s v="07/08/2026"/>
    <n v="37"/>
    <s v="No"/>
    <s v=""/>
    <m/>
    <m/>
    <s v="*MAV301001427"/>
    <s v="*MAV301001427"/>
    <n v="2.2922557376155552E-4"/>
  </r>
  <r>
    <x v="126"/>
    <s v="Pesos"/>
    <d v="2026-11-03T00:00:00"/>
    <s v="25/08/2026"/>
    <n v="0.94217868999999999"/>
    <m/>
    <n v="50000000"/>
    <n v="47108934.490000002"/>
    <n v="50000000"/>
    <n v="47108934.490000002"/>
    <n v="5166"/>
    <s v="AMOMPY"/>
    <s v="Momentum Capital Investment S.A."/>
    <s v="12/08/2026"/>
    <s v="12/08/2026"/>
    <n v="32"/>
    <s v="No"/>
    <s v=""/>
    <m/>
    <m/>
    <s v="*MAV301001464"/>
    <s v="*MAV301001464"/>
    <n v="7.709883051284761E-4"/>
  </r>
  <r>
    <x v="17"/>
    <s v="Pesos"/>
    <d v="2026-11-03T00:00:00"/>
    <s v="25/08/2026"/>
    <n v="0.93878616000000004"/>
    <m/>
    <n v="20000000"/>
    <n v="18775723.210000001"/>
    <n v="20000000"/>
    <n v="18775723.210000001"/>
    <n v="58"/>
    <s v="AMOMPY"/>
    <s v="Momentum Capital Investment S.A."/>
    <s v="30/07/2026"/>
    <s v="30/07/2026"/>
    <n v="34"/>
    <s v="No"/>
    <s v=""/>
    <m/>
    <m/>
    <s v="*MAV301001368"/>
    <s v="*MAV301001368"/>
    <n v="3.0728487434399814E-4"/>
  </r>
  <r>
    <x v="85"/>
    <s v="Pesos"/>
    <d v="2026-11-03T00:00:00"/>
    <s v="25/08/2026"/>
    <n v="0.94559587000000001"/>
    <m/>
    <n v="4957748.6399999997"/>
    <n v="4688026.63"/>
    <n v="4957748.6399999997"/>
    <n v="4688026.63"/>
    <n v="68735252"/>
    <s v="AMOMPY"/>
    <s v="Momentum Capital Investment S.A."/>
    <s v="04/08/2026"/>
    <s v="04/08/2026"/>
    <n v="30"/>
    <s v="No"/>
    <s v=""/>
    <m/>
    <m/>
    <s v="*MAV301001397"/>
    <s v="*MAV301001397"/>
    <n v="7.6724590462306198E-5"/>
  </r>
  <r>
    <x v="248"/>
    <s v="Pesos"/>
    <d v="2026-11-03T00:00:00"/>
    <s v="25/08/2026"/>
    <n v="0.94559599000000005"/>
    <m/>
    <n v="12000000"/>
    <n v="11347151.82"/>
    <n v="12000000"/>
    <n v="11347151.82"/>
    <n v="374"/>
    <s v="AMOMPY"/>
    <s v="Momentum Capital Investment S.A."/>
    <s v="06/08/2026"/>
    <s v="06/08/2026"/>
    <n v="30"/>
    <s v="No"/>
    <s v=""/>
    <m/>
    <m/>
    <s v="*MAV301001422"/>
    <s v="*MAV301001422"/>
    <n v="1.857083257018769E-4"/>
  </r>
  <r>
    <x v="191"/>
    <s v="Pesos"/>
    <d v="2026-11-03T00:00:00"/>
    <s v="25/08/2026"/>
    <n v="0.94217885999999995"/>
    <m/>
    <n v="5444206"/>
    <n v="5129415.8"/>
    <n v="5444206"/>
    <n v="5129415.8"/>
    <n v="3445"/>
    <s v="AMOMPY"/>
    <s v="Momentum Capital Investment S.A."/>
    <s v="25/08/2026"/>
    <s v="25/08/2026"/>
    <n v="32"/>
    <s v="No"/>
    <s v=""/>
    <m/>
    <m/>
    <s v="*MAV301001555"/>
    <s v="*MAV301001555"/>
    <n v="8.3948398255127379E-5"/>
  </r>
  <r>
    <x v="249"/>
    <s v="Pesos"/>
    <d v="2026-11-03T00:00:00"/>
    <s v="25/08/2026"/>
    <n v="0.94047930999999996"/>
    <m/>
    <n v="44921898.869999997"/>
    <n v="42248116.25"/>
    <n v="44921898.869999997"/>
    <n v="42248116.25"/>
    <n v="72662198"/>
    <s v="AMOMPY"/>
    <s v="Momentum Capital Investment S.A."/>
    <s v="19/08/2026"/>
    <s v="19/08/2026"/>
    <n v="33"/>
    <s v="No"/>
    <s v=""/>
    <m/>
    <m/>
    <s v="*MAV301001501"/>
    <s v="*MAV301001501"/>
    <n v="6.9143579440058623E-4"/>
  </r>
  <r>
    <x v="152"/>
    <s v="Pesos"/>
    <d v="2026-11-03T00:00:00"/>
    <s v="25/08/2026"/>
    <n v="0.94217881999999997"/>
    <m/>
    <n v="200000000"/>
    <n v="188435764.5"/>
    <n v="200000000"/>
    <n v="188435764.5"/>
    <n v="9779581"/>
    <s v="AMOMPY"/>
    <s v="Momentum Capital Investment S.A."/>
    <s v="21/08/2026"/>
    <s v="21/08/2026"/>
    <n v="32"/>
    <s v="No"/>
    <s v=""/>
    <m/>
    <m/>
    <s v="*MAV301001538"/>
    <s v="*MAV301001538"/>
    <n v="3.0839536548695067E-3"/>
  </r>
  <r>
    <x v="152"/>
    <s v="Pesos"/>
    <d v="2026-11-03T00:00:00"/>
    <s v="25/08/2026"/>
    <n v="0.94559594999999996"/>
    <m/>
    <n v="100000000"/>
    <n v="94559595.439999998"/>
    <n v="100000000"/>
    <n v="94559595.439999998"/>
    <n v="6716"/>
    <s v="AMOMPY"/>
    <s v="Momentum Capital Investment S.A."/>
    <s v="15/07/2026"/>
    <s v="15/07/2026"/>
    <n v="30"/>
    <s v="No"/>
    <s v=""/>
    <m/>
    <m/>
    <s v="*MAV301001299"/>
    <s v="*MAV301001299"/>
    <n v="1.547569330768788E-3"/>
  </r>
  <r>
    <x v="250"/>
    <s v="Pesos"/>
    <d v="2026-11-03T00:00:00"/>
    <s v="25/08/2026"/>
    <n v="0.94217885999999995"/>
    <m/>
    <n v="43185942.649999999"/>
    <n v="40688882.210000001"/>
    <n v="43185942.649999999"/>
    <n v="40688882.210000001"/>
    <n v="40085351"/>
    <s v="AMOMPY"/>
    <s v="Momentum Capital Investment S.A."/>
    <s v="25/08/2026"/>
    <s v="25/08/2026"/>
    <n v="32"/>
    <s v="No"/>
    <s v=""/>
    <m/>
    <m/>
    <s v="*MAV301001556"/>
    <s v="*MAV301001556"/>
    <n v="6.6591725481117121E-4"/>
  </r>
  <r>
    <x v="99"/>
    <s v="Pesos"/>
    <d v="2026-11-03T00:00:00"/>
    <s v="25/08/2026"/>
    <n v="0.94217872000000003"/>
    <m/>
    <n v="11829797.539999999"/>
    <n v="11145783.550000001"/>
    <n v="11829797.539999999"/>
    <n v="11145783.550000001"/>
    <n v="30889"/>
    <s v="AMOMPY"/>
    <s v="Momentum Capital Investment S.A."/>
    <s v="22/07/2026"/>
    <s v="22/07/2026"/>
    <n v="32"/>
    <s v="No"/>
    <s v=""/>
    <m/>
    <m/>
    <s v="*MAV301001333"/>
    <s v="*MAV301001333"/>
    <n v="1.8241271770575658E-4"/>
  </r>
  <r>
    <x v="99"/>
    <s v="Pesos"/>
    <d v="2026-11-03T00:00:00"/>
    <s v="25/08/2026"/>
    <n v="0.94217872000000003"/>
    <m/>
    <n v="16498838.289999999"/>
    <n v="15544854.4"/>
    <n v="16498838.289999999"/>
    <n v="15544854.4"/>
    <n v="30845"/>
    <s v="AMOMPY"/>
    <s v="Momentum Capital Investment S.A."/>
    <s v="22/07/2026"/>
    <s v="22/07/2026"/>
    <n v="32"/>
    <s v="No"/>
    <s v=""/>
    <m/>
    <m/>
    <s v="*MAV301001334"/>
    <s v="*MAV301001334"/>
    <n v="2.5440823650700519E-4"/>
  </r>
  <r>
    <x v="99"/>
    <s v="Pesos"/>
    <d v="2026-11-03T00:00:00"/>
    <s v="25/08/2026"/>
    <n v="0.94217868000000005"/>
    <m/>
    <n v="10655603.279999999"/>
    <n v="10039482.26"/>
    <n v="10655603.279999999"/>
    <n v="10039482.26"/>
    <n v="30835"/>
    <s v="AMOMPY"/>
    <s v="Momentum Capital Investment S.A."/>
    <s v="14/07/2026"/>
    <s v="14/07/2026"/>
    <n v="32"/>
    <s v="No"/>
    <s v=""/>
    <m/>
    <m/>
    <s v="*MAV301001295"/>
    <s v="*MAV301001295"/>
    <n v="1.6430690899298244E-4"/>
  </r>
  <r>
    <x v="251"/>
    <s v="Pesos"/>
    <d v="2026-11-03T00:00:00"/>
    <s v="25/08/2026"/>
    <n v="0.93709889999999996"/>
    <m/>
    <n v="10867742.35"/>
    <n v="10184149.369999999"/>
    <n v="10867742.35"/>
    <n v="10184149.369999999"/>
    <n v="40603614"/>
    <s v="AMOMPY"/>
    <s v="Momentum Capital Investment S.A."/>
    <s v="03/07/2026"/>
    <s v="03/07/2026"/>
    <n v="35"/>
    <s v="No"/>
    <s v=""/>
    <m/>
    <m/>
    <s v="*MAV301001275"/>
    <s v="*MAV301001275"/>
    <n v="1.6667454161202228E-4"/>
  </r>
  <r>
    <x v="131"/>
    <s v="Pesos"/>
    <d v="2026-11-04T00:00:00"/>
    <s v="25/08/2026"/>
    <n v="0.95362519999999995"/>
    <m/>
    <n v="12000000"/>
    <n v="11443502.380000001"/>
    <n v="12000000"/>
    <n v="11443502.380000001"/>
    <n v="34562"/>
    <s v="AMOMPY"/>
    <s v="Momentum Capital Investment S.A."/>
    <s v="31/07/2026"/>
    <s v="31/07/2026"/>
    <n v="25"/>
    <s v="No"/>
    <s v=""/>
    <m/>
    <m/>
    <s v="*MAV011101206"/>
    <s v="*MAV011101206"/>
    <n v="1.8728520609105975E-4"/>
  </r>
  <r>
    <x v="137"/>
    <s v="Dolar 3500"/>
    <d v="2026-11-04T00:00:00"/>
    <s v="25/08/2026"/>
    <n v="0.98467680000000002"/>
    <s v="1 US3 = 1511,5325398191 $"/>
    <n v="500000"/>
    <n v="492338.4"/>
    <n v="755766269.90999997"/>
    <n v="744185512.20000005"/>
    <n v="152502"/>
    <s v="AMOMPY"/>
    <s v="Momentum Capital Investment S.A."/>
    <s v="04/06/2026"/>
    <s v="04/06/2026"/>
    <n v="8"/>
    <s v="No"/>
    <s v=""/>
    <m/>
    <m/>
    <s v="#UMV021160025"/>
    <s v="#UMV021160025"/>
    <n v="1.21793951182241E-2"/>
  </r>
  <r>
    <x v="214"/>
    <s v="Pesos"/>
    <d v="2026-11-04T00:00:00"/>
    <s v="25/08/2026"/>
    <n v="0.93796592999999995"/>
    <m/>
    <n v="6200000"/>
    <n v="5815388.79"/>
    <n v="6200000"/>
    <n v="5815388.79"/>
    <n v="69261880"/>
    <s v="AMOMPY"/>
    <s v="Momentum Capital Investment S.A."/>
    <s v="25/08/2026"/>
    <s v="25/08/2026"/>
    <n v="34"/>
    <s v="No"/>
    <s v=""/>
    <m/>
    <m/>
    <s v="*MAV311001752"/>
    <s v="*MAV311001752"/>
    <n v="9.517508293075468E-5"/>
  </r>
  <r>
    <x v="32"/>
    <s v="Pesos"/>
    <d v="2026-11-04T00:00:00"/>
    <s v="25/08/2026"/>
    <n v="0.94140115999999996"/>
    <m/>
    <n v="2558197.12"/>
    <n v="2408289.73"/>
    <n v="2558197.12"/>
    <n v="2408289.73"/>
    <n v="356"/>
    <s v="AMOMPY"/>
    <s v="Momentum Capital Investment S.A."/>
    <s v="31/07/2026"/>
    <s v="31/07/2026"/>
    <n v="32"/>
    <s v="No"/>
    <s v=""/>
    <m/>
    <m/>
    <s v="*MAV311001647"/>
    <s v="*MAV311001647"/>
    <n v="3.9414247791682862E-5"/>
  </r>
  <r>
    <x v="95"/>
    <s v="Dolar 3500"/>
    <d v="2026-11-04T00:00:00"/>
    <s v="25/08/2026"/>
    <n v="0.98467700000000002"/>
    <s v="1 US3 = 1511,5325398191 $"/>
    <n v="50000"/>
    <n v="49233.85"/>
    <n v="75576626.989999995"/>
    <n v="74418566.340000004"/>
    <n v="158025"/>
    <s v="AMOMPY"/>
    <s v="Momentum Capital Investment S.A."/>
    <s v="23/07/2026"/>
    <s v="23/07/2026"/>
    <n v="8"/>
    <s v="No"/>
    <s v=""/>
    <m/>
    <m/>
    <s v="#UMV011160007"/>
    <s v="#UMV011160007"/>
    <n v="1.2179397592774479E-3"/>
  </r>
  <r>
    <x v="96"/>
    <s v="Dolar 3500"/>
    <d v="2026-11-04T00:00:00"/>
    <s v="25/08/2026"/>
    <n v="0.9827939"/>
    <s v="1 US3 = 1511,5325398191 $"/>
    <n v="100000"/>
    <n v="98279.39"/>
    <n v="151153253.97999999"/>
    <n v="148552495.97999999"/>
    <n v="155821"/>
    <s v="AMOMPY"/>
    <s v="Momentum Capital Investment S.A."/>
    <s v="02/07/2026"/>
    <s v="02/07/2026"/>
    <n v="9"/>
    <s v="No"/>
    <s v=""/>
    <m/>
    <m/>
    <s v="#UMV021160028"/>
    <s v="#UMV021160028"/>
    <n v="2.4312211332764735E-3"/>
  </r>
  <r>
    <x v="97"/>
    <s v="Dolar 3500"/>
    <d v="2026-11-04T00:00:00"/>
    <s v="25/08/2026"/>
    <n v="0.98467687000000004"/>
    <s v="1 US3 = 1511,5325398191 $"/>
    <n v="188100"/>
    <n v="185217.72"/>
    <n v="284319270.74000001"/>
    <n v="279962610.73000002"/>
    <n v="160722"/>
    <s v="AMOMPY"/>
    <s v="Momentum Capital Investment S.A."/>
    <s v="12/08/2026"/>
    <s v="12/08/2026"/>
    <n v="8"/>
    <s v="No"/>
    <s v=""/>
    <m/>
    <m/>
    <s v="#UMV021160035"/>
    <s v="#UMV021160035"/>
    <n v="4.5818887878239936E-3"/>
  </r>
  <r>
    <x v="83"/>
    <s v="Pesos"/>
    <d v="2026-11-04T00:00:00"/>
    <s v="25/08/2026"/>
    <n v="0.93968032000000001"/>
    <m/>
    <n v="2000000"/>
    <n v="1879360.64"/>
    <n v="2000000"/>
    <n v="1879360.64"/>
    <n v="42"/>
    <s v="AMOMPY"/>
    <s v="Momentum Capital Investment S.A."/>
    <s v="13/08/2026"/>
    <s v="13/08/2026"/>
    <n v="33"/>
    <s v="No"/>
    <s v=""/>
    <m/>
    <m/>
    <s v="*MAV311001718"/>
    <s v="*MAV311001718"/>
    <n v="3.0757755195383276E-5"/>
  </r>
  <r>
    <x v="47"/>
    <s v="Pesos"/>
    <d v="2026-11-04T00:00:00"/>
    <s v="25/08/2026"/>
    <n v="0.93796584999999999"/>
    <m/>
    <n v="10000000"/>
    <n v="9379658.5099999998"/>
    <n v="10000000"/>
    <n v="9379658.5099999998"/>
    <n v="14284512"/>
    <s v="AMOMPY"/>
    <s v="Momentum Capital Investment S.A."/>
    <s v="24/08/2026"/>
    <s v="24/08/2026"/>
    <n v="34"/>
    <s v="No"/>
    <s v=""/>
    <m/>
    <m/>
    <s v="*MAV021100898"/>
    <s v="*MAV021100898"/>
    <n v="1.5350818471268691E-4"/>
  </r>
  <r>
    <x v="10"/>
    <s v="Pesos"/>
    <d v="2026-11-04T00:00:00"/>
    <s v="25/08/2026"/>
    <n v="0.94486163000000001"/>
    <m/>
    <n v="11000000"/>
    <n v="10393477.949999999"/>
    <n v="11000000"/>
    <n v="10393477.949999999"/>
    <n v="10679147"/>
    <s v="AMOMPY"/>
    <s v="Momentum Capital Investment S.A."/>
    <s v="14/08/2026"/>
    <s v="14/08/2026"/>
    <n v="30"/>
    <s v="No"/>
    <s v=""/>
    <m/>
    <m/>
    <s v="*MIL021100019"/>
    <s v="*MIL021100019"/>
    <n v="1.7010042863019309E-4"/>
  </r>
  <r>
    <x v="34"/>
    <s v="Pesos"/>
    <d v="2026-11-04T00:00:00"/>
    <s v="25/08/2026"/>
    <n v="0.93968048999999998"/>
    <m/>
    <n v="2500000"/>
    <n v="2349201.23"/>
    <n v="2500000"/>
    <n v="2349201.23"/>
    <n v="1014"/>
    <s v="AMOMPY"/>
    <s v="Momentum Capital Investment S.A."/>
    <s v="19/08/2026"/>
    <s v="19/08/2026"/>
    <n v="33"/>
    <s v="No"/>
    <s v=""/>
    <m/>
    <m/>
    <s v="*MAV021100886"/>
    <s v="*MAV021100886"/>
    <n v="3.8447201031640892E-5"/>
  </r>
  <r>
    <x v="34"/>
    <s v="Pesos"/>
    <d v="2026-11-04T00:00:00"/>
    <s v="25/08/2026"/>
    <n v="0.94140117000000001"/>
    <m/>
    <n v="3000000"/>
    <n v="2824203.5"/>
    <n v="3000000"/>
    <n v="2824203.5"/>
    <n v="1048"/>
    <s v="AMOMPY"/>
    <s v="Momentum Capital Investment S.A."/>
    <s v="25/08/2026"/>
    <s v="25/08/2026"/>
    <n v="32"/>
    <s v="No"/>
    <s v=""/>
    <m/>
    <m/>
    <s v="*MAV021100906"/>
    <s v="*MAV021100906"/>
    <n v="4.6221123304436469E-5"/>
  </r>
  <r>
    <x v="108"/>
    <s v="Pesos"/>
    <d v="2026-11-04T00:00:00"/>
    <s v="25/08/2026"/>
    <n v="0.93796584000000005"/>
    <m/>
    <n v="990902.64"/>
    <n v="929432.83"/>
    <n v="990902.64"/>
    <n v="929432.83"/>
    <n v="2960"/>
    <s v="AMOMPY"/>
    <s v="Momentum Capital Investment S.A."/>
    <s v="15/07/2026"/>
    <s v="15/07/2026"/>
    <n v="34"/>
    <s v="No"/>
    <s v=""/>
    <m/>
    <m/>
    <s v="*MAV311001612"/>
    <s v="*MAV311001612"/>
    <n v="1.521116641864559E-5"/>
  </r>
  <r>
    <x v="108"/>
    <s v="Pesos"/>
    <d v="2026-11-04T00:00:00"/>
    <s v="25/08/2026"/>
    <n v="0.93796581999999995"/>
    <m/>
    <n v="1020845.65"/>
    <n v="957518.33"/>
    <n v="1020845.65"/>
    <n v="957518.33"/>
    <n v="2910"/>
    <s v="AMOMPY"/>
    <s v="Momentum Capital Investment S.A."/>
    <s v="15/07/2026"/>
    <s v="15/07/2026"/>
    <n v="34"/>
    <s v="No"/>
    <s v=""/>
    <m/>
    <m/>
    <s v="*MAV311001613"/>
    <s v="*MAV311001613"/>
    <n v="1.5670815788305656E-5"/>
  </r>
  <r>
    <x v="197"/>
    <s v="Pesos"/>
    <d v="2026-11-04T00:00:00"/>
    <s v="25/08/2026"/>
    <n v="0.93285982000000001"/>
    <m/>
    <n v="25000000"/>
    <n v="23321495.530000001"/>
    <n v="25000000"/>
    <n v="23321495.530000001"/>
    <n v="2593"/>
    <s v="AMOMPY"/>
    <s v="Momentum Capital Investment S.A."/>
    <s v="07/08/2026"/>
    <s v="07/08/2026"/>
    <n v="37"/>
    <s v="No"/>
    <s v=""/>
    <m/>
    <m/>
    <s v="*MAV021100857"/>
    <s v="*MAV021100857"/>
    <n v="3.8168132025046849E-4"/>
  </r>
  <r>
    <x v="245"/>
    <s v="Pesos"/>
    <d v="2026-11-04T00:00:00"/>
    <s v="25/08/2026"/>
    <n v="0.93968030000000002"/>
    <m/>
    <n v="933333333"/>
    <n v="877034942.52999997"/>
    <n v="933333333"/>
    <n v="877034942.52999997"/>
    <n v="154531"/>
    <s v="AMOMPY"/>
    <s v="Momentum Capital Investment S.A."/>
    <s v="23/06/2026"/>
    <s v="23/06/2026"/>
    <n v="33"/>
    <s v="No"/>
    <s v=""/>
    <m/>
    <m/>
    <s v="#MAV031160008"/>
    <s v="#MAV031160008"/>
    <n v="1.4353618717977823E-2"/>
  </r>
  <r>
    <x v="211"/>
    <s v="Pesos"/>
    <d v="2026-11-04T00:00:00"/>
    <s v="25/08/2026"/>
    <n v="0.94140117000000001"/>
    <m/>
    <n v="6427534.4199999999"/>
    <n v="6050888.4000000004"/>
    <n v="6427534.4199999999"/>
    <n v="6050888.4000000004"/>
    <n v="68962809"/>
    <s v="AMOMPY"/>
    <s v="Momentum Capital Investment S.A."/>
    <s v="25/08/2026"/>
    <s v="25/08/2026"/>
    <n v="32"/>
    <s v="No"/>
    <s v=""/>
    <m/>
    <m/>
    <s v="*MAV311001757"/>
    <s v="*MAV311001757"/>
    <n v="9.9029286961008412E-5"/>
  </r>
  <r>
    <x v="145"/>
    <s v="Pesos"/>
    <d v="2026-11-04T00:00:00"/>
    <s v="25/08/2026"/>
    <n v="0.94140102000000003"/>
    <m/>
    <n v="40000000"/>
    <n v="37656040.719999999"/>
    <n v="40000000"/>
    <n v="37656040.719999999"/>
    <n v="13953435"/>
    <s v="AMOMPY"/>
    <s v="Momentum Capital Investment S.A."/>
    <s v="14/07/2026"/>
    <s v="14/07/2026"/>
    <n v="32"/>
    <s v="No"/>
    <s v=""/>
    <m/>
    <m/>
    <s v="*MAV021100796"/>
    <s v="*MAV021100796"/>
    <n v="6.1628154673556653E-4"/>
  </r>
  <r>
    <x v="252"/>
    <s v="Pesos"/>
    <d v="2026-11-04T00:00:00"/>
    <s v="25/08/2026"/>
    <n v="0.93285978000000003"/>
    <m/>
    <n v="68000000"/>
    <n v="63434464.969999999"/>
    <n v="68000000"/>
    <n v="63434464.969999999"/>
    <n v="29850239"/>
    <s v="AMOMPY"/>
    <s v="Momentum Capital Investment S.A."/>
    <s v="10/08/2026"/>
    <s v="10/08/2026"/>
    <n v="37"/>
    <s v="No"/>
    <s v=""/>
    <m/>
    <m/>
    <s v="*MAV311001698"/>
    <s v="*MAV311001698"/>
    <n v="1.0381731440844563E-3"/>
  </r>
  <r>
    <x v="191"/>
    <s v="Pesos"/>
    <d v="2026-11-04T00:00:00"/>
    <s v="25/08/2026"/>
    <n v="0.94140117000000001"/>
    <m/>
    <n v="5444206"/>
    <n v="5125181.88"/>
    <n v="5444206"/>
    <n v="5125181.88"/>
    <n v="3446"/>
    <s v="AMOMPY"/>
    <s v="Momentum Capital Investment S.A."/>
    <s v="25/08/2026"/>
    <s v="25/08/2026"/>
    <n v="32"/>
    <s v="No"/>
    <s v=""/>
    <m/>
    <m/>
    <s v="*MAV311001756"/>
    <s v="*MAV311001756"/>
    <n v="8.3879105607348591E-5"/>
  </r>
  <r>
    <x v="86"/>
    <s v="Pesos"/>
    <d v="2026-11-04T00:00:00"/>
    <s v="25/08/2026"/>
    <n v="0.93796583"/>
    <m/>
    <n v="3000000"/>
    <n v="2813897.49"/>
    <n v="3000000"/>
    <n v="2813897.49"/>
    <n v="4565"/>
    <s v="AMOMPY"/>
    <s v="Momentum Capital Investment S.A."/>
    <s v="15/07/2026"/>
    <s v="15/07/2026"/>
    <n v="34"/>
    <s v="No"/>
    <s v=""/>
    <m/>
    <m/>
    <s v="*MAV021100799"/>
    <s v="*MAV021100799"/>
    <n v="4.6052454382743419E-5"/>
  </r>
  <r>
    <x v="99"/>
    <s v="Pesos"/>
    <d v="2026-11-04T00:00:00"/>
    <s v="25/08/2026"/>
    <n v="0.94140106000000001"/>
    <m/>
    <n v="11829797.539999999"/>
    <n v="11136583.9"/>
    <n v="11829797.539999999"/>
    <n v="11136583.9"/>
    <n v="30890"/>
    <s v="AMOMPY"/>
    <s v="Momentum Capital Investment S.A."/>
    <s v="22/07/2026"/>
    <s v="22/07/2026"/>
    <n v="32"/>
    <s v="No"/>
    <s v=""/>
    <m/>
    <m/>
    <s v="*MAV021100817"/>
    <s v="*MAV021100817"/>
    <n v="1.822621555536285E-4"/>
  </r>
  <r>
    <x v="99"/>
    <s v="Pesos"/>
    <d v="2026-11-04T00:00:00"/>
    <s v="25/08/2026"/>
    <n v="0.94140106000000001"/>
    <m/>
    <n v="16498838.289999999"/>
    <n v="15532023.789999999"/>
    <n v="16498838.289999999"/>
    <n v="15532023.789999999"/>
    <n v="30846"/>
    <s v="AMOMPY"/>
    <s v="Momentum Capital Investment S.A."/>
    <s v="22/07/2026"/>
    <s v="22/07/2026"/>
    <n v="32"/>
    <s v="No"/>
    <s v=""/>
    <m/>
    <m/>
    <s v="*MAV021100818"/>
    <s v="*MAV021100818"/>
    <n v="2.5419824979504155E-4"/>
  </r>
  <r>
    <x v="99"/>
    <s v="Pesos"/>
    <d v="2026-11-04T00:00:00"/>
    <s v="25/08/2026"/>
    <n v="0.94140106000000001"/>
    <m/>
    <n v="11490967.4"/>
    <n v="10817608.84"/>
    <n v="11490967.4"/>
    <n v="10817608.84"/>
    <n v="30900"/>
    <s v="AMOMPY"/>
    <s v="Momentum Capital Investment S.A."/>
    <s v="22/07/2026"/>
    <s v="22/07/2026"/>
    <n v="32"/>
    <s v="No"/>
    <s v=""/>
    <m/>
    <m/>
    <s v="*MAV021100820"/>
    <s v="*MAV021100820"/>
    <n v="1.7704178613644589E-4"/>
  </r>
  <r>
    <x v="99"/>
    <s v="Pesos"/>
    <d v="2026-11-04T00:00:00"/>
    <s v="25/08/2026"/>
    <n v="0.94140106000000001"/>
    <m/>
    <n v="9142894.3200000003"/>
    <n v="8607130.3699999992"/>
    <n v="9142894.3200000003"/>
    <n v="8607130.3699999992"/>
    <n v="9933024"/>
    <s v="AMOMPY"/>
    <s v="Momentum Capital Investment S.A."/>
    <s v="22/07/2026"/>
    <s v="22/07/2026"/>
    <n v="32"/>
    <s v="No"/>
    <s v=""/>
    <m/>
    <m/>
    <s v="*MAV021100819"/>
    <s v="*MAV021100819"/>
    <n v="1.4086493205221575E-4"/>
  </r>
  <r>
    <x v="166"/>
    <s v="Pesos"/>
    <d v="2026-11-04T00:00:00"/>
    <s v="25/08/2026"/>
    <n v="0.93455555000000001"/>
    <m/>
    <n v="20408241.140000001"/>
    <n v="19072634.940000001"/>
    <n v="20408241.140000001"/>
    <n v="19072634.940000001"/>
    <n v="67998060"/>
    <s v="AMOMPY"/>
    <s v="Momentum Capital Investment S.A."/>
    <s v="30/06/2026"/>
    <s v="30/06/2026"/>
    <n v="36"/>
    <s v="No"/>
    <s v=""/>
    <m/>
    <m/>
    <s v="*MAV311001562"/>
    <s v="*MAV311001562"/>
    <n v="3.1214415367102381E-4"/>
  </r>
  <r>
    <x v="253"/>
    <s v="Pesos"/>
    <d v="2026-11-04T00:00:00"/>
    <s v="25/08/2026"/>
    <n v="0.94486161999999996"/>
    <m/>
    <n v="10900000"/>
    <n v="10298991.67"/>
    <n v="10900000"/>
    <n v="10298991.67"/>
    <n v="237"/>
    <s v="AMOMPY"/>
    <s v="Momentum Capital Investment S.A."/>
    <s v="02/07/2026"/>
    <s v="02/07/2026"/>
    <n v="30"/>
    <s v="No"/>
    <s v=""/>
    <m/>
    <m/>
    <s v="*MAV011101200"/>
    <s v="*MAV011101200"/>
    <n v="1.6855405918533636E-4"/>
  </r>
  <r>
    <x v="27"/>
    <s v="Pesos"/>
    <d v="2026-11-05T00:00:00"/>
    <s v="25/08/2026"/>
    <n v="0.93714697000000002"/>
    <m/>
    <n v="200000000"/>
    <n v="187429393.03999999"/>
    <n v="200000000"/>
    <n v="187429393.03999999"/>
    <n v="90004087"/>
    <s v="AMOMPY"/>
    <s v="Momentum Capital Investment S.A."/>
    <s v="24/08/2026"/>
    <s v="24/08/2026"/>
    <n v="34"/>
    <s v="No"/>
    <s v=""/>
    <m/>
    <m/>
    <s v="*MAV031101373"/>
    <s v="*MAV031101373"/>
    <n v="3.0674833051433886E-3"/>
  </r>
  <r>
    <x v="214"/>
    <s v="Pesos"/>
    <d v="2026-11-05T00:00:00"/>
    <s v="25/08/2026"/>
    <n v="0.92856426999999997"/>
    <m/>
    <n v="3750000"/>
    <n v="3482116"/>
    <n v="3750000"/>
    <n v="3482116"/>
    <n v="66918287"/>
    <s v="AMOMPY"/>
    <s v="Momentum Capital Investment S.A."/>
    <s v="13/05/2026"/>
    <s v="13/05/2026"/>
    <n v="39"/>
    <s v="No"/>
    <s v=""/>
    <m/>
    <m/>
    <s v="*MAV031101211"/>
    <s v="*MAV031101211"/>
    <n v="5.6988567925912953E-5"/>
  </r>
  <r>
    <x v="12"/>
    <s v="Pesos"/>
    <d v="2026-11-05T00:00:00"/>
    <s v="25/08/2026"/>
    <n v="0.94943301000000002"/>
    <m/>
    <n v="15000000"/>
    <n v="14241495.109999999"/>
    <n v="15000000"/>
    <n v="14241495.109999999"/>
    <n v="236"/>
    <s v="AMOMPY"/>
    <s v="Momentum Capital Investment S.A."/>
    <s v="02/07/2026"/>
    <s v="02/07/2026"/>
    <n v="27"/>
    <s v="No"/>
    <s v=""/>
    <m/>
    <m/>
    <s v="*PRO031100021"/>
    <s v="*PRO031100021"/>
    <n v="2.3307736199563487E-4"/>
  </r>
  <r>
    <x v="12"/>
    <s v="Pesos"/>
    <d v="2026-11-05T00:00:00"/>
    <s v="25/08/2026"/>
    <n v="0.94943301999999996"/>
    <m/>
    <n v="25000000"/>
    <n v="23735825.399999999"/>
    <n v="25000000"/>
    <n v="23735825.399999999"/>
    <n v="9508922"/>
    <s v="AMOMPY"/>
    <s v="Momentum Capital Investment S.A."/>
    <s v="13/07/2026"/>
    <s v="13/07/2026"/>
    <n v="27"/>
    <s v="No"/>
    <s v=""/>
    <m/>
    <m/>
    <s v="*PRO031100022"/>
    <s v="*PRO031100022"/>
    <n v="3.8846227353870748E-4"/>
  </r>
  <r>
    <x v="10"/>
    <s v="Pesos"/>
    <d v="2026-11-05T00:00:00"/>
    <s v="25/08/2026"/>
    <n v="0.94765816999999997"/>
    <m/>
    <n v="60000000"/>
    <n v="56859490.049999997"/>
    <n v="60000000"/>
    <n v="56859490.049999997"/>
    <n v="99"/>
    <s v="AMOMPY"/>
    <s v="Momentum Capital Investment S.A."/>
    <s v="16/07/2026"/>
    <s v="16/07/2026"/>
    <n v="28"/>
    <s v="No"/>
    <s v=""/>
    <m/>
    <m/>
    <s v="*MIL031100026"/>
    <s v="*MIL031100026"/>
    <n v="9.3056661838583112E-4"/>
  </r>
  <r>
    <x v="34"/>
    <s v="Pesos"/>
    <d v="2026-11-05T00:00:00"/>
    <s v="25/08/2026"/>
    <n v="0.93888276999999998"/>
    <m/>
    <n v="2500000"/>
    <n v="2347206.92"/>
    <n v="2500000"/>
    <n v="2347206.92"/>
    <n v="1011"/>
    <s v="AMOMPY"/>
    <s v="Momentum Capital Investment S.A."/>
    <s v="19/08/2026"/>
    <s v="19/08/2026"/>
    <n v="33"/>
    <s v="No"/>
    <s v=""/>
    <m/>
    <m/>
    <s v="*MAV031101354"/>
    <s v="*MAV031101354"/>
    <n v="3.8414562006720318E-5"/>
  </r>
  <r>
    <x v="34"/>
    <s v="Pesos"/>
    <d v="2026-11-05T00:00:00"/>
    <s v="25/08/2026"/>
    <n v="0.94062475999999995"/>
    <m/>
    <n v="3000000"/>
    <n v="2821874.27"/>
    <n v="3000000"/>
    <n v="2821874.27"/>
    <n v="1049"/>
    <s v="AMOMPY"/>
    <s v="Momentum Capital Investment S.A."/>
    <s v="25/08/2026"/>
    <s v="25/08/2026"/>
    <n v="32"/>
    <s v="No"/>
    <s v=""/>
    <m/>
    <m/>
    <s v="*MAV031101377"/>
    <s v="*MAV031101377"/>
    <n v="4.6183002954031694E-5"/>
  </r>
  <r>
    <x v="108"/>
    <s v="Pesos"/>
    <d v="2026-11-05T00:00:00"/>
    <s v="25/08/2026"/>
    <n v="0.93714704000000004"/>
    <m/>
    <n v="1020845.65"/>
    <n v="956682.48"/>
    <n v="1020845.65"/>
    <n v="956682.48"/>
    <n v="2911"/>
    <s v="AMOMPY"/>
    <s v="Momentum Capital Investment S.A."/>
    <s v="16/07/2026"/>
    <s v="16/07/2026"/>
    <n v="34"/>
    <s v="No"/>
    <s v=""/>
    <m/>
    <m/>
    <s v="*MAV031101243"/>
    <s v="*MAV031101243"/>
    <n v="1.5657136205402364E-5"/>
  </r>
  <r>
    <x v="108"/>
    <s v="Pesos"/>
    <d v="2026-11-05T00:00:00"/>
    <s v="25/08/2026"/>
    <n v="0.93714702999999999"/>
    <m/>
    <n v="990902.64"/>
    <n v="928621.47"/>
    <n v="990902.64"/>
    <n v="928621.47"/>
    <n v="2961"/>
    <s v="AMOMPY"/>
    <s v="Momentum Capital Investment S.A."/>
    <s v="16/07/2026"/>
    <s v="16/07/2026"/>
    <n v="34"/>
    <s v="No"/>
    <s v=""/>
    <m/>
    <m/>
    <s v="*MAV031101242"/>
    <s v="*MAV031101242"/>
    <n v="1.5197887640893105E-5"/>
  </r>
  <r>
    <x v="197"/>
    <s v="Pesos"/>
    <d v="2026-11-05T00:00:00"/>
    <s v="25/08/2026"/>
    <n v="0.93197843999999996"/>
    <m/>
    <n v="20000000"/>
    <n v="18639568.73"/>
    <n v="20000000"/>
    <n v="18639568.73"/>
    <n v="2594"/>
    <s v="AMOMPY"/>
    <s v="Momentum Capital Investment S.A."/>
    <s v="07/08/2026"/>
    <s v="07/08/2026"/>
    <n v="37"/>
    <s v="No"/>
    <s v=""/>
    <m/>
    <m/>
    <s v="*MAV031101304"/>
    <s v="*MAV031101304"/>
    <n v="3.0505656005696771E-4"/>
  </r>
  <r>
    <x v="145"/>
    <s v="Pesos"/>
    <d v="2026-11-05T00:00:00"/>
    <s v="25/08/2026"/>
    <n v="0.94062486000000001"/>
    <m/>
    <n v="40000000"/>
    <n v="37624994.520000003"/>
    <n v="40000000"/>
    <n v="37624994.520000003"/>
    <n v="13953436"/>
    <s v="AMOMPY"/>
    <s v="Momentum Capital Investment S.A."/>
    <s v="22/07/2026"/>
    <s v="22/07/2026"/>
    <n v="32"/>
    <s v="No"/>
    <s v=""/>
    <m/>
    <m/>
    <s v="*MAV031101254"/>
    <s v="*MAV031101254"/>
    <n v="6.157734423307905E-4"/>
  </r>
  <r>
    <x v="29"/>
    <s v="Pesos"/>
    <d v="2026-11-05T00:00:00"/>
    <s v="25/08/2026"/>
    <n v="0.94412832000000002"/>
    <m/>
    <n v="11923076.92"/>
    <n v="11256914.609999999"/>
    <n v="11923076.92"/>
    <n v="11256914.609999999"/>
    <n v="90021990"/>
    <s v="AMOMPY"/>
    <s v="Momentum Capital Investment S.A."/>
    <s v="11/05/2026"/>
    <s v="11/05/2026"/>
    <n v="30"/>
    <s v="No"/>
    <s v=""/>
    <m/>
    <m/>
    <s v="*NEU031100019"/>
    <s v="*NEU031100019"/>
    <n v="1.8423149685081912E-4"/>
  </r>
  <r>
    <x v="131"/>
    <s v="Pesos"/>
    <d v="2026-11-09T00:00:00"/>
    <s v="25/08/2026"/>
    <n v="0.95052088999999995"/>
    <m/>
    <n v="12000000"/>
    <n v="11406250.68"/>
    <n v="12000000"/>
    <n v="11406250.68"/>
    <n v="34561"/>
    <s v="AMOMPY"/>
    <s v="Momentum Capital Investment S.A."/>
    <s v="31/07/2026"/>
    <s v="31/07/2026"/>
    <n v="25"/>
    <s v="No"/>
    <s v=""/>
    <m/>
    <m/>
    <s v="*MAV041101160"/>
    <s v="*MAV041101160"/>
    <n v="1.8667554201444491E-4"/>
  </r>
  <r>
    <x v="30"/>
    <s v="Pesos"/>
    <d v="2026-11-09T00:00:00"/>
    <s v="25/08/2026"/>
    <n v="0.93570571999999996"/>
    <m/>
    <n v="7954930.75"/>
    <n v="7443474.21"/>
    <n v="7954930.75"/>
    <n v="7443474.21"/>
    <n v="9"/>
    <s v="AMOMPY"/>
    <s v="Momentum Capital Investment S.A."/>
    <s v="06/08/2026"/>
    <s v="06/08/2026"/>
    <n v="33"/>
    <s v="No"/>
    <s v=""/>
    <m/>
    <m/>
    <s v="*MAV041101170"/>
    <s v="*MAV041101170"/>
    <n v="1.218204492961654E-4"/>
  </r>
  <r>
    <x v="218"/>
    <s v="Pesos"/>
    <d v="2026-11-09T00:00:00"/>
    <s v="25/08/2026"/>
    <n v="0.93570560999999997"/>
    <m/>
    <n v="85000000"/>
    <n v="79534977.109999999"/>
    <n v="85000000"/>
    <n v="79534977.109999999"/>
    <n v="68458957"/>
    <s v="AMOMPY"/>
    <s v="Momentum Capital Investment S.A."/>
    <s v="21/07/2026"/>
    <s v="21/07/2026"/>
    <n v="33"/>
    <s v="No"/>
    <s v=""/>
    <m/>
    <m/>
    <s v="*MAV041101142"/>
    <s v="*MAV041101142"/>
    <n v="1.3016753162499949E-3"/>
  </r>
  <r>
    <x v="214"/>
    <s v="Pesos"/>
    <d v="2026-11-09T00:00:00"/>
    <s v="25/08/2026"/>
    <n v="0.93388603999999997"/>
    <m/>
    <n v="6200000"/>
    <n v="5790093.46"/>
    <n v="6200000"/>
    <n v="5790093.46"/>
    <n v="69261919"/>
    <s v="AMOMPY"/>
    <s v="Momentum Capital Investment S.A."/>
    <s v="25/08/2026"/>
    <s v="25/08/2026"/>
    <n v="34"/>
    <s v="No"/>
    <s v=""/>
    <m/>
    <m/>
    <s v="*MAV041101230"/>
    <s v="*MAV041101230"/>
    <n v="9.4761097689621593E-5"/>
  </r>
  <r>
    <x v="103"/>
    <s v="Pesos"/>
    <d v="2026-11-09T00:00:00"/>
    <s v="25/08/2026"/>
    <n v="0.93026827000000001"/>
    <m/>
    <n v="1555000.5"/>
    <n v="1446567.63"/>
    <n v="1555000.5"/>
    <n v="1446567.63"/>
    <n v="503"/>
    <s v="AMOMPY"/>
    <s v="Momentum Capital Investment S.A."/>
    <s v="19/08/2026"/>
    <s v="19/08/2026"/>
    <n v="36"/>
    <s v="No"/>
    <s v=""/>
    <m/>
    <m/>
    <s v="*MAV041101207"/>
    <s v="*MAV041101207"/>
    <n v="2.367463279272773E-5"/>
  </r>
  <r>
    <x v="57"/>
    <s v="Pesos"/>
    <d v="2026-11-09T00:00:00"/>
    <s v="25/08/2026"/>
    <n v="0.94120689999999996"/>
    <m/>
    <n v="75000000"/>
    <n v="70590517.219999999"/>
    <n v="75000000"/>
    <n v="70590517.219999999"/>
    <n v="341"/>
    <s v="AMOMPY"/>
    <s v="Momentum Capital Investment S.A."/>
    <s v="04/08/2026"/>
    <s v="04/08/2026"/>
    <n v="30"/>
    <s v="No"/>
    <s v=""/>
    <m/>
    <m/>
    <s v="*MAV041101167"/>
    <s v="*MAV041101167"/>
    <n v="1.1552896243310958E-3"/>
  </r>
  <r>
    <x v="108"/>
    <s v="Pesos"/>
    <d v="2026-11-09T00:00:00"/>
    <s v="25/08/2026"/>
    <n v="0.93570555"/>
    <m/>
    <n v="2502550.36"/>
    <n v="2341650.25"/>
    <n v="2502550.36"/>
    <n v="2341650.25"/>
    <n v="3134"/>
    <s v="AMOMPY"/>
    <s v="Momentum Capital Investment S.A."/>
    <s v="27/07/2026"/>
    <s v="27/07/2026"/>
    <n v="33"/>
    <s v="No"/>
    <s v=""/>
    <m/>
    <m/>
    <s v="*MAV041101148"/>
    <s v="*MAV041101148"/>
    <n v="3.8323621134636542E-5"/>
  </r>
  <r>
    <x v="108"/>
    <s v="Pesos"/>
    <d v="2026-11-09T00:00:00"/>
    <s v="25/08/2026"/>
    <n v="0.93570555"/>
    <m/>
    <n v="2502550.36"/>
    <n v="2341650.25"/>
    <n v="2502550.36"/>
    <n v="2341650.25"/>
    <n v="3144"/>
    <s v="AMOMPY"/>
    <s v="Momentum Capital Investment S.A."/>
    <s v="27/07/2026"/>
    <s v="27/07/2026"/>
    <n v="33"/>
    <s v="No"/>
    <s v=""/>
    <m/>
    <m/>
    <s v="*MAV041101149"/>
    <s v="*MAV041101149"/>
    <n v="3.8323621134636542E-5"/>
  </r>
  <r>
    <x v="108"/>
    <s v="Pesos"/>
    <d v="2026-11-09T00:00:00"/>
    <s v="25/08/2026"/>
    <n v="0.93570555"/>
    <m/>
    <n v="2250000"/>
    <n v="2105337.48"/>
    <n v="2250000"/>
    <n v="2105337.48"/>
    <n v="3059"/>
    <s v="AMOMPY"/>
    <s v="Momentum Capital Investment S.A."/>
    <s v="27/07/2026"/>
    <s v="27/07/2026"/>
    <n v="33"/>
    <s v="No"/>
    <s v=""/>
    <m/>
    <m/>
    <s v="*MAV041101150"/>
    <s v="*MAV041101150"/>
    <n v="3.445610886769723E-5"/>
  </r>
  <r>
    <x v="10"/>
    <s v="Pesos"/>
    <d v="2026-11-09T00:00:00"/>
    <s v="25/08/2026"/>
    <n v="0.94120685000000004"/>
    <m/>
    <n v="10000000"/>
    <n v="9412068.4600000009"/>
    <n v="10000000"/>
    <n v="9412068.4600000009"/>
    <n v="108"/>
    <s v="AMOMPY"/>
    <s v="Momentum Capital Investment S.A."/>
    <s v="14/08/2026"/>
    <s v="14/08/2026"/>
    <n v="30"/>
    <s v="No"/>
    <s v=""/>
    <m/>
    <m/>
    <s v="*MIL041100025"/>
    <s v="*MIL041100025"/>
    <n v="1.5403860835079962E-4"/>
  </r>
  <r>
    <x v="34"/>
    <s v="Pesos"/>
    <d v="2026-11-09T00:00:00"/>
    <s v="25/08/2026"/>
    <n v="0.94120700999999996"/>
    <m/>
    <n v="2500000"/>
    <n v="2353017.52"/>
    <n v="2500000"/>
    <n v="2353017.52"/>
    <n v="897"/>
    <s v="AMOMPY"/>
    <s v="Momentum Capital Investment S.A."/>
    <s v="06/08/2026"/>
    <s v="06/08/2026"/>
    <n v="30"/>
    <s v="No"/>
    <s v=""/>
    <m/>
    <m/>
    <s v="*MAV041101171"/>
    <s v="*MAV041101171"/>
    <n v="3.850965871595985E-5"/>
  </r>
  <r>
    <x v="34"/>
    <s v="Pesos"/>
    <d v="2026-11-09T00:00:00"/>
    <s v="25/08/2026"/>
    <n v="0.93570564000000001"/>
    <m/>
    <n v="2500000"/>
    <n v="2339264.1"/>
    <n v="2500000"/>
    <n v="2339264.1"/>
    <n v="1012"/>
    <s v="AMOMPY"/>
    <s v="Momentum Capital Investment S.A."/>
    <s v="19/08/2026"/>
    <s v="19/08/2026"/>
    <n v="33"/>
    <s v="No"/>
    <s v=""/>
    <m/>
    <m/>
    <s v="*MAV041101210"/>
    <s v="*MAV041101210"/>
    <n v="3.8284569227303065E-5"/>
  </r>
  <r>
    <x v="34"/>
    <s v="Pesos"/>
    <d v="2026-11-09T00:00:00"/>
    <s v="25/08/2026"/>
    <n v="0.93753215999999995"/>
    <m/>
    <n v="3000000"/>
    <n v="2812596.47"/>
    <n v="3000000"/>
    <n v="2812596.47"/>
    <n v="1050"/>
    <s v="AMOMPY"/>
    <s v="Momentum Capital Investment S.A."/>
    <s v="25/08/2026"/>
    <s v="25/08/2026"/>
    <n v="32"/>
    <s v="No"/>
    <s v=""/>
    <m/>
    <m/>
    <s v="*MAV041101231"/>
    <s v="*MAV041101231"/>
    <n v="4.603116179322516E-5"/>
  </r>
  <r>
    <x v="108"/>
    <s v="Pesos"/>
    <d v="2026-11-09T00:00:00"/>
    <s v="25/08/2026"/>
    <n v="0.93388607000000001"/>
    <m/>
    <n v="990902.64"/>
    <n v="925390.17"/>
    <n v="990902.64"/>
    <n v="925390.17"/>
    <n v="2962"/>
    <s v="AMOMPY"/>
    <s v="Momentum Capital Investment S.A."/>
    <s v="16/07/2026"/>
    <s v="16/07/2026"/>
    <n v="34"/>
    <s v="No"/>
    <s v=""/>
    <m/>
    <m/>
    <s v="*MAV041101132"/>
    <s v="*MAV041101132"/>
    <n v="1.5145003946168692E-5"/>
  </r>
  <r>
    <x v="108"/>
    <s v="Pesos"/>
    <d v="2026-11-09T00:00:00"/>
    <s v="25/08/2026"/>
    <n v="0.93388603000000003"/>
    <m/>
    <n v="1020845.65"/>
    <n v="953353.49"/>
    <n v="1020845.65"/>
    <n v="953353.49"/>
    <n v="2912"/>
    <s v="AMOMPY"/>
    <s v="Momentum Capital Investment S.A."/>
    <s v="16/07/2026"/>
    <s v="16/07/2026"/>
    <n v="34"/>
    <s v="No"/>
    <s v=""/>
    <m/>
    <m/>
    <s v="*MAV041101131"/>
    <s v="*MAV041101131"/>
    <n v="1.5602653708914688E-5"/>
  </r>
  <r>
    <x v="108"/>
    <s v="Pesos"/>
    <d v="2026-11-09T00:00:00"/>
    <s v="25/08/2026"/>
    <n v="0.93026827999999995"/>
    <m/>
    <n v="2510000.36"/>
    <n v="2334973.71"/>
    <n v="2510000.36"/>
    <n v="2334973.71"/>
    <n v="3159"/>
    <s v="AMOMPY"/>
    <s v="Momentum Capital Investment S.A."/>
    <s v="19/08/2026"/>
    <s v="19/08/2026"/>
    <n v="36"/>
    <s v="No"/>
    <s v=""/>
    <m/>
    <m/>
    <s v="*MAV041101208"/>
    <s v="*MAV041101208"/>
    <n v="3.8214352387328848E-5"/>
  </r>
  <r>
    <x v="197"/>
    <s v="Pesos"/>
    <d v="2026-11-09T00:00:00"/>
    <s v="25/08/2026"/>
    <n v="0.92846974000000004"/>
    <m/>
    <n v="20000000"/>
    <n v="18569394.829999998"/>
    <n v="20000000"/>
    <n v="18569394.829999998"/>
    <n v="2595"/>
    <s v="AMOMPY"/>
    <s v="Momentum Capital Investment S.A."/>
    <s v="07/08/2026"/>
    <s v="07/08/2026"/>
    <n v="37"/>
    <s v="No"/>
    <s v=""/>
    <m/>
    <m/>
    <s v="*MAV041101177"/>
    <s v="*MAV041101177"/>
    <n v="3.03908088820864E-4"/>
  </r>
  <r>
    <x v="128"/>
    <s v="Pesos"/>
    <d v="2026-11-09T00:00:00"/>
    <s v="25/08/2026"/>
    <n v="0.93753222999999997"/>
    <m/>
    <n v="475000000"/>
    <n v="445327808.35000002"/>
    <n v="475000000"/>
    <n v="445327808.35000002"/>
    <n v="931"/>
    <s v="AMOMPY"/>
    <s v="Momentum Capital Investment S.A."/>
    <s v="14/07/2026"/>
    <s v="14/07/2026"/>
    <n v="32"/>
    <s v="No"/>
    <s v=""/>
    <m/>
    <m/>
    <s v="*MAV041101126"/>
    <s v="*MAV041101126"/>
    <n v="7.2882678392827589E-3"/>
  </r>
  <r>
    <x v="145"/>
    <s v="Pesos"/>
    <d v="2026-11-09T00:00:00"/>
    <s v="25/08/2026"/>
    <n v="0.93753228"/>
    <m/>
    <n v="40000000"/>
    <n v="37501291.020000003"/>
    <n v="40000000"/>
    <n v="37501291.020000003"/>
    <n v="13953437"/>
    <s v="AMOMPY"/>
    <s v="Momentum Capital Investment S.A."/>
    <s v="22/07/2026"/>
    <s v="22/07/2026"/>
    <n v="32"/>
    <s v="No"/>
    <s v=""/>
    <m/>
    <m/>
    <s v="*MAV041101144"/>
    <s v="*MAV041101144"/>
    <n v="6.1374890170307354E-4"/>
  </r>
  <r>
    <x v="213"/>
    <s v="Pesos"/>
    <d v="2026-11-09T00:00:00"/>
    <s v="25/08/2026"/>
    <n v="0.93753218000000005"/>
    <m/>
    <n v="105000000"/>
    <n v="98440878.379999995"/>
    <n v="105000000"/>
    <n v="98440878.379999995"/>
    <n v="322"/>
    <s v="AMOMPY"/>
    <s v="Momentum Capital Investment S.A."/>
    <s v="18/08/2026"/>
    <s v="18/08/2026"/>
    <n v="32"/>
    <s v="No"/>
    <s v=""/>
    <m/>
    <m/>
    <s v="*MAV041101202"/>
    <s v="*MAV041101202"/>
    <n v="1.611090694349403E-3"/>
  </r>
  <r>
    <x v="30"/>
    <s v="Pesos"/>
    <d v="2026-11-10T00:00:00"/>
    <s v="25/08/2026"/>
    <n v="0.93491473999999997"/>
    <m/>
    <n v="7954930.75"/>
    <n v="7437182.0099999998"/>
    <n v="7954930.75"/>
    <n v="7437182.0099999998"/>
    <n v="60"/>
    <s v="AMOMPY"/>
    <s v="Momentum Capital Investment S.A."/>
    <s v="06/08/2026"/>
    <s v="06/08/2026"/>
    <n v="33"/>
    <s v="No"/>
    <s v=""/>
    <m/>
    <m/>
    <s v="*MAV051101055"/>
    <s v="*MAV051101055"/>
    <n v="1.2171747068571604E-4"/>
  </r>
  <r>
    <x v="214"/>
    <s v="Pesos"/>
    <d v="2026-11-10T00:00:00"/>
    <s v="25/08/2026"/>
    <n v="0.92398051000000003"/>
    <m/>
    <n v="3750000"/>
    <n v="3464926.92"/>
    <n v="3750000"/>
    <n v="3464926.92"/>
    <n v="66918815"/>
    <s v="AMOMPY"/>
    <s v="Momentum Capital Investment S.A."/>
    <s v="13/05/2026"/>
    <s v="13/05/2026"/>
    <n v="39"/>
    <s v="No"/>
    <s v=""/>
    <m/>
    <m/>
    <s v="*MAV051100975"/>
    <s v="*MAV051100975"/>
    <n v="5.6707250171661244E-5"/>
  </r>
  <r>
    <x v="103"/>
    <s v="Pesos"/>
    <d v="2026-11-10T00:00:00"/>
    <s v="25/08/2026"/>
    <n v="0.92941543000000004"/>
    <m/>
    <n v="4213657.9800000004"/>
    <n v="3916238.76"/>
    <n v="4213657.9800000004"/>
    <n v="3916238.76"/>
    <n v="425"/>
    <s v="AMOMPY"/>
    <s v="Momentum Capital Investment S.A."/>
    <s v="19/08/2026"/>
    <s v="19/08/2026"/>
    <n v="36"/>
    <s v="No"/>
    <s v=""/>
    <m/>
    <m/>
    <s v="*MAV051101110"/>
    <s v="*MAV051101110"/>
    <n v="6.4093453115391072E-5"/>
  </r>
  <r>
    <x v="103"/>
    <s v="Pesos"/>
    <d v="2026-11-10T00:00:00"/>
    <s v="25/08/2026"/>
    <n v="0.92941543999999998"/>
    <m/>
    <n v="1555000.5"/>
    <n v="1445241.47"/>
    <n v="1555000.5"/>
    <n v="1445241.47"/>
    <n v="504"/>
    <s v="AMOMPY"/>
    <s v="Momentum Capital Investment S.A."/>
    <s v="19/08/2026"/>
    <s v="19/08/2026"/>
    <n v="36"/>
    <s v="No"/>
    <s v=""/>
    <m/>
    <m/>
    <s v="*MAV051101112"/>
    <s v="*MAV051101112"/>
    <n v="2.3652928760110601E-5"/>
  </r>
  <r>
    <x v="34"/>
    <s v="Pesos"/>
    <d v="2026-11-10T00:00:00"/>
    <s v="25/08/2026"/>
    <n v="0.93676238999999994"/>
    <m/>
    <n v="3000000"/>
    <n v="2810287.18"/>
    <n v="3000000"/>
    <n v="2810287.18"/>
    <n v="1051"/>
    <s v="AMOMPY"/>
    <s v="Momentum Capital Investment S.A."/>
    <s v="25/08/2026"/>
    <s v="25/08/2026"/>
    <n v="32"/>
    <s v="No"/>
    <s v=""/>
    <m/>
    <m/>
    <s v="*MAV051101135"/>
    <s v="*MAV051101135"/>
    <n v="4.5993367782334757E-5"/>
  </r>
  <r>
    <x v="47"/>
    <s v="Pesos"/>
    <d v="2026-11-10T00:00:00"/>
    <s v="25/08/2026"/>
    <n v="0.93307446999999999"/>
    <m/>
    <n v="10000000"/>
    <n v="9330744.7200000007"/>
    <n v="10000000"/>
    <n v="9330744.7200000007"/>
    <n v="14284513"/>
    <s v="AMOMPY"/>
    <s v="Momentum Capital Investment S.A."/>
    <s v="24/08/2026"/>
    <s v="24/08/2026"/>
    <n v="34"/>
    <s v="No"/>
    <s v=""/>
    <m/>
    <m/>
    <s v="*MAV051101129"/>
    <s v="*MAV051101129"/>
    <n v="1.5270765800882961E-4"/>
  </r>
  <r>
    <x v="10"/>
    <s v="Pesos"/>
    <d v="2026-11-10T00:00:00"/>
    <s v="25/08/2026"/>
    <n v="0.94047946000000004"/>
    <m/>
    <n v="3000000"/>
    <n v="2821438.39"/>
    <n v="3000000"/>
    <n v="2821438.39"/>
    <n v="12759460"/>
    <s v="AMOMPY"/>
    <s v="Momentum Capital Investment S.A."/>
    <s v="14/08/2026"/>
    <s v="14/08/2026"/>
    <n v="30"/>
    <s v="No"/>
    <s v=""/>
    <m/>
    <m/>
    <s v="*MIL051100026"/>
    <s v="*MIL051100026"/>
    <n v="4.617586930972245E-5"/>
  </r>
  <r>
    <x v="108"/>
    <s v="Pesos"/>
    <d v="2026-11-10T00:00:00"/>
    <s v="25/08/2026"/>
    <n v="0.93491477000000001"/>
    <m/>
    <n v="2502550.36"/>
    <n v="2339671.2999999998"/>
    <n v="2502550.36"/>
    <n v="2339671.2999999998"/>
    <n v="3145"/>
    <s v="AMOMPY"/>
    <s v="Momentum Capital Investment S.A."/>
    <s v="27/07/2026"/>
    <s v="27/07/2026"/>
    <n v="33"/>
    <s v="No"/>
    <s v=""/>
    <m/>
    <m/>
    <s v="*MAV051101036"/>
    <s v="*MAV051101036"/>
    <n v="3.8291233492611689E-5"/>
  </r>
  <r>
    <x v="10"/>
    <s v="Pesos"/>
    <d v="2026-11-10T00:00:00"/>
    <s v="25/08/2026"/>
    <n v="0.94047946999999998"/>
    <m/>
    <n v="10000000"/>
    <n v="9404794.6500000004"/>
    <n v="10000000"/>
    <n v="9404794.6500000004"/>
    <n v="68856195"/>
    <s v="AMOMPY"/>
    <s v="Momentum Capital Investment S.A."/>
    <s v="14/08/2026"/>
    <s v="14/08/2026"/>
    <n v="30"/>
    <s v="No"/>
    <s v=""/>
    <m/>
    <m/>
    <s v="*MIL051100025"/>
    <s v="*MIL051100025"/>
    <n v="1.539195646385094E-4"/>
  </r>
  <r>
    <x v="34"/>
    <s v="Pesos"/>
    <d v="2026-11-10T00:00:00"/>
    <s v="25/08/2026"/>
    <n v="0.94047941000000002"/>
    <m/>
    <n v="2500000"/>
    <n v="2351198.5299999998"/>
    <n v="2500000"/>
    <n v="2351198.5299999998"/>
    <n v="898"/>
    <s v="AMOMPY"/>
    <s v="Momentum Capital Investment S.A."/>
    <s v="06/08/2026"/>
    <s v="06/08/2026"/>
    <n v="30"/>
    <s v="No"/>
    <s v=""/>
    <m/>
    <m/>
    <s v="*MAV051101057"/>
    <s v="*MAV051101057"/>
    <n v="3.8479888991122546E-5"/>
  </r>
  <r>
    <x v="34"/>
    <s v="Pesos"/>
    <d v="2026-11-10T00:00:00"/>
    <s v="25/08/2026"/>
    <n v="0.93491464999999996"/>
    <m/>
    <n v="2500000"/>
    <n v="2337286.63"/>
    <n v="2500000"/>
    <n v="2337286.63"/>
    <n v="1013"/>
    <s v="AMOMPY"/>
    <s v="Momentum Capital Investment S.A."/>
    <s v="19/08/2026"/>
    <s v="19/08/2026"/>
    <n v="33"/>
    <s v="No"/>
    <s v=""/>
    <m/>
    <m/>
    <s v="*MAV051101116"/>
    <s v="*MAV051101116"/>
    <n v="3.8252205807067649E-5"/>
  </r>
  <r>
    <x v="108"/>
    <s v="Pesos"/>
    <d v="2026-11-10T00:00:00"/>
    <s v="25/08/2026"/>
    <n v="0.93307446999999999"/>
    <m/>
    <n v="1020845.65"/>
    <n v="952525.01"/>
    <n v="1020845.65"/>
    <n v="952525.01"/>
    <n v="2913"/>
    <s v="AMOMPY"/>
    <s v="Momentum Capital Investment S.A."/>
    <s v="16/07/2026"/>
    <s v="16/07/2026"/>
    <n v="34"/>
    <s v="No"/>
    <s v=""/>
    <m/>
    <m/>
    <s v="*MAV051101016"/>
    <s v="*MAV051101016"/>
    <n v="1.5589094743976339E-5"/>
  </r>
  <r>
    <x v="108"/>
    <s v="Pesos"/>
    <d v="2026-11-10T00:00:00"/>
    <s v="25/08/2026"/>
    <n v="0.93307446999999999"/>
    <m/>
    <n v="990902.64"/>
    <n v="924585.96"/>
    <n v="990902.64"/>
    <n v="924585.96"/>
    <n v="2963"/>
    <s v="AMOMPY"/>
    <s v="Momentum Capital Investment S.A."/>
    <s v="16/07/2026"/>
    <s v="16/07/2026"/>
    <n v="34"/>
    <s v="No"/>
    <s v=""/>
    <m/>
    <m/>
    <s v="*MAV051101017"/>
    <s v="*MAV051101017"/>
    <n v="1.5131842185844881E-5"/>
  </r>
  <r>
    <x v="108"/>
    <s v="Pesos"/>
    <d v="2026-11-10T00:00:00"/>
    <s v="25/08/2026"/>
    <n v="0.92941543999999998"/>
    <m/>
    <n v="3789564.21"/>
    <n v="3522079.47"/>
    <n v="3789564.21"/>
    <n v="3522079.47"/>
    <n v="3272"/>
    <s v="AMOMPY"/>
    <s v="Momentum Capital Investment S.A."/>
    <s v="19/08/2026"/>
    <s v="19/08/2026"/>
    <n v="36"/>
    <s v="No"/>
    <s v=""/>
    <m/>
    <m/>
    <s v="*MAV051101111"/>
    <s v="*MAV051101111"/>
    <n v="5.7642613030857822E-5"/>
  </r>
  <r>
    <x v="108"/>
    <s v="Pesos"/>
    <d v="2026-11-10T00:00:00"/>
    <s v="25/08/2026"/>
    <n v="0.92941543000000004"/>
    <m/>
    <n v="2510000.36"/>
    <n v="2332833.0699999998"/>
    <n v="2510000.36"/>
    <n v="2332833.0699999998"/>
    <n v="3160"/>
    <s v="AMOMPY"/>
    <s v="Momentum Capital Investment S.A."/>
    <s v="19/08/2026"/>
    <s v="19/08/2026"/>
    <n v="36"/>
    <s v="No"/>
    <s v=""/>
    <m/>
    <m/>
    <s v="*MAV051101113"/>
    <s v="*MAV051101113"/>
    <n v="3.8179318514808538E-5"/>
  </r>
  <r>
    <x v="197"/>
    <s v="Pesos"/>
    <d v="2026-11-10T00:00:00"/>
    <s v="25/08/2026"/>
    <n v="0.92759689000000001"/>
    <m/>
    <n v="25000000"/>
    <n v="23189922.140000001"/>
    <n v="25000000"/>
    <n v="23189922.140000001"/>
    <n v="2596"/>
    <s v="AMOMPY"/>
    <s v="Momentum Capital Investment S.A."/>
    <s v="07/08/2026"/>
    <s v="07/08/2026"/>
    <n v="37"/>
    <s v="No"/>
    <s v=""/>
    <m/>
    <m/>
    <s v="*MAV051101060"/>
    <s v="*MAV051101060"/>
    <n v="3.7952798042110682E-4"/>
  </r>
  <r>
    <x v="254"/>
    <s v="Pesos"/>
    <d v="2026-11-10T00:00:00"/>
    <s v="25/08/2026"/>
    <n v="0.93491471999999998"/>
    <m/>
    <n v="933333333"/>
    <n v="872587075.88999999"/>
    <n v="933333333"/>
    <n v="872587075.88999999"/>
    <n v="154563"/>
    <s v="AMOMPY"/>
    <s v="Momentum Capital Investment S.A."/>
    <s v="24/06/2026"/>
    <s v="24/06/2026"/>
    <n v="33"/>
    <s v="No"/>
    <s v=""/>
    <m/>
    <m/>
    <s v="#MAV061160016"/>
    <s v="#MAV061160016"/>
    <n v="1.4280824603669444E-2"/>
  </r>
  <r>
    <x v="209"/>
    <s v="Pesos"/>
    <d v="2026-11-10T00:00:00"/>
    <s v="25/08/2026"/>
    <n v="0.93676238999999994"/>
    <m/>
    <n v="5082311.97"/>
    <n v="4760918.72"/>
    <n v="5082311.97"/>
    <n v="4760918.72"/>
    <n v="69012952"/>
    <s v="AMOMPY"/>
    <s v="Momentum Capital Investment S.A."/>
    <s v="25/08/2026"/>
    <s v="25/08/2026"/>
    <n v="32"/>
    <s v="No"/>
    <s v=""/>
    <m/>
    <m/>
    <s v="*MAV051101136"/>
    <s v="*MAV051101136"/>
    <n v="7.7917547796934542E-5"/>
  </r>
  <r>
    <x v="145"/>
    <s v="Pesos"/>
    <d v="2026-11-10T00:00:00"/>
    <s v="25/08/2026"/>
    <n v="0.93676225000000002"/>
    <m/>
    <n v="40000000"/>
    <n v="37470490.170000002"/>
    <n v="40000000"/>
    <n v="37470490.170000002"/>
    <n v="13953438"/>
    <s v="AMOMPY"/>
    <s v="Momentum Capital Investment S.A."/>
    <s v="22/07/2026"/>
    <s v="22/07/2026"/>
    <n v="32"/>
    <s v="No"/>
    <s v=""/>
    <m/>
    <m/>
    <s v="*MAV051101031"/>
    <s v="*MAV051101031"/>
    <n v="6.1324481271453877E-4"/>
  </r>
  <r>
    <x v="114"/>
    <s v="Pesos"/>
    <d v="2026-11-10T00:00:00"/>
    <s v="25/08/2026"/>
    <n v="0.95564755000000001"/>
    <m/>
    <n v="5300000"/>
    <n v="5064932.0199999996"/>
    <n v="5300000"/>
    <n v="5064932.0199999996"/>
    <n v="3"/>
    <s v="AMOMPY"/>
    <s v="Momentum Capital Investment S.A."/>
    <s v="05/08/2026"/>
    <s v="05/08/2026"/>
    <n v="22"/>
    <s v="No"/>
    <s v=""/>
    <m/>
    <m/>
    <s v="*MAV051101051"/>
    <s v="*MAV051101051"/>
    <n v="8.2893051943674901E-5"/>
  </r>
  <r>
    <x v="255"/>
    <s v="Pesos"/>
    <d v="2026-11-10T00:00:00"/>
    <s v="25/08/2026"/>
    <n v="0.92218294000000001"/>
    <m/>
    <n v="40000000"/>
    <n v="36887317.619999997"/>
    <n v="40000000"/>
    <n v="36887317.619999997"/>
    <n v="160531"/>
    <s v="AMOMPY"/>
    <s v="Momentum Capital Investment S.A."/>
    <s v="11/08/2026"/>
    <s v="11/08/2026"/>
    <n v="40"/>
    <s v="No"/>
    <s v=""/>
    <m/>
    <m/>
    <s v="#MAV091160021"/>
    <s v="#MAV091160021"/>
    <n v="6.0370056764108245E-4"/>
  </r>
  <r>
    <x v="203"/>
    <s v="Pesos"/>
    <d v="2026-11-11T00:00:00"/>
    <s v="25/08/2026"/>
    <n v="0.93412508000000005"/>
    <m/>
    <n v="5448062.4299999997"/>
    <n v="5089171.75"/>
    <n v="5448062.4299999997"/>
    <n v="5089171.75"/>
    <n v="90000595"/>
    <s v="AMOMPY"/>
    <s v="Momentum Capital Investment S.A."/>
    <s v="02/06/2026"/>
    <s v="02/06/2026"/>
    <n v="33"/>
    <s v="No"/>
    <s v=""/>
    <m/>
    <m/>
    <s v="*MAV091100786"/>
    <s v="*MAV091100786"/>
    <n v="8.3289761157156247E-5"/>
  </r>
  <r>
    <x v="103"/>
    <s v="Pesos"/>
    <d v="2026-11-11T00:00:00"/>
    <s v="25/08/2026"/>
    <n v="0.92856444000000005"/>
    <m/>
    <n v="3256800.5"/>
    <n v="3024149.14"/>
    <n v="3256800.5"/>
    <n v="3024149.14"/>
    <n v="505"/>
    <s v="AMOMPY"/>
    <s v="Momentum Capital Investment S.A."/>
    <s v="19/08/2026"/>
    <s v="19/08/2026"/>
    <n v="36"/>
    <s v="No"/>
    <s v=""/>
    <m/>
    <m/>
    <s v="*MAV061101045"/>
    <s v="*MAV061101045"/>
    <n v="4.9493448432786633E-5"/>
  </r>
  <r>
    <x v="242"/>
    <s v="Pesos"/>
    <d v="2026-11-11T00:00:00"/>
    <s v="25/08/2026"/>
    <n v="0.92856421"/>
    <m/>
    <n v="8560000"/>
    <n v="7948509.5999999996"/>
    <n v="8560000"/>
    <n v="7948509.5999999996"/>
    <n v="13054211"/>
    <s v="AMOMPY"/>
    <s v="Momentum Capital Investment S.A."/>
    <s v="22/04/2026"/>
    <s v="22/04/2026"/>
    <n v="36"/>
    <s v="No"/>
    <s v=""/>
    <m/>
    <m/>
    <s v="*AAR091100027"/>
    <s v="*AAR091100027"/>
    <n v="1.3008589583154932E-4"/>
  </r>
  <r>
    <x v="48"/>
    <s v="Pesos"/>
    <d v="2026-11-11T00:00:00"/>
    <s v="25/08/2026"/>
    <n v="0.94164389999999998"/>
    <m/>
    <n v="5109127.71"/>
    <n v="4810978.92"/>
    <n v="5109127.71"/>
    <n v="4810978.92"/>
    <n v="90000654"/>
    <s v="AMOMPY"/>
    <s v="Momentum Capital Investment S.A."/>
    <s v="03/07/2026"/>
    <s v="03/07/2026"/>
    <n v="29"/>
    <s v="No"/>
    <s v=""/>
    <m/>
    <m/>
    <s v="*FED091100055"/>
    <s v="*FED091100055"/>
    <n v="7.8736836731618169E-5"/>
  </r>
  <r>
    <x v="47"/>
    <s v="Pesos"/>
    <d v="2026-11-11T00:00:00"/>
    <s v="25/08/2026"/>
    <n v="0.93226410000000004"/>
    <m/>
    <n v="10000000"/>
    <n v="9322641.0099999998"/>
    <n v="10000000"/>
    <n v="9322641.0099999998"/>
    <n v="14284514"/>
    <s v="AMOMPY"/>
    <s v="Momentum Capital Investment S.A."/>
    <s v="24/08/2026"/>
    <s v="24/08/2026"/>
    <n v="34"/>
    <s v="No"/>
    <s v=""/>
    <m/>
    <m/>
    <s v="*MAV091100916"/>
    <s v="*MAV091100916"/>
    <n v="1.5257503209177602E-4"/>
  </r>
  <r>
    <x v="12"/>
    <s v="Pesos"/>
    <d v="2026-11-11T00:00:00"/>
    <s v="25/08/2026"/>
    <n v="0.94164393999999996"/>
    <m/>
    <n v="35000000"/>
    <n v="32957537.920000002"/>
    <n v="35000000"/>
    <n v="32957537.920000002"/>
    <n v="65"/>
    <s v="AMOMPY"/>
    <s v="Momentum Capital Investment S.A."/>
    <s v="29/05/2026"/>
    <s v="29/05/2026"/>
    <n v="29"/>
    <s v="No"/>
    <s v=""/>
    <m/>
    <m/>
    <s v="*PRO061100023"/>
    <s v="*PRO061100023"/>
    <n v="5.3938550250042557E-4"/>
  </r>
  <r>
    <x v="10"/>
    <s v="Pesos"/>
    <d v="2026-11-11T00:00:00"/>
    <s v="25/08/2026"/>
    <n v="0.94544892000000003"/>
    <m/>
    <n v="10000000"/>
    <n v="9454489.25"/>
    <n v="10000000"/>
    <n v="9454489.25"/>
    <n v="2014"/>
    <s v="AMOMPY"/>
    <s v="Momentum Capital Investment S.A."/>
    <s v="07/07/2026"/>
    <s v="07/07/2026"/>
    <n v="27"/>
    <s v="No"/>
    <s v=""/>
    <m/>
    <m/>
    <s v="*MIL061100019"/>
    <s v="*MIL061100019"/>
    <n v="1.5473287013656031E-4"/>
  </r>
  <r>
    <x v="108"/>
    <s v="Pesos"/>
    <d v="2026-11-11T00:00:00"/>
    <s v="25/08/2026"/>
    <n v="0.93412519999999999"/>
    <m/>
    <n v="990902.64"/>
    <n v="925627.13"/>
    <n v="990902.64"/>
    <n v="925627.13"/>
    <n v="2965"/>
    <s v="AMOMPY"/>
    <s v="Momentum Capital Investment S.A."/>
    <s v="28/07/2026"/>
    <s v="28/07/2026"/>
    <n v="33"/>
    <s v="No"/>
    <s v=""/>
    <m/>
    <m/>
    <s v="*MAV071101350"/>
    <s v="*MAV071101350"/>
    <n v="1.5148882051049667E-5"/>
  </r>
  <r>
    <x v="10"/>
    <s v="Pesos"/>
    <d v="2026-11-11T00:00:00"/>
    <s v="25/08/2026"/>
    <n v="0.94354265999999998"/>
    <m/>
    <n v="60000000"/>
    <n v="56612559.609999999"/>
    <n v="60000000"/>
    <n v="56612559.609999999"/>
    <n v="100"/>
    <s v="AMOMPY"/>
    <s v="Momentum Capital Investment S.A."/>
    <s v="16/07/2026"/>
    <s v="16/07/2026"/>
    <n v="28"/>
    <s v="No"/>
    <s v=""/>
    <m/>
    <m/>
    <s v="*MIL061100020"/>
    <s v="*MIL061100020"/>
    <n v="9.265253365465944E-4"/>
  </r>
  <r>
    <x v="10"/>
    <s v="Pesos"/>
    <d v="2026-11-11T00:00:00"/>
    <s v="25/08/2026"/>
    <n v="0.93975297999999996"/>
    <m/>
    <n v="10000000"/>
    <n v="9397529.7599999998"/>
    <n v="10000000"/>
    <n v="9397529.7599999998"/>
    <n v="68856220"/>
    <s v="AMOMPY"/>
    <s v="Momentum Capital Investment S.A."/>
    <s v="14/08/2026"/>
    <s v="14/08/2026"/>
    <n v="30"/>
    <s v="No"/>
    <s v=""/>
    <m/>
    <m/>
    <s v="*MIL091100018"/>
    <s v="*MIL091100018"/>
    <n v="1.538006669115987E-4"/>
  </r>
  <r>
    <x v="10"/>
    <s v="Pesos"/>
    <d v="2026-11-11T00:00:00"/>
    <s v="25/08/2026"/>
    <n v="0.93975297999999996"/>
    <m/>
    <n v="11000000"/>
    <n v="10337282.73"/>
    <n v="11000000"/>
    <n v="10337282.73"/>
    <n v="10679146"/>
    <s v="AMOMPY"/>
    <s v="Momentum Capital Investment S.A."/>
    <s v="14/08/2026"/>
    <s v="14/08/2026"/>
    <n v="30"/>
    <s v="No"/>
    <s v=""/>
    <m/>
    <m/>
    <s v="*MIL091100020"/>
    <s v="*MIL091100020"/>
    <n v="1.6918073350456216E-4"/>
  </r>
  <r>
    <x v="34"/>
    <s v="Pesos"/>
    <d v="2026-11-11T00:00:00"/>
    <s v="25/08/2026"/>
    <n v="0.93412525999999996"/>
    <m/>
    <n v="2500000"/>
    <n v="2335313.15"/>
    <n v="2500000"/>
    <n v="2335313.15"/>
    <n v="1015"/>
    <s v="AMOMPY"/>
    <s v="Momentum Capital Investment S.A."/>
    <s v="19/08/2026"/>
    <s v="19/08/2026"/>
    <n v="33"/>
    <s v="No"/>
    <s v=""/>
    <m/>
    <m/>
    <s v="*MAV061101050"/>
    <s v="*MAV061101050"/>
    <n v="3.8219907687467257E-5"/>
  </r>
  <r>
    <x v="34"/>
    <s v="Pesos"/>
    <d v="2026-11-11T00:00:00"/>
    <s v="25/08/2026"/>
    <n v="0.93412525999999996"/>
    <m/>
    <n v="2500000"/>
    <n v="2335313.15"/>
    <n v="2500000"/>
    <n v="2335313.15"/>
    <n v="1016"/>
    <s v="AMOMPY"/>
    <s v="Momentum Capital Investment S.A."/>
    <s v="19/08/2026"/>
    <s v="19/08/2026"/>
    <n v="33"/>
    <s v="No"/>
    <s v=""/>
    <m/>
    <m/>
    <s v="*MAV091100907"/>
    <s v="*MAV091100907"/>
    <n v="3.8219907687467257E-5"/>
  </r>
  <r>
    <x v="34"/>
    <s v="Pesos"/>
    <d v="2026-11-11T00:00:00"/>
    <s v="25/08/2026"/>
    <n v="0.93599361000000003"/>
    <m/>
    <n v="3000000"/>
    <n v="2807980.84"/>
    <n v="3000000"/>
    <n v="2807980.84"/>
    <n v="1052"/>
    <s v="AMOMPY"/>
    <s v="Momentum Capital Investment S.A."/>
    <s v="25/08/2026"/>
    <s v="25/08/2026"/>
    <n v="32"/>
    <s v="No"/>
    <s v=""/>
    <m/>
    <m/>
    <s v="*MAV061101059"/>
    <s v="*MAV061101059"/>
    <n v="4.5955622051362476E-5"/>
  </r>
  <r>
    <x v="34"/>
    <s v="Pesos"/>
    <d v="2026-11-11T00:00:00"/>
    <s v="25/08/2026"/>
    <n v="0.93599361000000003"/>
    <m/>
    <n v="3000000"/>
    <n v="2807980.84"/>
    <n v="3000000"/>
    <n v="2807980.84"/>
    <n v="1053"/>
    <s v="AMOMPY"/>
    <s v="Momentum Capital Investment S.A."/>
    <s v="25/08/2026"/>
    <s v="25/08/2026"/>
    <n v="32"/>
    <s v="No"/>
    <s v=""/>
    <m/>
    <m/>
    <s v="*MAV091100925"/>
    <s v="*MAV091100925"/>
    <n v="4.5955622051362476E-5"/>
  </r>
  <r>
    <x v="108"/>
    <s v="Pesos"/>
    <d v="2026-11-11T00:00:00"/>
    <s v="25/08/2026"/>
    <n v="0.93226414000000002"/>
    <m/>
    <n v="990902.64"/>
    <n v="923783"/>
    <n v="990902.64"/>
    <n v="923783"/>
    <n v="2964"/>
    <s v="AMOMPY"/>
    <s v="Momentum Capital Investment S.A."/>
    <s v="16/07/2026"/>
    <s v="16/07/2026"/>
    <n v="34"/>
    <s v="No"/>
    <s v=""/>
    <m/>
    <m/>
    <s v="*MAV061100971"/>
    <s v="*MAV061100971"/>
    <n v="1.51187008831135E-5"/>
  </r>
  <r>
    <x v="108"/>
    <s v="Pesos"/>
    <d v="2026-11-11T00:00:00"/>
    <s v="25/08/2026"/>
    <n v="0.93226412000000003"/>
    <m/>
    <n v="1020845.65"/>
    <n v="951697.77"/>
    <n v="1020845.65"/>
    <n v="951697.77"/>
    <n v="2915"/>
    <s v="AMOMPY"/>
    <s v="Momentum Capital Investment S.A."/>
    <s v="16/07/2026"/>
    <s v="16/07/2026"/>
    <n v="34"/>
    <s v="No"/>
    <s v=""/>
    <m/>
    <m/>
    <s v="*MAV071101344"/>
    <s v="*MAV071101344"/>
    <n v="1.5575556072969679E-5"/>
  </r>
  <r>
    <x v="108"/>
    <s v="Pesos"/>
    <d v="2026-11-11T00:00:00"/>
    <s v="25/08/2026"/>
    <n v="0.93226412000000003"/>
    <m/>
    <n v="1020845.65"/>
    <n v="951697.77"/>
    <n v="1020845.65"/>
    <n v="951697.77"/>
    <n v="2914"/>
    <s v="AMOMPY"/>
    <s v="Momentum Capital Investment S.A."/>
    <s v="16/07/2026"/>
    <s v="16/07/2026"/>
    <n v="34"/>
    <s v="No"/>
    <s v=""/>
    <m/>
    <m/>
    <s v="*MAV061100972"/>
    <s v="*MAV061100972"/>
    <n v="1.5575556072969679E-5"/>
  </r>
  <r>
    <x v="108"/>
    <s v="Pesos"/>
    <d v="2026-11-11T00:00:00"/>
    <s v="25/08/2026"/>
    <n v="0.92856444000000005"/>
    <m/>
    <n v="2510000.36"/>
    <n v="2330697.08"/>
    <n v="2510000.36"/>
    <n v="2330697.08"/>
    <n v="3161"/>
    <s v="AMOMPY"/>
    <s v="Momentum Capital Investment S.A."/>
    <s v="19/08/2026"/>
    <s v="19/08/2026"/>
    <n v="36"/>
    <s v="No"/>
    <s v=""/>
    <m/>
    <m/>
    <s v="*MAV061101044"/>
    <s v="*MAV061101044"/>
    <n v="3.8144360744532058E-5"/>
  </r>
  <r>
    <x v="108"/>
    <s v="Pesos"/>
    <d v="2026-11-11T00:00:00"/>
    <s v="25/08/2026"/>
    <n v="0.92856444000000005"/>
    <m/>
    <n v="2510000.36"/>
    <n v="2330697.08"/>
    <n v="2510000.36"/>
    <n v="2330697.08"/>
    <n v="3162"/>
    <s v="AMOMPY"/>
    <s v="Momentum Capital Investment S.A."/>
    <s v="19/08/2026"/>
    <s v="19/08/2026"/>
    <n v="36"/>
    <s v="No"/>
    <s v=""/>
    <m/>
    <m/>
    <s v="*MAV071101383"/>
    <s v="*MAV071101383"/>
    <n v="3.8144360744532058E-5"/>
  </r>
  <r>
    <x v="190"/>
    <s v="Pesos"/>
    <d v="2026-11-11T00:00:00"/>
    <s v="25/08/2026"/>
    <n v="0.94354256999999997"/>
    <m/>
    <n v="150000000"/>
    <n v="141531384.77000001"/>
    <n v="150000000"/>
    <n v="141531384.77000001"/>
    <n v="80"/>
    <s v="AMOMPY"/>
    <s v="Momentum Capital Investment S.A."/>
    <s v="12/08/2026"/>
    <s v="12/08/2026"/>
    <n v="28"/>
    <s v="No"/>
    <s v=""/>
    <m/>
    <m/>
    <s v="*MAV061101031"/>
    <s v="*MAV061101031"/>
    <n v="2.3163131080681022E-3"/>
  </r>
  <r>
    <x v="145"/>
    <s v="Pesos"/>
    <d v="2026-11-11T00:00:00"/>
    <s v="25/08/2026"/>
    <n v="0.93599359999999998"/>
    <m/>
    <n v="40000000"/>
    <n v="37439744.07"/>
    <n v="40000000"/>
    <n v="37439744.07"/>
    <n v="13953440"/>
    <s v="AMOMPY"/>
    <s v="Momentum Capital Investment S.A."/>
    <s v="31/07/2026"/>
    <s v="31/07/2026"/>
    <n v="32"/>
    <s v="No"/>
    <s v=""/>
    <m/>
    <m/>
    <s v="*MAV091100847"/>
    <s v="*MAV091100847"/>
    <n v="6.1274161976855211E-4"/>
  </r>
  <r>
    <x v="256"/>
    <s v="Pesos"/>
    <d v="2026-11-11T00:00:00"/>
    <s v="25/08/2026"/>
    <n v="0.93412516999999995"/>
    <m/>
    <n v="4296661.99"/>
    <n v="4013620.11"/>
    <n v="4296661.99"/>
    <n v="4013620.11"/>
    <n v="1541"/>
    <s v="AMOMPY"/>
    <s v="Momentum Capital Investment S.A."/>
    <s v="24/07/2026"/>
    <s v="24/07/2026"/>
    <n v="33"/>
    <s v="No"/>
    <s v=""/>
    <m/>
    <m/>
    <s v="*MAV061100982"/>
    <s v="*MAV061100982"/>
    <n v="6.5687203489931187E-5"/>
  </r>
  <r>
    <x v="219"/>
    <s v="Pesos"/>
    <d v="2026-11-11T00:00:00"/>
    <s v="25/08/2026"/>
    <n v="0.93412516000000001"/>
    <m/>
    <n v="20000000"/>
    <n v="18682503.27"/>
    <n v="20000000"/>
    <n v="18682503.27"/>
    <n v="40663540"/>
    <s v="AMOMPY"/>
    <s v="Momentum Capital Investment S.A."/>
    <s v="31/07/2026"/>
    <s v="31/07/2026"/>
    <n v="33"/>
    <s v="No"/>
    <s v=""/>
    <m/>
    <m/>
    <s v="*MAV081101197"/>
    <s v="*MAV081101197"/>
    <n v="3.0575922991321538E-4"/>
  </r>
  <r>
    <x v="257"/>
    <s v="Pesos"/>
    <d v="2026-11-11T00:00:00"/>
    <s v="25/08/2026"/>
    <n v="0.93412508999999999"/>
    <m/>
    <n v="8951101"/>
    <n v="8361448.0499999998"/>
    <n v="8951101"/>
    <n v="8361448.0499999998"/>
    <n v="14046167"/>
    <s v="AMOMPY"/>
    <s v="Momentum Capital Investment S.A."/>
    <s v="06/08/2026"/>
    <s v="06/08/2026"/>
    <n v="33"/>
    <s v="No"/>
    <s v=""/>
    <m/>
    <m/>
    <s v="*MAV091100864"/>
    <s v="*MAV091100864"/>
    <n v="1.3684407703718583E-4"/>
  </r>
  <r>
    <x v="111"/>
    <s v="Pesos"/>
    <d v="2026-11-12T00:00:00"/>
    <s v="25/08/2026"/>
    <n v="0.93333683999999995"/>
    <m/>
    <n v="30000000"/>
    <n v="28000105.280000001"/>
    <n v="30000000"/>
    <n v="28000105.280000001"/>
    <n v="475883"/>
    <s v="AMOMPY"/>
    <s v="Momentum Capital Investment S.A."/>
    <s v="07/08/2026"/>
    <s v="07/08/2026"/>
    <n v="33"/>
    <s v="No"/>
    <s v=""/>
    <m/>
    <m/>
    <s v="*MAV101101680"/>
    <s v="*MAV101101680"/>
    <n v="4.5825179335840449E-4"/>
  </r>
  <r>
    <x v="214"/>
    <s v="Pesos"/>
    <d v="2026-11-12T00:00:00"/>
    <s v="25/08/2026"/>
    <n v="0.92215974999999994"/>
    <m/>
    <n v="3750000"/>
    <n v="3458099.06"/>
    <n v="3750000"/>
    <n v="3458099.06"/>
    <n v="66918856"/>
    <s v="AMOMPY"/>
    <s v="Momentum Capital Investment S.A."/>
    <s v="13/05/2026"/>
    <s v="13/05/2026"/>
    <n v="39"/>
    <s v="No"/>
    <s v=""/>
    <m/>
    <m/>
    <s v="*MAV101101561"/>
    <s v="*MAV101101561"/>
    <n v="5.6595504910044855E-5"/>
  </r>
  <r>
    <x v="103"/>
    <s v="Pesos"/>
    <d v="2026-11-12T00:00:00"/>
    <s v="25/08/2026"/>
    <n v="0.92771471999999999"/>
    <m/>
    <n v="1555000.5"/>
    <n v="1442596.86"/>
    <n v="1555000.5"/>
    <n v="1442596.86"/>
    <n v="507"/>
    <s v="AMOMPY"/>
    <s v="Momentum Capital Investment S.A."/>
    <s v="19/08/2026"/>
    <s v="19/08/2026"/>
    <n v="36"/>
    <s v="No"/>
    <s v=""/>
    <m/>
    <m/>
    <s v="*MAV101101773"/>
    <s v="*MAV101101773"/>
    <n v="2.3609646877306427E-5"/>
  </r>
  <r>
    <x v="242"/>
    <s v="Pesos"/>
    <d v="2026-11-12T00:00:00"/>
    <s v="25/08/2026"/>
    <n v="0.92771453000000004"/>
    <m/>
    <n v="8560000"/>
    <n v="7941236.3899999997"/>
    <n v="8560000"/>
    <n v="7941236.3899999997"/>
    <n v="13054212"/>
    <s v="AMOMPY"/>
    <s v="Momentum Capital Investment S.A."/>
    <s v="22/04/2026"/>
    <s v="22/04/2026"/>
    <n v="36"/>
    <s v="No"/>
    <s v=""/>
    <m/>
    <m/>
    <s v="*AAR101100035"/>
    <s v="*AAR101100035"/>
    <n v="1.2996686193890347E-4"/>
  </r>
  <r>
    <x v="34"/>
    <s v="Pesos"/>
    <d v="2026-11-12T00:00:00"/>
    <s v="25/08/2026"/>
    <n v="0.93522609000000001"/>
    <m/>
    <n v="3000000"/>
    <n v="2805678.27"/>
    <n v="3000000"/>
    <n v="2805678.27"/>
    <n v="1054"/>
    <s v="AMOMPY"/>
    <s v="Momentum Capital Investment S.A."/>
    <s v="25/08/2026"/>
    <s v="25/08/2026"/>
    <n v="32"/>
    <s v="No"/>
    <s v=""/>
    <m/>
    <m/>
    <s v="*MAV101101799"/>
    <s v="*MAV101101799"/>
    <n v="4.5917938020488961E-5"/>
  </r>
  <r>
    <x v="83"/>
    <s v="Pesos"/>
    <d v="2026-11-12T00:00:00"/>
    <s v="25/08/2026"/>
    <n v="0.93145524000000002"/>
    <m/>
    <n v="4000000"/>
    <n v="3725820.94"/>
    <n v="4000000"/>
    <n v="3725820.94"/>
    <n v="90000052"/>
    <s v="AMOMPY"/>
    <s v="Momentum Capital Investment S.A."/>
    <s v="11/06/2026"/>
    <s v="11/06/2026"/>
    <n v="34"/>
    <s v="No"/>
    <s v=""/>
    <m/>
    <m/>
    <s v="*MAV101101571"/>
    <s v="*MAV101101571"/>
    <n v="6.0977060993654106E-5"/>
  </r>
  <r>
    <x v="8"/>
    <s v="Pesos"/>
    <d v="2026-11-12T00:00:00"/>
    <s v="25/08/2026"/>
    <n v="0.94094"/>
    <m/>
    <n v="11000000"/>
    <n v="10350339.949999999"/>
    <n v="11000000"/>
    <n v="10350339.949999999"/>
    <n v="90000056"/>
    <s v="AMOMPY"/>
    <s v="Momentum Capital Investment S.A."/>
    <s v="02/07/2026"/>
    <s v="02/07/2026"/>
    <n v="29"/>
    <s v="No"/>
    <s v=""/>
    <m/>
    <m/>
    <s v="*INP101100071"/>
    <s v="*INP101100071"/>
    <n v="1.6939442893254143E-4"/>
  </r>
  <r>
    <x v="10"/>
    <s v="Pesos"/>
    <d v="2026-11-12T00:00:00"/>
    <s v="25/08/2026"/>
    <n v="0.93902761000000001"/>
    <m/>
    <n v="10000000"/>
    <n v="9390276.0800000001"/>
    <n v="10000000"/>
    <n v="9390276.0800000001"/>
    <n v="68856243"/>
    <s v="AMOMPY"/>
    <s v="Momentum Capital Investment S.A."/>
    <s v="14/08/2026"/>
    <s v="14/08/2026"/>
    <n v="30"/>
    <s v="No"/>
    <s v=""/>
    <m/>
    <m/>
    <s v="*MIL101100039"/>
    <s v="*MIL101100039"/>
    <n v="1.5368195264837693E-4"/>
  </r>
  <r>
    <x v="34"/>
    <s v="Pesos"/>
    <d v="2026-11-12T00:00:00"/>
    <s v="25/08/2026"/>
    <n v="0.93902755999999998"/>
    <m/>
    <n v="2500000"/>
    <n v="2347568.91"/>
    <n v="2500000"/>
    <n v="2347568.91"/>
    <n v="888"/>
    <s v="AMOMPY"/>
    <s v="Momentum Capital Investment S.A."/>
    <s v="06/08/2026"/>
    <s v="06/08/2026"/>
    <n v="30"/>
    <s v="No"/>
    <s v=""/>
    <m/>
    <m/>
    <s v="*MAV101101674"/>
    <s v="*MAV101101674"/>
    <n v="3.8420486361826099E-5"/>
  </r>
  <r>
    <x v="34"/>
    <s v="Pesos"/>
    <d v="2026-11-12T00:00:00"/>
    <s v="25/08/2026"/>
    <n v="0.93333692999999995"/>
    <m/>
    <n v="2500000"/>
    <n v="2333342.33"/>
    <n v="2500000"/>
    <n v="2333342.33"/>
    <n v="1017"/>
    <s v="AMOMPY"/>
    <s v="Momentum Capital Investment S.A."/>
    <s v="19/08/2026"/>
    <s v="19/08/2026"/>
    <n v="33"/>
    <s v="No"/>
    <s v=""/>
    <m/>
    <m/>
    <s v="*MAV101101776"/>
    <s v="*MAV101101776"/>
    <n v="3.8187653101623555E-5"/>
  </r>
  <r>
    <x v="108"/>
    <s v="Pesos"/>
    <d v="2026-11-12T00:00:00"/>
    <s v="25/08/2026"/>
    <n v="0.92771471999999999"/>
    <m/>
    <n v="2510000.36"/>
    <n v="2328564.27"/>
    <n v="2510000.36"/>
    <n v="2328564.27"/>
    <n v="3163"/>
    <s v="AMOMPY"/>
    <s v="Momentum Capital Investment S.A."/>
    <s v="19/08/2026"/>
    <s v="19/08/2026"/>
    <n v="36"/>
    <s v="No"/>
    <s v=""/>
    <m/>
    <m/>
    <s v="*MAV101101772"/>
    <s v="*MAV101101772"/>
    <n v="3.8109455018370703E-5"/>
  </r>
  <r>
    <x v="145"/>
    <s v="Pesos"/>
    <d v="2026-11-12T00:00:00"/>
    <s v="25/08/2026"/>
    <n v="0.93522609999999995"/>
    <m/>
    <n v="40000000"/>
    <n v="37409043.979999997"/>
    <n v="40000000"/>
    <n v="37409043.979999997"/>
    <n v="13953441"/>
    <s v="AMOMPY"/>
    <s v="Momentum Capital Investment S.A."/>
    <s v="31/07/2026"/>
    <s v="31/07/2026"/>
    <n v="32"/>
    <s v="No"/>
    <s v=""/>
    <m/>
    <m/>
    <s v="*MAV101101649"/>
    <s v="*MAV101101649"/>
    <n v="6.1223917982562758E-4"/>
  </r>
  <r>
    <x v="147"/>
    <s v="Pesos"/>
    <d v="2026-11-12T00:00:00"/>
    <s v="25/08/2026"/>
    <n v="0.94286026000000001"/>
    <m/>
    <n v="50000000"/>
    <n v="47143013.219999999"/>
    <n v="50000000"/>
    <n v="47143013.219999999"/>
    <n v="30"/>
    <s v="AMOMPY"/>
    <s v="Momentum Capital Investment S.A."/>
    <s v="12/08/2026"/>
    <s v="12/08/2026"/>
    <n v="28"/>
    <s v="No"/>
    <s v=""/>
    <m/>
    <m/>
    <s v="*MAV101101709"/>
    <s v="*MAV101101709"/>
    <n v="7.7154604014345943E-4"/>
  </r>
  <r>
    <x v="29"/>
    <s v="Pesos"/>
    <d v="2026-11-12T00:00:00"/>
    <s v="25/08/2026"/>
    <n v="0.94093994000000003"/>
    <m/>
    <n v="17118303"/>
    <n v="16107294.99"/>
    <n v="17118303"/>
    <n v="16107294.99"/>
    <n v="27672"/>
    <s v="AMOMPY"/>
    <s v="Momentum Capital Investment S.A."/>
    <s v="30/04/2026"/>
    <s v="30/04/2026"/>
    <n v="29"/>
    <s v="No"/>
    <s v=""/>
    <m/>
    <m/>
    <s v="*NEU101100035"/>
    <s v="*NEU101100035"/>
    <n v="2.636131807901668E-4"/>
  </r>
  <r>
    <x v="99"/>
    <s v="Pesos"/>
    <d v="2026-11-12T00:00:00"/>
    <s v="25/08/2026"/>
    <n v="0.93522609999999995"/>
    <m/>
    <n v="16498838.289999999"/>
    <n v="15430144.18"/>
    <n v="16498838.289999999"/>
    <n v="15430144.18"/>
    <n v="30851"/>
    <s v="AMOMPY"/>
    <s v="Momentum Capital Investment S.A."/>
    <s v="31/07/2026"/>
    <s v="31/07/2026"/>
    <n v="32"/>
    <s v="No"/>
    <s v=""/>
    <m/>
    <m/>
    <s v="*MAV101101648"/>
    <s v="*MAV101101648"/>
    <n v="2.5253088056473717E-4"/>
  </r>
  <r>
    <x v="99"/>
    <s v="Pesos"/>
    <d v="2026-11-12T00:00:00"/>
    <s v="25/08/2026"/>
    <n v="0.93522609999999995"/>
    <m/>
    <n v="11829797.539999999"/>
    <n v="11063535.41"/>
    <n v="11829797.539999999"/>
    <n v="11063535.41"/>
    <n v="30895"/>
    <s v="AMOMPY"/>
    <s v="Momentum Capital Investment S.A."/>
    <s v="31/07/2026"/>
    <s v="31/07/2026"/>
    <n v="32"/>
    <s v="No"/>
    <s v=""/>
    <m/>
    <m/>
    <s v="*MAV101101650"/>
    <s v="*MAV101101650"/>
    <n v="1.810666385650358E-4"/>
  </r>
  <r>
    <x v="34"/>
    <s v="Pesos"/>
    <d v="2026-11-13T00:00:00"/>
    <s v="25/08/2026"/>
    <n v="0.93445982999999999"/>
    <m/>
    <n v="3000000"/>
    <n v="2803379.49"/>
    <n v="3000000"/>
    <n v="2803379.49"/>
    <n v="1055"/>
    <s v="AMOMPY"/>
    <s v="Momentum Capital Investment S.A."/>
    <s v="25/08/2026"/>
    <s v="25/08/2026"/>
    <n v="32"/>
    <s v="No"/>
    <s v=""/>
    <m/>
    <m/>
    <s v="*MAV111101387"/>
    <s v="*MAV111101387"/>
    <n v="4.5880316017035681E-5"/>
  </r>
  <r>
    <x v="10"/>
    <s v="Pesos"/>
    <d v="2026-11-13T00:00:00"/>
    <s v="25/08/2026"/>
    <n v="0.94608612000000003"/>
    <m/>
    <n v="15000000"/>
    <n v="14191291.77"/>
    <n v="15000000"/>
    <n v="14191291.77"/>
    <n v="9621094"/>
    <s v="AMOMPY"/>
    <s v="Momentum Capital Investment S.A."/>
    <s v="17/07/2026"/>
    <s v="17/07/2026"/>
    <n v="26"/>
    <s v="No"/>
    <s v=""/>
    <m/>
    <m/>
    <s v="*MIL111100036"/>
    <s v="*MIL111100036"/>
    <n v="2.322557304211274E-4"/>
  </r>
  <r>
    <x v="34"/>
    <s v="Pesos"/>
    <d v="2026-11-13T00:00:00"/>
    <s v="25/08/2026"/>
    <n v="0.93254994000000002"/>
    <m/>
    <n v="2500000"/>
    <n v="2331374.85"/>
    <n v="2500000"/>
    <n v="2331374.85"/>
    <n v="1018"/>
    <s v="AMOMPY"/>
    <s v="Momentum Capital Investment S.A."/>
    <s v="19/08/2026"/>
    <s v="19/08/2026"/>
    <n v="33"/>
    <s v="No"/>
    <s v=""/>
    <m/>
    <m/>
    <s v="*MAV111101370"/>
    <s v="*MAV111101370"/>
    <n v="3.8155453178466809E-5"/>
  </r>
  <r>
    <x v="126"/>
    <s v="Pesos"/>
    <d v="2026-11-13T00:00:00"/>
    <s v="25/08/2026"/>
    <n v="0.93445993000000005"/>
    <m/>
    <n v="50000000"/>
    <n v="46722996.490000002"/>
    <n v="50000000"/>
    <n v="46722996.490000002"/>
    <n v="5165"/>
    <s v="AMOMPY"/>
    <s v="Momentum Capital Investment S.A."/>
    <s v="12/08/2026"/>
    <s v="12/08/2026"/>
    <n v="32"/>
    <s v="No"/>
    <s v=""/>
    <m/>
    <m/>
    <s v="*MAV111101347"/>
    <s v="*MAV111101347"/>
    <n v="7.6467201528397036E-4"/>
  </r>
  <r>
    <x v="258"/>
    <s v="Pesos"/>
    <d v="2026-11-13T00:00:00"/>
    <s v="25/08/2026"/>
    <n v="0.93254994000000002"/>
    <m/>
    <n v="100071435.06999999"/>
    <n v="93321610.510000005"/>
    <n v="100071435.06999999"/>
    <n v="93321610.510000005"/>
    <n v="10434104"/>
    <s v="AMOMPY"/>
    <s v="Momentum Capital Investment S.A."/>
    <s v="19/08/2026"/>
    <s v="19/08/2026"/>
    <n v="33"/>
    <s v="No"/>
    <s v=""/>
    <m/>
    <m/>
    <s v="*MAV111101373"/>
    <s v="*MAV111101373"/>
    <n v="1.5273083778670003E-3"/>
  </r>
  <r>
    <x v="99"/>
    <s v="Pesos"/>
    <d v="2026-11-13T00:00:00"/>
    <s v="25/08/2026"/>
    <n v="0.93445984999999998"/>
    <m/>
    <n v="3742647.36"/>
    <n v="3497353.68"/>
    <n v="3742647.36"/>
    <n v="3497353.68"/>
    <n v="10559629"/>
    <s v="AMOMPY"/>
    <s v="Momentum Capital Investment S.A."/>
    <s v="31/07/2026"/>
    <s v="31/07/2026"/>
    <n v="32"/>
    <s v="No"/>
    <s v=""/>
    <m/>
    <m/>
    <s v="*MAV111101310"/>
    <s v="*MAV111101310"/>
    <n v="5.7237948923476886E-5"/>
  </r>
  <r>
    <x v="99"/>
    <s v="Pesos"/>
    <d v="2026-11-13T00:00:00"/>
    <s v="25/08/2026"/>
    <n v="0.93445986000000003"/>
    <m/>
    <n v="11829797.539999999"/>
    <n v="11054470.9"/>
    <n v="11829797.539999999"/>
    <n v="11054470.9"/>
    <n v="30896"/>
    <s v="AMOMPY"/>
    <s v="Momentum Capital Investment S.A."/>
    <s v="31/07/2026"/>
    <s v="31/07/2026"/>
    <n v="32"/>
    <s v="No"/>
    <s v=""/>
    <m/>
    <m/>
    <s v="*MAV111101311"/>
    <s v="*MAV111101311"/>
    <n v="1.8091828812414007E-4"/>
  </r>
  <r>
    <x v="99"/>
    <s v="Pesos"/>
    <d v="2026-11-13T00:00:00"/>
    <s v="25/08/2026"/>
    <n v="0.93445986000000003"/>
    <m/>
    <n v="11490967.439999999"/>
    <n v="10737847.77"/>
    <n v="11490967.439999999"/>
    <n v="10737847.77"/>
    <n v="30906"/>
    <s v="AMOMPY"/>
    <s v="Momentum Capital Investment S.A."/>
    <s v="31/07/2026"/>
    <s v="31/07/2026"/>
    <n v="32"/>
    <s v="No"/>
    <s v=""/>
    <m/>
    <m/>
    <s v="*MAV111101312"/>
    <s v="*MAV111101312"/>
    <n v="1.757364105672407E-4"/>
  </r>
  <r>
    <x v="99"/>
    <s v="Pesos"/>
    <d v="2026-11-13T00:00:00"/>
    <s v="25/08/2026"/>
    <n v="0.93445986000000003"/>
    <m/>
    <n v="11229494.109999999"/>
    <n v="10493511.439999999"/>
    <n v="11229494.109999999"/>
    <n v="10493511.439999999"/>
    <n v="30919"/>
    <s v="AMOMPY"/>
    <s v="Momentum Capital Investment S.A."/>
    <s v="31/07/2026"/>
    <s v="31/07/2026"/>
    <n v="32"/>
    <s v="No"/>
    <s v=""/>
    <m/>
    <m/>
    <s v="*MAV111101313"/>
    <s v="*MAV111101313"/>
    <n v="1.7173758412407416E-4"/>
  </r>
  <r>
    <x v="259"/>
    <s v="Pesos"/>
    <d v="2026-11-16T00:00:00"/>
    <s v="25/08/2026"/>
    <n v="0.93019702000000004"/>
    <m/>
    <n v="4069364.15"/>
    <n v="3785310.39"/>
    <n v="4069364.15"/>
    <n v="3785310.39"/>
    <n v="39543"/>
    <s v="AMOMPY"/>
    <s v="Momentum Capital Investment S.A."/>
    <s v="06/08/2026"/>
    <s v="06/08/2026"/>
    <n v="33"/>
    <s v="No"/>
    <s v=""/>
    <m/>
    <m/>
    <s v="*MAV121101263"/>
    <s v="*MAV121101263"/>
    <n v="6.1950669731042585E-5"/>
  </r>
  <r>
    <x v="214"/>
    <s v="Pesos"/>
    <d v="2026-11-16T00:00:00"/>
    <s v="25/08/2026"/>
    <n v="0.91853952000000005"/>
    <m/>
    <n v="3750000"/>
    <n v="3444523.18"/>
    <n v="3750000"/>
    <n v="3444523.18"/>
    <n v="66918897"/>
    <s v="AMOMPY"/>
    <s v="Momentum Capital Investment S.A."/>
    <s v="13/05/2026"/>
    <s v="13/05/2026"/>
    <n v="39"/>
    <s v="No"/>
    <s v=""/>
    <m/>
    <m/>
    <s v="*MAV121101139"/>
    <s v="*MAV121101139"/>
    <n v="5.6373321054155494E-5"/>
  </r>
  <r>
    <x v="34"/>
    <s v="Pesos"/>
    <d v="2026-11-16T00:00:00"/>
    <s v="25/08/2026"/>
    <n v="0.93216882999999995"/>
    <m/>
    <n v="3000000"/>
    <n v="2796506.5"/>
    <n v="3000000"/>
    <n v="2796506.5"/>
    <n v="1056"/>
    <s v="AMOMPY"/>
    <s v="Momentum Capital Investment S.A."/>
    <s v="25/08/2026"/>
    <s v="25/08/2026"/>
    <n v="32"/>
    <s v="No"/>
    <s v=""/>
    <m/>
    <m/>
    <s v="*MAV121101331"/>
    <s v="*MAV121101331"/>
    <n v="4.5767832154502347E-5"/>
  </r>
  <r>
    <x v="10"/>
    <s v="Pesos"/>
    <d v="2026-11-16T00:00:00"/>
    <s v="25/08/2026"/>
    <n v="0.93613753"/>
    <m/>
    <n v="40000000"/>
    <n v="37445501.159999996"/>
    <n v="40000000"/>
    <n v="37445501.159999996"/>
    <n v="4374"/>
    <s v="AMOMPY"/>
    <s v="Momentum Capital Investment S.A."/>
    <s v="14/08/2026"/>
    <s v="14/08/2026"/>
    <n v="30"/>
    <s v="No"/>
    <s v=""/>
    <m/>
    <m/>
    <s v="*MIL121100036"/>
    <s v="*MIL121100036"/>
    <n v="6.1283584072917502E-4"/>
  </r>
  <r>
    <x v="34"/>
    <s v="Pesos"/>
    <d v="2026-11-16T00:00:00"/>
    <s v="25/08/2026"/>
    <n v="0.93613747999999997"/>
    <m/>
    <n v="2500000"/>
    <n v="2340343.71"/>
    <n v="2500000"/>
    <n v="2340343.71"/>
    <n v="889"/>
    <s v="AMOMPY"/>
    <s v="Momentum Capital Investment S.A."/>
    <s v="06/08/2026"/>
    <s v="06/08/2026"/>
    <n v="30"/>
    <s v="No"/>
    <s v=""/>
    <m/>
    <m/>
    <s v="*MAV121101264"/>
    <s v="*MAV121101264"/>
    <n v="3.8302238204390125E-5"/>
  </r>
  <r>
    <x v="34"/>
    <s v="Pesos"/>
    <d v="2026-11-16T00:00:00"/>
    <s v="25/08/2026"/>
    <n v="0.93019715999999997"/>
    <m/>
    <n v="2500000"/>
    <n v="2325492.91"/>
    <n v="2500000"/>
    <n v="2325492.91"/>
    <n v="1019"/>
    <s v="AMOMPY"/>
    <s v="Momentum Capital Investment S.A."/>
    <s v="19/08/2026"/>
    <s v="19/08/2026"/>
    <n v="33"/>
    <s v="No"/>
    <s v=""/>
    <m/>
    <m/>
    <s v="*MAV121101312"/>
    <s v="*MAV121101312"/>
    <n v="3.8059188913512359E-5"/>
  </r>
  <r>
    <x v="260"/>
    <s v="Pesos"/>
    <d v="2026-11-16T00:00:00"/>
    <s v="25/08/2026"/>
    <n v="0.93019711999999999"/>
    <m/>
    <n v="5468322.6299999999"/>
    <n v="5086617.9800000004"/>
    <n v="5468322.6299999999"/>
    <n v="5086617.9800000004"/>
    <n v="762870"/>
    <s v="AMOMPY"/>
    <s v="Momentum Capital Investment S.A."/>
    <s v="28/07/2026"/>
    <s v="28/07/2026"/>
    <n v="33"/>
    <s v="No"/>
    <s v=""/>
    <m/>
    <m/>
    <s v="*MAV121101206"/>
    <s v="*MAV121101206"/>
    <n v="8.3247965968508847E-5"/>
  </r>
  <r>
    <x v="238"/>
    <s v="Pesos"/>
    <d v="2026-11-16T00:00:00"/>
    <s v="25/08/2026"/>
    <n v="0.93019706000000002"/>
    <m/>
    <n v="25000000"/>
    <n v="23254926.52"/>
    <n v="25000000"/>
    <n v="23254926.52"/>
    <n v="90016069"/>
    <s v="AMOMPY"/>
    <s v="Momentum Capital Investment S.A."/>
    <s v="14/08/2026"/>
    <s v="14/08/2026"/>
    <n v="33"/>
    <s v="No"/>
    <s v=""/>
    <m/>
    <m/>
    <s v="*MAV121101299"/>
    <s v="*MAV121101299"/>
    <n v="3.8059184691065278E-4"/>
  </r>
  <r>
    <x v="258"/>
    <s v="Pesos"/>
    <d v="2026-11-16T00:00:00"/>
    <s v="25/08/2026"/>
    <n v="0.93216882999999995"/>
    <m/>
    <n v="38054448.590000004"/>
    <n v="35473170.969999999"/>
    <n v="38054448.590000004"/>
    <n v="35473170.969999999"/>
    <n v="10434108"/>
    <s v="AMOMPY"/>
    <s v="Momentum Capital Investment S.A."/>
    <s v="25/08/2026"/>
    <s v="25/08/2026"/>
    <n v="32"/>
    <s v="No"/>
    <s v=""/>
    <m/>
    <m/>
    <s v="*MAV121101332"/>
    <s v="*MAV121101332"/>
    <n v="5.8055653900426307E-4"/>
  </r>
  <r>
    <x v="99"/>
    <s v="Pesos"/>
    <d v="2026-11-16T00:00:00"/>
    <s v="25/08/2026"/>
    <n v="0.93216885000000005"/>
    <m/>
    <n v="11829797.539999999"/>
    <n v="11027368.74"/>
    <n v="11829797.539999999"/>
    <n v="11027368.74"/>
    <n v="30897"/>
    <s v="AMOMPY"/>
    <s v="Momentum Capital Investment S.A."/>
    <s v="31/07/2026"/>
    <s v="31/07/2026"/>
    <n v="32"/>
    <s v="No"/>
    <s v=""/>
    <m/>
    <m/>
    <s v="*MAV121101212"/>
    <s v="*MAV121101212"/>
    <n v="1.8047473216962879E-4"/>
  </r>
  <r>
    <x v="99"/>
    <s v="Pesos"/>
    <d v="2026-11-16T00:00:00"/>
    <s v="25/08/2026"/>
    <n v="0.93216885000000005"/>
    <m/>
    <n v="11229494.109999999"/>
    <n v="10467784.59"/>
    <n v="11229494.109999999"/>
    <n v="10467784.59"/>
    <n v="30920"/>
    <s v="AMOMPY"/>
    <s v="Momentum Capital Investment S.A."/>
    <s v="31/07/2026"/>
    <s v="31/07/2026"/>
    <n v="32"/>
    <s v="No"/>
    <s v=""/>
    <m/>
    <m/>
    <s v="*MAV121101210"/>
    <s v="*MAV121101210"/>
    <n v="1.7131653659471422E-4"/>
  </r>
  <r>
    <x v="99"/>
    <s v="Pesos"/>
    <d v="2026-11-16T00:00:00"/>
    <s v="25/08/2026"/>
    <n v="0.93216885000000005"/>
    <m/>
    <n v="11490967.439999999"/>
    <n v="10711521.880000001"/>
    <n v="11490967.439999999"/>
    <n v="10711521.880000001"/>
    <n v="30907"/>
    <s v="AMOMPY"/>
    <s v="Momentum Capital Investment S.A."/>
    <s v="31/07/2026"/>
    <s v="31/07/2026"/>
    <n v="32"/>
    <s v="No"/>
    <s v=""/>
    <m/>
    <m/>
    <s v="*MAV121101211"/>
    <s v="*MAV121101211"/>
    <n v="1.7530555910494735E-4"/>
  </r>
  <r>
    <x v="242"/>
    <s v="Pesos"/>
    <d v="2026-11-17T00:00:00"/>
    <s v="25/08/2026"/>
    <n v="0.92348962000000001"/>
    <m/>
    <n v="9450000"/>
    <n v="8726976.8900000006"/>
    <n v="9450000"/>
    <n v="8726976.8900000006"/>
    <n v="66335143"/>
    <s v="AMOMPY"/>
    <s v="Momentum Capital Investment S.A."/>
    <s v="22/04/2026"/>
    <s v="22/04/2026"/>
    <n v="36"/>
    <s v="No"/>
    <s v=""/>
    <m/>
    <m/>
    <s v="*AAR131100017"/>
    <s v="*AAR131100017"/>
    <n v="1.4282634906006509E-4"/>
  </r>
  <r>
    <x v="49"/>
    <s v="Dolar 3500"/>
    <d v="2026-11-17T00:00:00"/>
    <s v="25/08/2026"/>
    <n v="0.98192155999999997"/>
    <s v="1 US3 = 1511,5325398191 $"/>
    <n v="18230"/>
    <n v="17900.43"/>
    <n v="27555238.199999999"/>
    <n v="27057082.420000002"/>
    <n v="146446"/>
    <s v="AMOMPY"/>
    <s v="Momentum Capital Investment S.A."/>
    <s v="17/04/2026"/>
    <s v="17/04/2026"/>
    <n v="8"/>
    <s v="No"/>
    <s v=""/>
    <m/>
    <m/>
    <s v="#UMV131160016"/>
    <s v="#UMV131160016"/>
    <n v="4.428182115039233E-4"/>
  </r>
  <r>
    <x v="47"/>
    <s v="Pesos"/>
    <d v="2026-11-17T00:00:00"/>
    <s v="25/08/2026"/>
    <n v="0.92743186"/>
    <m/>
    <n v="10000000"/>
    <n v="9274318.5500000007"/>
    <n v="10000000"/>
    <n v="9274318.5500000007"/>
    <n v="14284515"/>
    <s v="AMOMPY"/>
    <s v="Momentum Capital Investment S.A."/>
    <s v="24/08/2026"/>
    <s v="24/08/2026"/>
    <n v="34"/>
    <s v="No"/>
    <s v=""/>
    <m/>
    <m/>
    <s v="*MAV131101195"/>
    <s v="*MAV131101195"/>
    <n v="1.5178418313842204E-4"/>
  </r>
  <r>
    <x v="10"/>
    <s v="Pesos"/>
    <d v="2026-11-17T00:00:00"/>
    <s v="25/08/2026"/>
    <n v="0.93541795999999999"/>
    <m/>
    <n v="25000000"/>
    <n v="23385449"/>
    <n v="25000000"/>
    <n v="23385449"/>
    <n v="12742280"/>
    <s v="AMOMPY"/>
    <s v="Momentum Capital Investment S.A."/>
    <s v="14/08/2026"/>
    <s v="14/08/2026"/>
    <n v="30"/>
    <s v="No"/>
    <s v=""/>
    <m/>
    <m/>
    <s v="*MIL131100037"/>
    <s v="*MIL131100037"/>
    <n v="3.8272798746924951E-4"/>
  </r>
  <r>
    <x v="12"/>
    <s v="Pesos"/>
    <d v="2026-11-17T00:00:00"/>
    <s v="25/08/2026"/>
    <n v="0.94559585999999995"/>
    <m/>
    <n v="32000000"/>
    <n v="30259067.489999998"/>
    <n v="32000000"/>
    <n v="30259067.489999998"/>
    <n v="5314"/>
    <s v="AMOMPY"/>
    <s v="Momentum Capital Investment S.A."/>
    <s v="16/07/2026"/>
    <s v="16/07/2026"/>
    <n v="25"/>
    <s v="No"/>
    <s v=""/>
    <m/>
    <m/>
    <s v="*PRO131100019"/>
    <s v="*PRO131100019"/>
    <n v="4.9522213591639372E-4"/>
  </r>
  <r>
    <x v="12"/>
    <s v="Pesos"/>
    <d v="2026-11-17T00:00:00"/>
    <s v="25/08/2026"/>
    <n v="0.93743589999999999"/>
    <m/>
    <n v="35000000"/>
    <n v="32810256.550000001"/>
    <n v="35000000"/>
    <n v="32810256.550000001"/>
    <n v="66"/>
    <s v="AMOMPY"/>
    <s v="Momentum Capital Investment S.A."/>
    <s v="29/05/2026"/>
    <s v="29/05/2026"/>
    <n v="29"/>
    <s v="No"/>
    <s v=""/>
    <m/>
    <m/>
    <s v="*PRO131100018"/>
    <s v="*PRO131100018"/>
    <n v="5.3697508470892572E-4"/>
  </r>
  <r>
    <x v="34"/>
    <s v="Pesos"/>
    <d v="2026-11-17T00:00:00"/>
    <s v="25/08/2026"/>
    <n v="0.92941545000000003"/>
    <m/>
    <n v="2500000"/>
    <n v="2323538.62"/>
    <n v="2500000"/>
    <n v="2323538.62"/>
    <n v="1020"/>
    <s v="AMOMPY"/>
    <s v="Momentum Capital Investment S.A."/>
    <s v="19/08/2026"/>
    <s v="19/08/2026"/>
    <n v="33"/>
    <s v="No"/>
    <s v=""/>
    <m/>
    <m/>
    <s v="*MAV131101163"/>
    <s v="*MAV131101163"/>
    <n v="3.8027204858870888E-5"/>
  </r>
  <r>
    <x v="34"/>
    <s v="Pesos"/>
    <d v="2026-11-17T00:00:00"/>
    <s v="25/08/2026"/>
    <n v="0.93140785000000004"/>
    <m/>
    <n v="3000000"/>
    <n v="2794223.54"/>
    <n v="3000000"/>
    <n v="2794223.54"/>
    <n v="1057"/>
    <s v="AMOMPY"/>
    <s v="Momentum Capital Investment S.A."/>
    <s v="25/08/2026"/>
    <s v="25/08/2026"/>
    <n v="32"/>
    <s v="No"/>
    <s v=""/>
    <m/>
    <m/>
    <s v="*MAV131101205"/>
    <s v="*MAV131101205"/>
    <n v="4.5730469062338807E-5"/>
  </r>
  <r>
    <x v="17"/>
    <s v="Pesos"/>
    <d v="2026-11-17T00:00:00"/>
    <s v="25/08/2026"/>
    <n v="0.92545657000000003"/>
    <m/>
    <n v="25000000"/>
    <n v="23136414.32"/>
    <n v="25000000"/>
    <n v="23136414.32"/>
    <n v="123"/>
    <s v="AMOMPY"/>
    <s v="Momentum Capital Investment S.A."/>
    <s v="13/08/2026"/>
    <s v="13/08/2026"/>
    <n v="35"/>
    <s v="No"/>
    <s v=""/>
    <m/>
    <m/>
    <s v="*MAV131101141"/>
    <s v="*MAV131101141"/>
    <n v="3.7865226748258393E-4"/>
  </r>
  <r>
    <x v="190"/>
    <s v="Pesos"/>
    <d v="2026-11-17T00:00:00"/>
    <s v="25/08/2026"/>
    <n v="0.93946267000000006"/>
    <m/>
    <n v="150000000"/>
    <n v="140919400.09999999"/>
    <n v="150000000"/>
    <n v="140919400.09999999"/>
    <n v="79"/>
    <s v="AMOMPY"/>
    <s v="Momentum Capital Investment S.A."/>
    <s v="12/08/2026"/>
    <s v="12/08/2026"/>
    <n v="28"/>
    <s v="No"/>
    <s v=""/>
    <m/>
    <m/>
    <s v="*MAV131101138"/>
    <s v="*MAV131101138"/>
    <n v="2.3062973217083389E-3"/>
  </r>
  <r>
    <x v="261"/>
    <s v="Pesos"/>
    <d v="2026-11-17T00:00:00"/>
    <s v="25/08/2026"/>
    <n v="0.92941543000000004"/>
    <m/>
    <n v="25000000"/>
    <n v="23235385.68"/>
    <n v="25000000"/>
    <n v="23235385.68"/>
    <n v="68636415"/>
    <s v="AMOMPY"/>
    <s v="Momentum Capital Investment S.A."/>
    <s v="28/07/2026"/>
    <s v="28/07/2026"/>
    <n v="33"/>
    <s v="No"/>
    <s v=""/>
    <m/>
    <m/>
    <s v="*MAV131101091"/>
    <s v="*MAV131101091"/>
    <n v="3.8027204007835038E-4"/>
  </r>
  <r>
    <x v="262"/>
    <s v="Pesos"/>
    <d v="2026-11-17T00:00:00"/>
    <s v="25/08/2026"/>
    <n v="0.92545659999999996"/>
    <m/>
    <n v="3087576.27"/>
    <n v="2857417.84"/>
    <n v="3087576.27"/>
    <n v="2857417.84"/>
    <n v="1507"/>
    <s v="AMOMPY"/>
    <s v="Momentum Capital Investment S.A."/>
    <s v="24/08/2026"/>
    <s v="24/08/2026"/>
    <n v="35"/>
    <s v="No"/>
    <s v=""/>
    <m/>
    <m/>
    <s v="*MAV131101199"/>
    <s v="*MAV131101199"/>
    <n v="4.6764711648766285E-5"/>
  </r>
  <r>
    <x v="166"/>
    <s v="Pesos"/>
    <d v="2026-11-17T00:00:00"/>
    <s v="25/08/2026"/>
    <n v="0.93140769000000001"/>
    <m/>
    <n v="15000000"/>
    <n v="13971115.279999999"/>
    <n v="15000000"/>
    <n v="13971115.279999999"/>
    <n v="67449055"/>
    <s v="AMOMPY"/>
    <s v="Momentum Capital Investment S.A."/>
    <s v="05/06/2026"/>
    <s v="05/06/2026"/>
    <n v="32"/>
    <s v="No"/>
    <s v=""/>
    <m/>
    <m/>
    <s v="*MAV131101027"/>
    <s v="*MAV131101027"/>
    <n v="2.2865230570579508E-4"/>
  </r>
  <r>
    <x v="111"/>
    <s v="Pesos"/>
    <d v="2026-11-18T00:00:00"/>
    <s v="25/08/2026"/>
    <n v="0.92863521999999998"/>
    <m/>
    <n v="25000000"/>
    <n v="23215880.41"/>
    <n v="25000000"/>
    <n v="23215880.41"/>
    <n v="475884"/>
    <s v="AMOMPY"/>
    <s v="Momentum Capital Investment S.A."/>
    <s v="07/08/2026"/>
    <s v="07/08/2026"/>
    <n v="33"/>
    <s v="No"/>
    <s v=""/>
    <m/>
    <m/>
    <s v="*MAV161100990"/>
    <s v="*MAV161100990"/>
    <n v="3.7995281538729812E-4"/>
  </r>
  <r>
    <x v="242"/>
    <s v="Pesos"/>
    <d v="2026-11-18T00:00:00"/>
    <s v="25/08/2026"/>
    <n v="0.92264919999999995"/>
    <m/>
    <n v="9450000"/>
    <n v="8719034.9199999999"/>
    <n v="9450000"/>
    <n v="8719034.9199999999"/>
    <n v="66335193"/>
    <s v="AMOMPY"/>
    <s v="Momentum Capital Investment S.A."/>
    <s v="22/04/2026"/>
    <s v="22/04/2026"/>
    <n v="36"/>
    <s v="No"/>
    <s v=""/>
    <m/>
    <m/>
    <s v="*AAR161100027"/>
    <s v="*AAR161100027"/>
    <n v="1.4269637019181068E-4"/>
  </r>
  <r>
    <x v="65"/>
    <s v="Pesos"/>
    <d v="2026-11-18T00:00:00"/>
    <s v="25/08/2026"/>
    <n v="0.93266906999999999"/>
    <m/>
    <n v="2500000"/>
    <n v="2331672.6800000002"/>
    <n v="2500000"/>
    <n v="2331672.6800000002"/>
    <n v="90003663"/>
    <s v="AMOMPY"/>
    <s v="Momentum Capital Investment S.A."/>
    <s v="01/07/2026"/>
    <s v="01/07/2026"/>
    <n v="31"/>
    <s v="No"/>
    <s v=""/>
    <m/>
    <m/>
    <s v="*CVA161100008"/>
    <s v="*CVA161100008"/>
    <n v="3.8160327486268552E-5"/>
  </r>
  <r>
    <x v="83"/>
    <s v="Pesos"/>
    <d v="2026-11-18T00:00:00"/>
    <s v="25/08/2026"/>
    <n v="0.92463592999999999"/>
    <m/>
    <n v="1500000"/>
    <n v="1386953.9"/>
    <n v="1500000"/>
    <n v="1386953.9"/>
    <n v="5"/>
    <s v="AMOMPY"/>
    <s v="Momentum Capital Investment S.A."/>
    <s v="23/04/2026"/>
    <s v="23/04/2026"/>
    <n v="35"/>
    <s v="No"/>
    <s v=""/>
    <m/>
    <m/>
    <s v="*MAV151101538"/>
    <s v="*MAV151101538"/>
    <n v="2.2698990079669913E-5"/>
  </r>
  <r>
    <x v="10"/>
    <s v="Pesos"/>
    <d v="2026-11-18T00:00:00"/>
    <s v="25/08/2026"/>
    <n v="0.93469926999999997"/>
    <m/>
    <n v="3000000"/>
    <n v="2804097.8"/>
    <n v="3000000"/>
    <n v="2804097.8"/>
    <n v="12759461"/>
    <s v="AMOMPY"/>
    <s v="Momentum Capital Investment S.A."/>
    <s v="14/08/2026"/>
    <s v="14/08/2026"/>
    <n v="30"/>
    <s v="No"/>
    <s v=""/>
    <m/>
    <m/>
    <s v="*MIL161100019"/>
    <s v="*MIL161100019"/>
    <n v="4.5892071931607982E-5"/>
  </r>
  <r>
    <x v="10"/>
    <s v="Pesos"/>
    <d v="2026-11-18T00:00:00"/>
    <s v="25/08/2026"/>
    <n v="0.94290881000000004"/>
    <m/>
    <n v="15000000"/>
    <n v="14143632.199999999"/>
    <n v="15000000"/>
    <n v="14143632.199999999"/>
    <n v="9621095"/>
    <s v="AMOMPY"/>
    <s v="Momentum Capital Investment S.A."/>
    <s v="17/07/2026"/>
    <s v="17/07/2026"/>
    <n v="26"/>
    <s v="No"/>
    <s v=""/>
    <m/>
    <m/>
    <s v="*MIL151100042"/>
    <s v="*MIL151100042"/>
    <n v="2.3147573037452792E-4"/>
  </r>
  <r>
    <x v="10"/>
    <s v="Pesos"/>
    <d v="2026-11-18T00:00:00"/>
    <s v="25/08/2026"/>
    <n v="0.93266912999999996"/>
    <m/>
    <n v="15000000"/>
    <n v="13990036.99"/>
    <n v="15000000"/>
    <n v="13990036.99"/>
    <n v="2438"/>
    <s v="AMOMPY"/>
    <s v="Momentum Capital Investment S.A."/>
    <s v="14/08/2026"/>
    <s v="14/08/2026"/>
    <n v="31"/>
    <s v="No"/>
    <s v=""/>
    <m/>
    <m/>
    <s v="*MIL141100051"/>
    <s v="*MIL141100051"/>
    <n v="2.2896197981073859E-4"/>
  </r>
  <r>
    <x v="34"/>
    <s v="Pesos"/>
    <d v="2026-11-18T00:00:00"/>
    <s v="25/08/2026"/>
    <n v="0.92863505000000002"/>
    <m/>
    <n v="2500000"/>
    <n v="2321587.63"/>
    <n v="2500000"/>
    <n v="2321587.63"/>
    <n v="1021"/>
    <s v="AMOMPY"/>
    <s v="Momentum Capital Investment S.A."/>
    <s v="19/08/2026"/>
    <s v="19/08/2026"/>
    <n v="33"/>
    <s v="No"/>
    <s v=""/>
    <m/>
    <m/>
    <s v="*MAV161101032"/>
    <s v="*MAV161101032"/>
    <n v="3.799527481227342E-5"/>
  </r>
  <r>
    <x v="34"/>
    <s v="Pesos"/>
    <d v="2026-11-18T00:00:00"/>
    <s v="25/08/2026"/>
    <n v="0.93064782999999995"/>
    <m/>
    <n v="3000000"/>
    <n v="2791943.48"/>
    <n v="3000000"/>
    <n v="2791943.48"/>
    <n v="1058"/>
    <s v="AMOMPY"/>
    <s v="Momentum Capital Investment S.A."/>
    <s v="25/08/2026"/>
    <s v="25/08/2026"/>
    <n v="32"/>
    <s v="No"/>
    <s v=""/>
    <m/>
    <m/>
    <s v="*MAV161101067"/>
    <s v="*MAV161101067"/>
    <n v="4.5693153431789691E-5"/>
  </r>
  <r>
    <x v="197"/>
    <s v="Pesos"/>
    <d v="2026-11-18T00:00:00"/>
    <s v="25/08/2026"/>
    <n v="0.92067109000000003"/>
    <m/>
    <n v="25000000"/>
    <n v="23016777.27"/>
    <n v="25000000"/>
    <n v="23016777.27"/>
    <n v="2659"/>
    <s v="AMOMPY"/>
    <s v="Momentum Capital Investment S.A."/>
    <s v="24/08/2026"/>
    <s v="24/08/2026"/>
    <n v="37"/>
    <s v="No"/>
    <s v=""/>
    <m/>
    <m/>
    <s v="*MAV161101059"/>
    <s v="*MAV161101059"/>
    <n v="3.7669427867624295E-4"/>
  </r>
  <r>
    <x v="17"/>
    <s v="Pesos"/>
    <d v="2026-11-18T00:00:00"/>
    <s v="25/08/2026"/>
    <n v="0.92463585999999998"/>
    <m/>
    <n v="15000000"/>
    <n v="13869537.949999999"/>
    <n v="15000000"/>
    <n v="13869537.949999999"/>
    <n v="148"/>
    <s v="AMOMPY"/>
    <s v="Momentum Capital Investment S.A."/>
    <s v="19/08/2026"/>
    <s v="19/08/2026"/>
    <n v="35"/>
    <s v="No"/>
    <s v=""/>
    <m/>
    <m/>
    <s v="*MAV161101030"/>
    <s v="*MAV161101030"/>
    <n v="2.269898836123215E-4"/>
  </r>
  <r>
    <x v="246"/>
    <s v="Pesos"/>
    <d v="2026-11-18T00:00:00"/>
    <s v="25/08/2026"/>
    <n v="0.92663132999999998"/>
    <m/>
    <n v="13000000"/>
    <n v="12046207.32"/>
    <n v="13000000"/>
    <n v="12046207.32"/>
    <n v="14330928"/>
    <s v="AMOMPY"/>
    <s v="Momentum Capital Investment S.A."/>
    <s v="25/08/2026"/>
    <s v="25/08/2026"/>
    <n v="34"/>
    <s v="No"/>
    <s v=""/>
    <m/>
    <m/>
    <s v="*MAV151101608"/>
    <s v="*MAV151101608"/>
    <n v="1.9714911970349346E-4"/>
  </r>
  <r>
    <x v="38"/>
    <s v="Pesos"/>
    <d v="2026-11-18T00:00:00"/>
    <s v="25/08/2026"/>
    <n v="0.93878614000000005"/>
    <m/>
    <n v="16797939.449999999"/>
    <n v="15769672.66"/>
    <n v="16797939.449999999"/>
    <n v="15769672.66"/>
    <n v="598437"/>
    <s v="AMOMPY"/>
    <s v="Momentum Capital Investment S.A."/>
    <s v="10/08/2026"/>
    <s v="10/08/2026"/>
    <n v="28"/>
    <s v="No"/>
    <s v=""/>
    <m/>
    <m/>
    <s v="*MAV161100997"/>
    <s v="*MAV161100997"/>
    <n v="2.5808762877337299E-4"/>
  </r>
  <r>
    <x v="38"/>
    <s v="Pesos"/>
    <d v="2026-11-18T00:00:00"/>
    <s v="25/08/2026"/>
    <n v="0.93878614000000005"/>
    <m/>
    <n v="7158904.5"/>
    <n v="6720680.29"/>
    <n v="7158904.5"/>
    <n v="6720680.29"/>
    <n v="654496"/>
    <s v="AMOMPY"/>
    <s v="Momentum Capital Investment S.A."/>
    <s v="10/08/2026"/>
    <s v="10/08/2026"/>
    <n v="28"/>
    <s v="No"/>
    <s v=""/>
    <m/>
    <m/>
    <s v="*MAV161100996"/>
    <s v="*MAV161100996"/>
    <n v="1.0999115055759468E-4"/>
  </r>
  <r>
    <x v="38"/>
    <s v="Pesos"/>
    <d v="2026-11-18T00:00:00"/>
    <s v="25/08/2026"/>
    <n v="0.93878614000000005"/>
    <m/>
    <n v="15011972.220000001"/>
    <n v="14093031.390000001"/>
    <n v="15011972.220000001"/>
    <n v="14093031.390000001"/>
    <n v="654215"/>
    <s v="AMOMPY"/>
    <s v="Momentum Capital Investment S.A."/>
    <s v="10/08/2026"/>
    <s v="10/08/2026"/>
    <n v="28"/>
    <s v="No"/>
    <s v=""/>
    <m/>
    <m/>
    <s v="*MAV161100999"/>
    <s v="*MAV161100999"/>
    <n v="2.3064759377661127E-4"/>
  </r>
  <r>
    <x v="38"/>
    <s v="Pesos"/>
    <d v="2026-11-18T00:00:00"/>
    <s v="25/08/2026"/>
    <n v="0.93878614000000005"/>
    <m/>
    <n v="8829623.3000000007"/>
    <n v="8289127.9400000004"/>
    <n v="8829623.3000000007"/>
    <n v="8289127.9400000004"/>
    <n v="636510"/>
    <s v="AMOMPY"/>
    <s v="Momentum Capital Investment S.A."/>
    <s v="10/08/2026"/>
    <s v="10/08/2026"/>
    <n v="28"/>
    <s v="No"/>
    <s v=""/>
    <m/>
    <m/>
    <s v="*MAV161100998"/>
    <s v="*MAV161100998"/>
    <n v="1.3566048076953007E-4"/>
  </r>
  <r>
    <x v="139"/>
    <s v="Pesos"/>
    <d v="2026-11-18T00:00:00"/>
    <s v="25/08/2026"/>
    <n v="0.93469917000000002"/>
    <m/>
    <n v="50000000"/>
    <n v="46734958.340000004"/>
    <n v="50000000"/>
    <n v="46734958.340000004"/>
    <n v="68016"/>
    <s v="AMOMPY"/>
    <s v="Momentum Capital Investment S.A."/>
    <s v="29/07/2026"/>
    <s v="29/07/2026"/>
    <n v="30"/>
    <s v="No"/>
    <s v=""/>
    <m/>
    <m/>
    <s v="*MAV161100954"/>
    <s v="*MAV161100954"/>
    <n v="7.6486778380553731E-4"/>
  </r>
  <r>
    <x v="263"/>
    <s v="Pesos"/>
    <d v="2026-11-18T00:00:00"/>
    <s v="25/08/2026"/>
    <n v="0.92863501000000004"/>
    <m/>
    <n v="735765"/>
    <n v="683257.14"/>
    <n v="735765"/>
    <n v="683257.14"/>
    <n v="262870"/>
    <s v="AMOMPY"/>
    <s v="Momentum Capital Investment S.A."/>
    <s v="28/07/2026"/>
    <s v="28/07/2026"/>
    <n v="33"/>
    <s v="No"/>
    <s v=""/>
    <m/>
    <m/>
    <s v="*MAV141101452"/>
    <s v="*MAV141101452"/>
    <n v="1.1182236873715586E-5"/>
  </r>
  <r>
    <x v="214"/>
    <s v="Pesos"/>
    <d v="2026-11-19T00:00:00"/>
    <s v="25/08/2026"/>
    <n v="0.91584295999999998"/>
    <m/>
    <n v="3750000"/>
    <n v="3434411.12"/>
    <n v="3750000"/>
    <n v="3434411.12"/>
    <n v="66918963"/>
    <s v="AMOMPY"/>
    <s v="Momentum Capital Investment S.A."/>
    <s v="13/05/2026"/>
    <s v="13/05/2026"/>
    <n v="39"/>
    <s v="No"/>
    <s v=""/>
    <m/>
    <m/>
    <s v="*MAV171101249"/>
    <s v="*MAV171101249"/>
    <n v="5.6207826332503222E-5"/>
  </r>
  <r>
    <x v="149"/>
    <s v="Pesos"/>
    <d v="2026-11-19T00:00:00"/>
    <s v="25/08/2026"/>
    <n v="0.93811047999999997"/>
    <m/>
    <n v="20279181.25"/>
    <n v="19024112.510000002"/>
    <n v="20279181.25"/>
    <n v="19024112.510000002"/>
    <n v="99803231"/>
    <s v="AMOMPY"/>
    <s v="Momentum Capital Investment S.A."/>
    <s v="10/08/2026"/>
    <s v="10/08/2026"/>
    <n v="28"/>
    <s v="No"/>
    <s v=""/>
    <m/>
    <m/>
    <s v="*MAV171101338"/>
    <s v="*MAV171101338"/>
    <n v="3.1135003199386394E-4"/>
  </r>
  <r>
    <x v="34"/>
    <s v="Pesos"/>
    <d v="2026-11-19T00:00:00"/>
    <s v="25/08/2026"/>
    <n v="0.92988903999999994"/>
    <m/>
    <n v="3000000"/>
    <n v="2789667.13"/>
    <n v="3000000"/>
    <n v="2789667.13"/>
    <n v="1059"/>
    <s v="AMOMPY"/>
    <s v="Momentum Capital Investment S.A."/>
    <s v="25/08/2026"/>
    <s v="25/08/2026"/>
    <n v="32"/>
    <s v="No"/>
    <s v=""/>
    <m/>
    <m/>
    <s v="*MAV171101402"/>
    <s v="*MAV171101402"/>
    <n v="4.56558985193749E-5"/>
  </r>
  <r>
    <x v="47"/>
    <s v="Pesos"/>
    <d v="2026-11-19T00:00:00"/>
    <s v="25/08/2026"/>
    <n v="0.92583203000000003"/>
    <m/>
    <n v="10000000"/>
    <n v="9258320.2699999996"/>
    <n v="10000000"/>
    <n v="9258320.2699999996"/>
    <n v="14284516"/>
    <s v="AMOMPY"/>
    <s v="Momentum Capital Investment S.A."/>
    <s v="24/08/2026"/>
    <s v="24/08/2026"/>
    <n v="34"/>
    <s v="No"/>
    <s v=""/>
    <m/>
    <m/>
    <s v="*MAV171101394"/>
    <s v="*MAV171101394"/>
    <n v="1.5152235410501882E-4"/>
  </r>
  <r>
    <x v="34"/>
    <s v="Pesos"/>
    <d v="2026-11-19T00:00:00"/>
    <s v="25/08/2026"/>
    <n v="0.93398161999999996"/>
    <m/>
    <n v="2500000"/>
    <n v="2334954.0499999998"/>
    <n v="2500000"/>
    <n v="2334954.0499999998"/>
    <n v="890"/>
    <s v="AMOMPY"/>
    <s v="Momentum Capital Investment S.A."/>
    <s v="06/08/2026"/>
    <s v="06/08/2026"/>
    <n v="30"/>
    <s v="No"/>
    <s v=""/>
    <m/>
    <m/>
    <s v="*MAV171101324"/>
    <s v="*MAV171101324"/>
    <n v="3.8214030630315169E-5"/>
  </r>
  <r>
    <x v="34"/>
    <s v="Pesos"/>
    <d v="2026-11-19T00:00:00"/>
    <s v="25/08/2026"/>
    <n v="0.92785622999999995"/>
    <m/>
    <n v="2500000"/>
    <n v="2319640.58"/>
    <n v="2500000"/>
    <n v="2319640.58"/>
    <n v="1022"/>
    <s v="AMOMPY"/>
    <s v="Momentum Capital Investment S.A."/>
    <s v="19/08/2026"/>
    <s v="19/08/2026"/>
    <n v="33"/>
    <s v="No"/>
    <s v=""/>
    <m/>
    <m/>
    <s v="*MAV171101373"/>
    <s v="*MAV171101373"/>
    <n v="3.7963409248007284E-5"/>
  </r>
  <r>
    <x v="197"/>
    <s v="Pesos"/>
    <d v="2026-11-19T00:00:00"/>
    <s v="25/08/2026"/>
    <n v="0.91981256"/>
    <m/>
    <n v="25000000"/>
    <n v="22995313.98"/>
    <n v="25000000"/>
    <n v="22995313.98"/>
    <n v="2660"/>
    <s v="AMOMPY"/>
    <s v="Momentum Capital Investment S.A."/>
    <s v="24/08/2026"/>
    <s v="24/08/2026"/>
    <n v="37"/>
    <s v="No"/>
    <s v=""/>
    <m/>
    <m/>
    <s v="*MAV171101396"/>
    <s v="*MAV171101396"/>
    <n v="3.7634300888509336E-4"/>
  </r>
  <r>
    <x v="145"/>
    <s v="Pesos"/>
    <d v="2026-11-19T00:00:00"/>
    <s v="25/08/2026"/>
    <n v="0.92988904999999999"/>
    <m/>
    <n v="10000000"/>
    <n v="9298890.4900000002"/>
    <n v="10000000"/>
    <n v="9298890.4900000002"/>
    <n v="13953469"/>
    <s v="AMOMPY"/>
    <s v="Momentum Capital Investment S.A."/>
    <s v="31/07/2026"/>
    <s v="31/07/2026"/>
    <n v="32"/>
    <s v="No"/>
    <s v=""/>
    <m/>
    <m/>
    <s v="*MAV171101314"/>
    <s v="*MAV171101314"/>
    <n v="1.5218632932532719E-4"/>
  </r>
  <r>
    <x v="38"/>
    <s v="Pesos"/>
    <d v="2026-11-19T00:00:00"/>
    <s v="25/08/2026"/>
    <n v="0.95071899000000004"/>
    <m/>
    <n v="2753548.09"/>
    <n v="2617850.4700000002"/>
    <n v="2753548.09"/>
    <n v="2617850.4700000002"/>
    <n v="646175"/>
    <s v="AMOMPY"/>
    <s v="Momentum Capital Investment S.A."/>
    <s v="31/07/2026"/>
    <s v="31/07/2026"/>
    <n v="22"/>
    <s v="No"/>
    <s v=""/>
    <m/>
    <m/>
    <s v="*MAV171101296"/>
    <s v="*MAV171101296"/>
    <n v="4.2843934357579747E-5"/>
  </r>
  <r>
    <x v="38"/>
    <s v="Pesos"/>
    <d v="2026-11-19T00:00:00"/>
    <s v="25/08/2026"/>
    <n v="0.95071899000000004"/>
    <m/>
    <n v="13824514.550000001"/>
    <n v="13143228.529999999"/>
    <n v="13824514.550000001"/>
    <n v="13143228.529999999"/>
    <n v="646107"/>
    <s v="AMOMPY"/>
    <s v="Momentum Capital Investment S.A."/>
    <s v="31/07/2026"/>
    <s v="31/07/2026"/>
    <n v="22"/>
    <s v="No"/>
    <s v=""/>
    <m/>
    <m/>
    <s v="*MAV171101299"/>
    <s v="*MAV171101299"/>
    <n v="2.1510304994081243E-4"/>
  </r>
  <r>
    <x v="38"/>
    <s v="Pesos"/>
    <d v="2026-11-19T00:00:00"/>
    <s v="25/08/2026"/>
    <n v="0.95071899000000004"/>
    <m/>
    <n v="4118494.87"/>
    <n v="3915531.28"/>
    <n v="4118494.87"/>
    <n v="3915531.28"/>
    <n v="646126"/>
    <s v="AMOMPY"/>
    <s v="Momentum Capital Investment S.A."/>
    <s v="31/07/2026"/>
    <s v="31/07/2026"/>
    <n v="22"/>
    <s v="No"/>
    <s v=""/>
    <m/>
    <m/>
    <s v="*MAV171101303"/>
    <s v="*MAV171101303"/>
    <n v="6.4081874445399552E-5"/>
  </r>
  <r>
    <x v="38"/>
    <s v="Pesos"/>
    <d v="2026-11-19T00:00:00"/>
    <s v="25/08/2026"/>
    <n v="0.95071899000000004"/>
    <m/>
    <n v="2994215.75"/>
    <n v="2846657.76"/>
    <n v="2994215.75"/>
    <n v="2846657.76"/>
    <n v="646250"/>
    <s v="AMOMPY"/>
    <s v="Momentum Capital Investment S.A."/>
    <s v="31/07/2026"/>
    <s v="31/07/2026"/>
    <n v="22"/>
    <s v="No"/>
    <s v=""/>
    <m/>
    <m/>
    <s v="*MAV171101297"/>
    <s v="*MAV171101297"/>
    <n v="4.6588611383878998E-5"/>
  </r>
  <r>
    <x v="38"/>
    <s v="Pesos"/>
    <d v="2026-11-19T00:00:00"/>
    <s v="25/08/2026"/>
    <n v="0.95071899000000004"/>
    <m/>
    <n v="6602649.0700000003"/>
    <n v="6277263.8499999996"/>
    <n v="6602649.0700000003"/>
    <n v="6277263.8499999996"/>
    <n v="646185"/>
    <s v="AMOMPY"/>
    <s v="Momentum Capital Investment S.A."/>
    <s v="31/07/2026"/>
    <s v="31/07/2026"/>
    <n v="22"/>
    <s v="No"/>
    <s v=""/>
    <m/>
    <m/>
    <s v="*MAV171101304"/>
    <s v="*MAV171101304"/>
    <n v="1.0273416431405583E-4"/>
  </r>
  <r>
    <x v="38"/>
    <s v="Pesos"/>
    <d v="2026-11-19T00:00:00"/>
    <s v="25/08/2026"/>
    <n v="0.95071899000000004"/>
    <m/>
    <n v="3715219.33"/>
    <n v="3532129.57"/>
    <n v="3715219.33"/>
    <n v="3532129.57"/>
    <n v="646200"/>
    <s v="AMOMPY"/>
    <s v="Momentum Capital Investment S.A."/>
    <s v="31/07/2026"/>
    <s v="31/07/2026"/>
    <n v="22"/>
    <s v="No"/>
    <s v=""/>
    <m/>
    <m/>
    <s v="*MAV171101309"/>
    <s v="*MAV171101309"/>
    <n v="5.7807093710568721E-5"/>
  </r>
  <r>
    <x v="38"/>
    <s v="Pesos"/>
    <d v="2026-11-19T00:00:00"/>
    <s v="25/08/2026"/>
    <n v="0.95071899000000004"/>
    <m/>
    <n v="4405109.3099999996"/>
    <n v="4188021.07"/>
    <n v="4405109.3099999996"/>
    <n v="4188021.07"/>
    <n v="646238"/>
    <s v="AMOMPY"/>
    <s v="Momentum Capital Investment S.A."/>
    <s v="31/07/2026"/>
    <s v="31/07/2026"/>
    <n v="22"/>
    <s v="No"/>
    <s v=""/>
    <m/>
    <m/>
    <s v="*MAV171101310"/>
    <s v="*MAV171101310"/>
    <n v="6.8541462496611152E-5"/>
  </r>
  <r>
    <x v="264"/>
    <s v="Pesos"/>
    <d v="2026-11-19T00:00:00"/>
    <s v="25/08/2026"/>
    <n v="0.92785618999999997"/>
    <m/>
    <n v="15040535.109999999"/>
    <n v="13955453.6"/>
    <n v="15040535.109999999"/>
    <n v="13955453.6"/>
    <n v="29717251"/>
    <s v="AMOMPY"/>
    <s v="Momentum Capital Investment S.A."/>
    <s v="21/07/2026"/>
    <s v="21/07/2026"/>
    <n v="33"/>
    <s v="No"/>
    <s v=""/>
    <m/>
    <m/>
    <s v="*MAV171101273"/>
    <s v="*MAV171101273"/>
    <n v="2.2839598549288033E-4"/>
  </r>
  <r>
    <x v="131"/>
    <s v="Pesos"/>
    <d v="2026-11-20T00:00:00"/>
    <s v="25/08/2026"/>
    <n v="0.94376218000000001"/>
    <m/>
    <n v="12000000"/>
    <n v="11325146.1"/>
    <n v="12000000"/>
    <n v="11325146.1"/>
    <n v="34563"/>
    <s v="AMOMPY"/>
    <s v="Momentum Capital Investment S.A."/>
    <s v="31/07/2026"/>
    <s v="31/07/2026"/>
    <n v="25"/>
    <s v="No"/>
    <s v=""/>
    <m/>
    <m/>
    <s v="*MAV181101193"/>
    <s v="*MAV181101193"/>
    <n v="1.8534817846123971E-4"/>
  </r>
  <r>
    <x v="103"/>
    <s v="Pesos"/>
    <d v="2026-11-20T00:00:00"/>
    <s v="25/08/2026"/>
    <n v="0.92097309999999999"/>
    <m/>
    <n v="1555000.5"/>
    <n v="1432113.63"/>
    <n v="1555000.5"/>
    <n v="1432113.63"/>
    <n v="509"/>
    <s v="AMOMPY"/>
    <s v="Momentum Capital Investment S.A."/>
    <s v="19/08/2026"/>
    <s v="19/08/2026"/>
    <n v="36"/>
    <s v="No"/>
    <s v=""/>
    <m/>
    <m/>
    <s v="*MAV181101252"/>
    <s v="*MAV181101252"/>
    <n v="2.3438077559989604E-5"/>
  </r>
  <r>
    <x v="103"/>
    <s v="Pesos"/>
    <d v="2026-11-20T00:00:00"/>
    <s v="25/08/2026"/>
    <n v="0.92503424999999995"/>
    <m/>
    <n v="5000300.25"/>
    <n v="4625449.01"/>
    <n v="5000300.25"/>
    <n v="4625449.01"/>
    <n v="359"/>
    <s v="AMOMPY"/>
    <s v="Momentum Capital Investment S.A."/>
    <s v="16/07/2026"/>
    <s v="16/07/2026"/>
    <n v="34"/>
    <s v="No"/>
    <s v=""/>
    <m/>
    <m/>
    <s v="*MAV181101169"/>
    <s v="*MAV181101169"/>
    <n v="7.5700440506356432E-5"/>
  </r>
  <r>
    <x v="34"/>
    <s v="Pesos"/>
    <d v="2026-11-20T00:00:00"/>
    <s v="25/08/2026"/>
    <n v="0.9291315"/>
    <m/>
    <n v="3000000"/>
    <n v="2787394.5"/>
    <n v="3000000"/>
    <n v="2787394.5"/>
    <n v="1060"/>
    <s v="AMOMPY"/>
    <s v="Momentum Capital Investment S.A."/>
    <s v="25/08/2026"/>
    <s v="25/08/2026"/>
    <n v="32"/>
    <s v="No"/>
    <s v=""/>
    <m/>
    <m/>
    <s v="*MAV181101284"/>
    <s v="*MAV181101284"/>
    <n v="4.5618704488755163E-5"/>
  </r>
  <r>
    <x v="10"/>
    <s v="Pesos"/>
    <d v="2026-11-20T00:00:00"/>
    <s v="25/08/2026"/>
    <n v="0.94164395000000001"/>
    <m/>
    <n v="15000000"/>
    <n v="14124659.310000001"/>
    <n v="15000000"/>
    <n v="14124659.310000001"/>
    <n v="9621096"/>
    <s v="AMOMPY"/>
    <s v="Momentum Capital Investment S.A."/>
    <s v="17/07/2026"/>
    <s v="17/07/2026"/>
    <n v="26"/>
    <s v="No"/>
    <s v=""/>
    <m/>
    <m/>
    <s v="*MIL181100030"/>
    <s v="*MIL181100030"/>
    <n v="2.3116521865392017E-4"/>
  </r>
  <r>
    <x v="10"/>
    <s v="Pesos"/>
    <d v="2026-11-20T00:00:00"/>
    <s v="25/08/2026"/>
    <n v="0.93326518000000003"/>
    <m/>
    <n v="10000000"/>
    <n v="9332651.8499999996"/>
    <n v="10000000"/>
    <n v="9332651.8499999996"/>
    <n v="109"/>
    <s v="AMOMPY"/>
    <s v="Momentum Capital Investment S.A."/>
    <s v="14/08/2026"/>
    <s v="14/08/2026"/>
    <n v="30"/>
    <s v="No"/>
    <s v=""/>
    <m/>
    <m/>
    <s v="*MIL181100032"/>
    <s v="*MIL181100032"/>
    <n v="1.5273887023942401E-4"/>
  </r>
  <r>
    <x v="10"/>
    <s v="Pesos"/>
    <d v="2026-11-20T00:00:00"/>
    <s v="25/08/2026"/>
    <n v="0.93119375000000004"/>
    <m/>
    <n v="15000000"/>
    <n v="13967906.23"/>
    <n v="15000000"/>
    <n v="13967906.23"/>
    <n v="2439"/>
    <s v="AMOMPY"/>
    <s v="Momentum Capital Investment S.A."/>
    <s v="14/08/2026"/>
    <s v="14/08/2026"/>
    <n v="31"/>
    <s v="No"/>
    <s v=""/>
    <m/>
    <m/>
    <s v="*MIL181100031"/>
    <s v="*MIL181100031"/>
    <n v="2.2859978615621588E-4"/>
  </r>
  <r>
    <x v="34"/>
    <s v="Pesos"/>
    <d v="2026-11-20T00:00:00"/>
    <s v="25/08/2026"/>
    <n v="0.93326536000000004"/>
    <m/>
    <n v="2500000"/>
    <n v="2333163.39"/>
    <n v="2500000"/>
    <n v="2333163.39"/>
    <n v="899"/>
    <s v="AMOMPY"/>
    <s v="Momentum Capital Investment S.A."/>
    <s v="06/08/2026"/>
    <s v="06/08/2026"/>
    <n v="30"/>
    <s v="No"/>
    <s v=""/>
    <m/>
    <m/>
    <s v="*MAV181101210"/>
    <s v="*MAV181101210"/>
    <n v="3.8184724556352618E-5"/>
  </r>
  <r>
    <x v="34"/>
    <s v="Pesos"/>
    <d v="2026-11-20T00:00:00"/>
    <s v="25/08/2026"/>
    <n v="0.92707843999999995"/>
    <m/>
    <n v="2500000"/>
    <n v="2317696.11"/>
    <n v="2500000"/>
    <n v="2317696.11"/>
    <n v="1023"/>
    <s v="AMOMPY"/>
    <s v="Momentum Capital Investment S.A."/>
    <s v="19/08/2026"/>
    <s v="19/08/2026"/>
    <n v="33"/>
    <s v="No"/>
    <s v=""/>
    <m/>
    <m/>
    <s v="*MAV181101254"/>
    <s v="*MAV181101254"/>
    <n v="3.7931585908211908E-5"/>
  </r>
  <r>
    <x v="197"/>
    <s v="Pesos"/>
    <d v="2026-11-20T00:00:00"/>
    <s v="25/08/2026"/>
    <n v="0.91895594000000003"/>
    <m/>
    <n v="25000000"/>
    <n v="22973898.48"/>
    <n v="25000000"/>
    <n v="22973898.48"/>
    <n v="2661"/>
    <s v="AMOMPY"/>
    <s v="Momentum Capital Investment S.A."/>
    <s v="24/08/2026"/>
    <s v="24/08/2026"/>
    <n v="37"/>
    <s v="No"/>
    <s v=""/>
    <m/>
    <m/>
    <s v="*MAV181101278"/>
    <s v="*MAV181101278"/>
    <n v="3.7599252122861741E-4"/>
  </r>
  <r>
    <x v="15"/>
    <s v="Pesos"/>
    <d v="2026-11-20T00:00:00"/>
    <s v="25/08/2026"/>
    <n v="0.92503424999999995"/>
    <m/>
    <n v="100000000"/>
    <n v="92503425.230000004"/>
    <n v="100000000"/>
    <n v="92503425.230000004"/>
    <n v="2210"/>
    <s v="AMOMPY"/>
    <s v="Momentum Capital Investment S.A."/>
    <s v="14/08/2026"/>
    <s v="14/08/2026"/>
    <n v="34"/>
    <s v="No"/>
    <s v=""/>
    <m/>
    <m/>
    <s v="*MAV181101244"/>
    <s v="*MAV181101244"/>
    <n v="1.5139178970773705E-3"/>
  </r>
  <r>
    <x v="145"/>
    <s v="Pesos"/>
    <d v="2026-11-20T00:00:00"/>
    <s v="25/08/2026"/>
    <n v="0.92913151999999999"/>
    <m/>
    <n v="10000000"/>
    <n v="9291315.2100000009"/>
    <n v="10000000"/>
    <n v="9291315.2100000009"/>
    <n v="13953470"/>
    <s v="AMOMPY"/>
    <s v="Momentum Capital Investment S.A."/>
    <s v="31/07/2026"/>
    <s v="31/07/2026"/>
    <n v="32"/>
    <s v="No"/>
    <s v=""/>
    <m/>
    <m/>
    <s v="*MAV181101195"/>
    <s v="*MAV181101195"/>
    <n v="1.520623517327261E-4"/>
  </r>
  <r>
    <x v="130"/>
    <s v="Pesos"/>
    <d v="2026-11-24T00:00:00"/>
    <s v="25/08/2026"/>
    <n v="0.91974321000000003"/>
    <m/>
    <n v="100000000"/>
    <n v="91974320.790000007"/>
    <n v="100000000"/>
    <n v="91974320.790000007"/>
    <n v="98"/>
    <s v="AMOMPY"/>
    <s v="Momentum Capital Investment S.A."/>
    <s v="24/08/2026"/>
    <s v="24/08/2026"/>
    <n v="35"/>
    <s v="No"/>
    <s v=""/>
    <m/>
    <m/>
    <s v="*MAV191101151"/>
    <s v="*MAV191101151"/>
    <n v="1.5052585346900056E-3"/>
  </r>
  <r>
    <x v="103"/>
    <s v="Pesos"/>
    <d v="2026-11-24T00:00:00"/>
    <s v="25/08/2026"/>
    <n v="0.91763888999999998"/>
    <m/>
    <n v="1555000.5"/>
    <n v="1426928.94"/>
    <n v="1555000.5"/>
    <n v="1426928.94"/>
    <n v="510"/>
    <s v="AMOMPY"/>
    <s v="Momentum Capital Investment S.A."/>
    <s v="19/08/2026"/>
    <s v="19/08/2026"/>
    <n v="36"/>
    <s v="No"/>
    <s v=""/>
    <m/>
    <m/>
    <s v="*MAV191101137"/>
    <s v="*MAV191101137"/>
    <n v="2.3353224540090268E-5"/>
  </r>
  <r>
    <x v="103"/>
    <s v="Pesos"/>
    <d v="2026-11-24T00:00:00"/>
    <s v="25/08/2026"/>
    <n v="0.92185687000000005"/>
    <m/>
    <n v="5000300.25"/>
    <n v="4609561.1399999997"/>
    <n v="5000300.25"/>
    <n v="4609561.1399999997"/>
    <n v="360"/>
    <s v="AMOMPY"/>
    <s v="Momentum Capital Investment S.A."/>
    <s v="16/07/2026"/>
    <s v="16/07/2026"/>
    <n v="34"/>
    <s v="No"/>
    <s v=""/>
    <m/>
    <m/>
    <s v="*MAV191101074"/>
    <s v="*MAV191101074"/>
    <n v="7.5440418451177025E-5"/>
  </r>
  <r>
    <x v="153"/>
    <s v="Pesos"/>
    <d v="2026-11-24T00:00:00"/>
    <s v="25/08/2026"/>
    <n v="0.93474718000000001"/>
    <m/>
    <n v="7098063.4299999997"/>
    <n v="6634894.7800000003"/>
    <n v="7098063.4299999997"/>
    <n v="6634894.7800000003"/>
    <n v="90027050"/>
    <s v="AMOMPY"/>
    <s v="Momentum Capital Investment S.A."/>
    <s v="10/08/2026"/>
    <s v="10/08/2026"/>
    <n v="28"/>
    <s v="No"/>
    <s v=""/>
    <m/>
    <m/>
    <s v="*MAV191101110"/>
    <s v="*MAV191101110"/>
    <n v="1.085871785578985E-4"/>
  </r>
  <r>
    <x v="34"/>
    <s v="Pesos"/>
    <d v="2026-11-24T00:00:00"/>
    <s v="25/08/2026"/>
    <n v="0.93041057999999999"/>
    <m/>
    <n v="2500000"/>
    <n v="2326026.46"/>
    <n v="2500000"/>
    <n v="2326026.46"/>
    <n v="891"/>
    <s v="AMOMPY"/>
    <s v="Momentum Capital Investment S.A."/>
    <s v="06/08/2026"/>
    <s v="06/08/2026"/>
    <n v="30"/>
    <s v="No"/>
    <s v=""/>
    <m/>
    <m/>
    <s v="*MAV191101104"/>
    <s v="*MAV191101104"/>
    <n v="3.8067921032263383E-5"/>
  </r>
  <r>
    <x v="34"/>
    <s v="Pesos"/>
    <d v="2026-11-24T00:00:00"/>
    <s v="25/08/2026"/>
    <n v="0.92398057"/>
    <m/>
    <n v="2500000"/>
    <n v="2309951.4300000002"/>
    <n v="2500000"/>
    <n v="2309951.4300000002"/>
    <n v="1024"/>
    <s v="AMOMPY"/>
    <s v="Momentum Capital Investment S.A."/>
    <s v="19/08/2026"/>
    <s v="19/08/2026"/>
    <n v="33"/>
    <s v="No"/>
    <s v=""/>
    <m/>
    <m/>
    <s v="*MAV191101141"/>
    <s v="*MAV191101141"/>
    <n v="3.7804835902685258E-5"/>
  </r>
  <r>
    <x v="34"/>
    <s v="Pesos"/>
    <d v="2026-11-24T00:00:00"/>
    <s v="25/08/2026"/>
    <n v="0.92611389"/>
    <m/>
    <n v="3000000"/>
    <n v="2778341.68"/>
    <n v="3000000"/>
    <n v="2778341.68"/>
    <n v="1061"/>
    <s v="AMOMPY"/>
    <s v="Momentum Capital Investment S.A."/>
    <s v="25/08/2026"/>
    <s v="25/08/2026"/>
    <n v="32"/>
    <s v="No"/>
    <s v=""/>
    <m/>
    <m/>
    <s v="*MAV191101171"/>
    <s v="*MAV191101171"/>
    <n v="4.547054536726379E-5"/>
  </r>
  <r>
    <x v="108"/>
    <s v="Pesos"/>
    <d v="2026-11-24T00:00:00"/>
    <s v="25/08/2026"/>
    <n v="0.91763890000000004"/>
    <m/>
    <n v="3789564.21"/>
    <n v="3477451.52"/>
    <n v="3789564.21"/>
    <n v="3477451.52"/>
    <n v="3278"/>
    <s v="AMOMPY"/>
    <s v="Momentum Capital Investment S.A."/>
    <s v="19/08/2026"/>
    <s v="19/08/2026"/>
    <n v="36"/>
    <s v="No"/>
    <s v=""/>
    <m/>
    <m/>
    <s v="*MAV191101138"/>
    <s v="*MAV191101138"/>
    <n v="5.6912228701338283E-5"/>
  </r>
  <r>
    <x v="197"/>
    <s v="Pesos"/>
    <d v="2026-11-24T00:00:00"/>
    <s v="25/08/2026"/>
    <n v="0.91554442999999996"/>
    <m/>
    <n v="25000000"/>
    <n v="22888610.719999999"/>
    <n v="25000000"/>
    <n v="22888610.719999999"/>
    <n v="2662"/>
    <s v="AMOMPY"/>
    <s v="Momentum Capital Investment S.A."/>
    <s v="24/08/2026"/>
    <s v="24/08/2026"/>
    <n v="37"/>
    <s v="No"/>
    <s v=""/>
    <m/>
    <m/>
    <s v="*MAV191101164"/>
    <s v="*MAV191101164"/>
    <n v="3.7459669544222517E-4"/>
  </r>
  <r>
    <x v="17"/>
    <s v="Pesos"/>
    <d v="2026-11-24T00:00:00"/>
    <s v="25/08/2026"/>
    <n v="0.91974308999999999"/>
    <m/>
    <n v="20000000"/>
    <n v="18394861.879999999"/>
    <n v="20000000"/>
    <n v="18394861.879999999"/>
    <n v="147"/>
    <s v="AMOMPY"/>
    <s v="Momentum Capital Investment S.A."/>
    <s v="19/08/2026"/>
    <s v="19/08/2026"/>
    <n v="35"/>
    <s v="No"/>
    <s v=""/>
    <m/>
    <m/>
    <s v="*MAV191101140"/>
    <s v="*MAV191101140"/>
    <n v="3.0105166965608464E-4"/>
  </r>
  <r>
    <x v="18"/>
    <s v="Pesos"/>
    <d v="2026-11-24T00:00:00"/>
    <s v="25/08/2026"/>
    <n v="0.92398071999999998"/>
    <m/>
    <n v="5800000"/>
    <n v="5359088.17"/>
    <n v="5800000"/>
    <n v="5359088.17"/>
    <n v="6581"/>
    <s v="AMOMPY"/>
    <s v="Momentum Capital Investment S.A."/>
    <s v="21/08/2026"/>
    <s v="21/08/2026"/>
    <n v="33"/>
    <s v="No"/>
    <s v=""/>
    <m/>
    <m/>
    <s v="*MAV191101153"/>
    <s v="*MAV191101153"/>
    <n v="8.7707233244671209E-5"/>
  </r>
  <r>
    <x v="111"/>
    <s v="Pesos"/>
    <d v="2026-11-25T00:00:00"/>
    <s v="25/08/2026"/>
    <n v="0.92320943"/>
    <m/>
    <n v="25000000"/>
    <n v="23080235.73"/>
    <n v="25000000"/>
    <n v="23080235.73"/>
    <n v="475885"/>
    <s v="AMOMPY"/>
    <s v="Momentum Capital Investment S.A."/>
    <s v="07/08/2026"/>
    <s v="07/08/2026"/>
    <n v="33"/>
    <s v="No"/>
    <s v=""/>
    <m/>
    <m/>
    <s v="*MAV201101413"/>
    <s v="*MAV201101413"/>
    <n v="3.777328445247626E-4"/>
  </r>
  <r>
    <x v="103"/>
    <s v="Pesos"/>
    <d v="2026-11-25T00:00:00"/>
    <s v="25/08/2026"/>
    <n v="0.92106608000000001"/>
    <m/>
    <n v="5000300.25"/>
    <n v="4605606.96"/>
    <n v="5000300.25"/>
    <n v="4605606.96"/>
    <n v="361"/>
    <s v="AMOMPY"/>
    <s v="Momentum Capital Investment S.A."/>
    <s v="16/07/2026"/>
    <s v="16/07/2026"/>
    <n v="34"/>
    <s v="No"/>
    <s v=""/>
    <m/>
    <m/>
    <s v="*MAV201101356"/>
    <s v="*MAV201101356"/>
    <n v="7.5375704048922395E-5"/>
  </r>
  <r>
    <x v="242"/>
    <s v="Pesos"/>
    <d v="2026-11-25T00:00:00"/>
    <s v="25/08/2026"/>
    <n v="0.91680907"/>
    <m/>
    <n v="9450000"/>
    <n v="8663845.7300000004"/>
    <n v="9450000"/>
    <n v="8663845.7300000004"/>
    <n v="66335232"/>
    <s v="AMOMPY"/>
    <s v="Momentum Capital Investment S.A."/>
    <s v="22/04/2026"/>
    <s v="22/04/2026"/>
    <n v="36"/>
    <s v="No"/>
    <s v=""/>
    <m/>
    <m/>
    <s v="*AAR201100017"/>
    <s v="*AAR201100017"/>
    <n v="1.4179313982754622E-4"/>
  </r>
  <r>
    <x v="34"/>
    <s v="Pesos"/>
    <d v="2026-11-25T00:00:00"/>
    <s v="25/08/2026"/>
    <n v="0.92536275999999995"/>
    <m/>
    <n v="3000000"/>
    <n v="2776088.27"/>
    <n v="3000000"/>
    <n v="2776088.27"/>
    <n v="1062"/>
    <s v="AMOMPY"/>
    <s v="Momentum Capital Investment S.A."/>
    <s v="25/08/2026"/>
    <s v="25/08/2026"/>
    <n v="32"/>
    <s v="No"/>
    <s v=""/>
    <m/>
    <m/>
    <s v="*MAV201101487"/>
    <s v="*MAV201101487"/>
    <n v="4.5433665892585196E-5"/>
  </r>
  <r>
    <x v="12"/>
    <s v="Pesos"/>
    <d v="2026-11-25T00:00:00"/>
    <s v="25/08/2026"/>
    <n v="0.93188325999999999"/>
    <m/>
    <n v="30000000"/>
    <n v="27956497.73"/>
    <n v="30000000"/>
    <n v="27956497.73"/>
    <n v="67"/>
    <s v="AMOMPY"/>
    <s v="Momentum Capital Investment S.A."/>
    <s v="29/05/2026"/>
    <s v="29/05/2026"/>
    <n v="29"/>
    <s v="No"/>
    <s v=""/>
    <m/>
    <m/>
    <s v="*PRO201100027"/>
    <s v="*PRO201100027"/>
    <n v="4.5753810897073398E-4"/>
  </r>
  <r>
    <x v="10"/>
    <s v="Pesos"/>
    <d v="2026-11-25T00:00:00"/>
    <s v="25/08/2026"/>
    <n v="0.92752610999999996"/>
    <m/>
    <n v="15000000"/>
    <n v="13912891.6"/>
    <n v="15000000"/>
    <n v="13912891.6"/>
    <n v="2440"/>
    <s v="AMOMPY"/>
    <s v="Momentum Capital Investment S.A."/>
    <s v="14/08/2026"/>
    <s v="14/08/2026"/>
    <n v="31"/>
    <s v="No"/>
    <s v=""/>
    <m/>
    <m/>
    <s v="*MIL201100033"/>
    <s v="*MIL201100033"/>
    <n v="2.2769941265381847E-4"/>
  </r>
  <r>
    <x v="34"/>
    <s v="Pesos"/>
    <d v="2026-11-25T00:00:00"/>
    <s v="25/08/2026"/>
    <n v="0.92320926999999997"/>
    <m/>
    <n v="2500000"/>
    <n v="2308023.1800000002"/>
    <n v="2500000"/>
    <n v="2308023.1800000002"/>
    <n v="1025"/>
    <s v="AMOMPY"/>
    <s v="Momentum Capital Investment S.A."/>
    <s v="19/08/2026"/>
    <s v="19/08/2026"/>
    <n v="33"/>
    <s v="No"/>
    <s v=""/>
    <m/>
    <m/>
    <s v="*MAV201101452"/>
    <s v="*MAV201101452"/>
    <n v="3.7773278020609199E-5"/>
  </r>
  <r>
    <x v="197"/>
    <s v="Pesos"/>
    <d v="2026-11-25T00:00:00"/>
    <s v="25/08/2026"/>
    <n v="0.91469542999999998"/>
    <m/>
    <n v="25000000"/>
    <n v="22867385.719999999"/>
    <n v="25000000"/>
    <n v="22867385.719999999"/>
    <n v="2663"/>
    <s v="AMOMPY"/>
    <s v="Momentum Capital Investment S.A."/>
    <s v="24/08/2026"/>
    <s v="24/08/2026"/>
    <n v="37"/>
    <s v="No"/>
    <s v=""/>
    <m/>
    <m/>
    <s v="*MAV201101480"/>
    <s v="*MAV201101480"/>
    <n v="3.7424932552283493E-4"/>
  </r>
  <r>
    <x v="190"/>
    <s v="Pesos"/>
    <d v="2026-11-25T00:00:00"/>
    <s v="25/08/2026"/>
    <n v="0.93407722999999998"/>
    <m/>
    <n v="150000000"/>
    <n v="140111585.03"/>
    <n v="150000000"/>
    <n v="140111585.03"/>
    <n v="78"/>
    <s v="AMOMPY"/>
    <s v="Momentum Capital Investment S.A."/>
    <s v="12/08/2026"/>
    <s v="12/08/2026"/>
    <n v="28"/>
    <s v="No"/>
    <s v=""/>
    <m/>
    <m/>
    <s v="*MAV201101432"/>
    <s v="*MAV201101432"/>
    <n v="2.2930765605423493E-3"/>
  </r>
  <r>
    <x v="19"/>
    <s v="Pesos"/>
    <d v="2026-11-25T00:00:00"/>
    <s v="25/08/2026"/>
    <n v="0.93407720999999999"/>
    <m/>
    <n v="50000000"/>
    <n v="46703860.359999999"/>
    <n v="50000000"/>
    <n v="46703860.359999999"/>
    <n v="29757440"/>
    <s v="AMOMPY"/>
    <s v="Momentum Capital Investment S.A."/>
    <s v="28/07/2026"/>
    <s v="28/07/2026"/>
    <n v="28"/>
    <s v="No"/>
    <s v=""/>
    <m/>
    <m/>
    <s v="*MAV201101385"/>
    <s v="*MAV201101385"/>
    <n v="7.643588319654524E-4"/>
  </r>
  <r>
    <x v="39"/>
    <s v="Pesos"/>
    <d v="2026-11-25T00:00:00"/>
    <s v="25/08/2026"/>
    <n v="0.92320922999999999"/>
    <m/>
    <n v="5898583.8099999996"/>
    <n v="5445627.0199999996"/>
    <n v="5898583.8099999996"/>
    <n v="5445627.0199999996"/>
    <n v="10180817"/>
    <s v="AMOMPY"/>
    <s v="Momentum Capital Investment S.A."/>
    <s v="24/07/2026"/>
    <s v="24/07/2026"/>
    <n v="33"/>
    <s v="No"/>
    <s v=""/>
    <m/>
    <m/>
    <s v="*MAV201101382"/>
    <s v="*MAV201101382"/>
    <n v="8.9123534462509847E-5"/>
  </r>
  <r>
    <x v="39"/>
    <s v="Pesos"/>
    <d v="2026-11-25T00:00:00"/>
    <s v="25/08/2026"/>
    <n v="0.92320924999999998"/>
    <m/>
    <n v="2900162.75"/>
    <n v="2677457.08"/>
    <n v="2900162.75"/>
    <n v="2677457.08"/>
    <n v="10180818"/>
    <s v="AMOMPY"/>
    <s v="Momentum Capital Investment S.A."/>
    <s v="28/07/2026"/>
    <s v="28/07/2026"/>
    <n v="33"/>
    <s v="No"/>
    <s v=""/>
    <m/>
    <m/>
    <s v="*MAV201101388"/>
    <s v="*MAV201101388"/>
    <n v="4.381946054419111E-5"/>
  </r>
  <r>
    <x v="265"/>
    <s v="Pesos"/>
    <d v="2026-11-25T00:00:00"/>
    <s v="25/08/2026"/>
    <n v="0.93407722999999998"/>
    <m/>
    <n v="150000000"/>
    <n v="140111585.03"/>
    <n v="150000000"/>
    <n v="140111585.03"/>
    <n v="90000173"/>
    <s v="AMOMPY"/>
    <s v="Momentum Capital Investment S.A."/>
    <s v="12/08/2026"/>
    <s v="12/08/2026"/>
    <n v="28"/>
    <s v="No"/>
    <s v=""/>
    <m/>
    <m/>
    <s v="*MAV201101429"/>
    <s v="*MAV201101429"/>
    <n v="2.2930765605423493E-3"/>
  </r>
  <r>
    <x v="29"/>
    <s v="Pesos"/>
    <d v="2026-11-25T00:00:00"/>
    <s v="25/08/2026"/>
    <n v="0.92969953000000005"/>
    <m/>
    <n v="9478811.3499999996"/>
    <n v="8812446.4700000007"/>
    <n v="9478811.3499999996"/>
    <n v="8812446.4700000007"/>
    <n v="90020413"/>
    <s v="AMOMPY"/>
    <s v="Momentum Capital Investment S.A."/>
    <s v="29/05/2026"/>
    <s v="29/05/2026"/>
    <n v="30"/>
    <s v="No"/>
    <s v=""/>
    <m/>
    <m/>
    <s v="*NEU201100026"/>
    <s v="*NEU201100026"/>
    <n v="1.4422515052602122E-4"/>
  </r>
  <r>
    <x v="264"/>
    <s v="Pesos"/>
    <d v="2026-11-25T00:00:00"/>
    <s v="25/08/2026"/>
    <n v="0.92320926999999997"/>
    <m/>
    <n v="15040535.109999999"/>
    <n v="13885561.41"/>
    <n v="15040535.109999999"/>
    <n v="13885561.41"/>
    <n v="29717250"/>
    <s v="AMOMPY"/>
    <s v="Momentum Capital Investment S.A."/>
    <s v="21/07/2026"/>
    <s v="21/07/2026"/>
    <n v="33"/>
    <s v="No"/>
    <s v=""/>
    <m/>
    <m/>
    <s v="*MAV201101365"/>
    <s v="*MAV201101365"/>
    <n v="2.2725212474346653E-4"/>
  </r>
  <r>
    <x v="203"/>
    <s v="Pesos"/>
    <d v="2026-11-26T00:00:00"/>
    <s v="25/08/2026"/>
    <n v="0.92243936000000004"/>
    <m/>
    <n v="5448062.4299999997"/>
    <n v="5025507.22"/>
    <n v="5448062.4299999997"/>
    <n v="5025507.22"/>
    <n v="90000596"/>
    <s v="AMOMPY"/>
    <s v="Momentum Capital Investment S.A."/>
    <s v="02/06/2026"/>
    <s v="02/06/2026"/>
    <n v="33"/>
    <s v="No"/>
    <s v=""/>
    <m/>
    <m/>
    <s v="*MAV231100828"/>
    <s v="*MAV231100828"/>
    <n v="8.2247822751779656E-5"/>
  </r>
  <r>
    <x v="103"/>
    <s v="Pesos"/>
    <d v="2026-11-26T00:00:00"/>
    <s v="25/08/2026"/>
    <n v="0.92027645000000002"/>
    <m/>
    <n v="5000300.25"/>
    <n v="4601658.55"/>
    <n v="5000300.25"/>
    <n v="4601658.55"/>
    <n v="363"/>
    <s v="AMOMPY"/>
    <s v="Momentum Capital Investment S.A."/>
    <s v="16/07/2026"/>
    <s v="16/07/2026"/>
    <n v="34"/>
    <s v="No"/>
    <s v=""/>
    <m/>
    <m/>
    <s v="*MAV221101221"/>
    <s v="*MAV221101221"/>
    <n v="7.5311084078914401E-5"/>
  </r>
  <r>
    <x v="103"/>
    <s v="Pesos"/>
    <d v="2026-11-26T00:00:00"/>
    <s v="25/08/2026"/>
    <n v="0.92027645000000002"/>
    <m/>
    <n v="5000300.25"/>
    <n v="4601658.55"/>
    <n v="5000300.25"/>
    <n v="4601658.55"/>
    <n v="364"/>
    <s v="AMOMPY"/>
    <s v="Momentum Capital Investment S.A."/>
    <s v="16/07/2026"/>
    <s v="16/07/2026"/>
    <n v="34"/>
    <s v="No"/>
    <s v=""/>
    <m/>
    <m/>
    <s v="*MAV231100851"/>
    <s v="*MAV231100851"/>
    <n v="7.5311084078914401E-5"/>
  </r>
  <r>
    <x v="103"/>
    <s v="Pesos"/>
    <d v="2026-11-26T00:00:00"/>
    <s v="25/08/2026"/>
    <n v="0.92027645000000002"/>
    <m/>
    <n v="5000300.25"/>
    <n v="4601658.55"/>
    <n v="5000300.25"/>
    <n v="4601658.55"/>
    <n v="365"/>
    <s v="AMOMPY"/>
    <s v="Momentum Capital Investment S.A."/>
    <s v="16/07/2026"/>
    <s v="16/07/2026"/>
    <n v="34"/>
    <s v="No"/>
    <s v=""/>
    <m/>
    <m/>
    <s v="*MAV241101186"/>
    <s v="*MAV241101186"/>
    <n v="7.5311084078914401E-5"/>
  </r>
  <r>
    <x v="103"/>
    <s v="Pesos"/>
    <d v="2026-11-26T00:00:00"/>
    <s v="25/08/2026"/>
    <n v="0.92027645000000002"/>
    <m/>
    <n v="5000300.25"/>
    <n v="4601658.55"/>
    <n v="5000300.25"/>
    <n v="4601658.55"/>
    <n v="362"/>
    <s v="AMOMPY"/>
    <s v="Momentum Capital Investment S.A."/>
    <s v="16/07/2026"/>
    <s v="16/07/2026"/>
    <n v="34"/>
    <s v="No"/>
    <s v=""/>
    <m/>
    <m/>
    <s v="*MAV211101101"/>
    <s v="*MAV211101101"/>
    <n v="7.5311084078914401E-5"/>
  </r>
  <r>
    <x v="236"/>
    <s v="Pesos"/>
    <d v="2026-11-26T00:00:00"/>
    <s v="25/08/2026"/>
    <n v="0.92243934999999999"/>
    <m/>
    <n v="20000194"/>
    <n v="18448966.010000002"/>
    <n v="20000194"/>
    <n v="18448966.010000002"/>
    <n v="732"/>
    <s v="AMOMPY"/>
    <s v="Momentum Capital Investment S.A."/>
    <s v="24/08/2026"/>
    <s v="24/08/2026"/>
    <n v="33"/>
    <s v="No"/>
    <s v=""/>
    <m/>
    <m/>
    <s v="*MAV241101322"/>
    <s v="*MAV241101322"/>
    <n v="3.0193714184815909E-4"/>
  </r>
  <r>
    <x v="83"/>
    <s v="Pesos"/>
    <d v="2026-11-26T00:00:00"/>
    <s v="25/08/2026"/>
    <n v="0.92027649"/>
    <m/>
    <n v="4000000"/>
    <n v="3681105.95"/>
    <n v="4000000"/>
    <n v="3681105.95"/>
    <n v="90000053"/>
    <s v="AMOMPY"/>
    <s v="Momentum Capital Investment S.A."/>
    <s v="11/06/2026"/>
    <s v="11/06/2026"/>
    <n v="34"/>
    <s v="No"/>
    <s v=""/>
    <m/>
    <m/>
    <s v="*MAV231100835"/>
    <s v="*MAV231100835"/>
    <n v="6.0245252161058781E-5"/>
  </r>
  <r>
    <x v="47"/>
    <s v="Pesos"/>
    <d v="2026-11-26T00:00:00"/>
    <s v="25/08/2026"/>
    <n v="0.92027641000000004"/>
    <m/>
    <n v="10000000"/>
    <n v="9202764.0600000005"/>
    <n v="10000000"/>
    <n v="9202764.0600000005"/>
    <n v="14284517"/>
    <s v="AMOMPY"/>
    <s v="Momentum Capital Investment S.A."/>
    <s v="24/08/2026"/>
    <s v="24/08/2026"/>
    <n v="34"/>
    <s v="No"/>
    <s v=""/>
    <m/>
    <m/>
    <s v="*MAV241101320"/>
    <s v="*MAV241101320"/>
    <n v="1.506131170642967E-4"/>
  </r>
  <r>
    <x v="12"/>
    <s v="Pesos"/>
    <d v="2026-11-26T00:00:00"/>
    <s v="25/08/2026"/>
    <n v="0.93563366000000003"/>
    <m/>
    <n v="25000000"/>
    <n v="23390841.489999998"/>
    <n v="25000000"/>
    <n v="23390841.489999998"/>
    <n v="9508923"/>
    <s v="AMOMPY"/>
    <s v="Momentum Capital Investment S.A."/>
    <s v="13/07/2026"/>
    <s v="13/07/2026"/>
    <n v="27"/>
    <s v="No"/>
    <s v=""/>
    <m/>
    <m/>
    <s v="*PRO241100022"/>
    <s v="*PRO241100022"/>
    <n v="3.8281624135931368E-4"/>
  </r>
  <r>
    <x v="12"/>
    <s v="Pesos"/>
    <d v="2026-11-26T00:00:00"/>
    <s v="25/08/2026"/>
    <n v="0.93786950000000002"/>
    <m/>
    <n v="15000000"/>
    <n v="14068042.51"/>
    <n v="15000000"/>
    <n v="14068042.51"/>
    <n v="20411017"/>
    <s v="AMOMPY"/>
    <s v="Momentum Capital Investment S.A."/>
    <s v="17/07/2026"/>
    <s v="17/07/2026"/>
    <n v="26"/>
    <s v="No"/>
    <s v=""/>
    <m/>
    <m/>
    <s v="*PRO241100021"/>
    <s v="*PRO241100021"/>
    <n v="2.3023862391883726E-4"/>
  </r>
  <r>
    <x v="10"/>
    <s v="Pesos"/>
    <d v="2026-11-26T00:00:00"/>
    <s v="25/08/2026"/>
    <n v="0.93786946999999998"/>
    <m/>
    <n v="5000000"/>
    <n v="4689347.37"/>
    <n v="5000000"/>
    <n v="4689347.37"/>
    <n v="491505"/>
    <s v="AMOMPY"/>
    <s v="Momentum Capital Investment S.A."/>
    <s v="20/07/2026"/>
    <s v="20/07/2026"/>
    <n v="26"/>
    <s v="No"/>
    <s v=""/>
    <m/>
    <m/>
    <s v="*MIL241100023"/>
    <s v="*MIL241100023"/>
    <n v="7.6746205790802571E-5"/>
  </r>
  <r>
    <x v="10"/>
    <s v="Pesos"/>
    <d v="2026-11-26T00:00:00"/>
    <s v="25/08/2026"/>
    <n v="0.92679595000000004"/>
    <m/>
    <n v="15000000"/>
    <n v="13901939.189999999"/>
    <n v="15000000"/>
    <n v="13901939.189999999"/>
    <n v="2441"/>
    <s v="AMOMPY"/>
    <s v="Momentum Capital Investment S.A."/>
    <s v="14/08/2026"/>
    <s v="14/08/2026"/>
    <n v="31"/>
    <s v="No"/>
    <s v=""/>
    <m/>
    <m/>
    <s v="*MIL241100025"/>
    <s v="*MIL241100025"/>
    <n v="2.2752016470193017E-4"/>
  </r>
  <r>
    <x v="34"/>
    <s v="Pesos"/>
    <d v="2026-11-26T00:00:00"/>
    <s v="25/08/2026"/>
    <n v="0.92243951999999996"/>
    <m/>
    <n v="2500000"/>
    <n v="2306098.79"/>
    <n v="2500000"/>
    <n v="2306098.79"/>
    <n v="1026"/>
    <s v="AMOMPY"/>
    <s v="Momentum Capital Investment S.A."/>
    <s v="19/08/2026"/>
    <s v="19/08/2026"/>
    <n v="33"/>
    <s v="No"/>
    <s v=""/>
    <m/>
    <m/>
    <s v="*MAV241101309"/>
    <s v="*MAV241101309"/>
    <n v="3.7741783311578554E-5"/>
  </r>
  <r>
    <x v="197"/>
    <s v="Pesos"/>
    <d v="2026-11-26T00:00:00"/>
    <s v="25/08/2026"/>
    <n v="0.91384799999999999"/>
    <m/>
    <n v="25000000"/>
    <n v="22846200.010000002"/>
    <n v="25000000"/>
    <n v="22846200.010000002"/>
    <n v="2664"/>
    <s v="AMOMPY"/>
    <s v="Momentum Capital Investment S.A."/>
    <s v="24/08/2026"/>
    <s v="24/08/2026"/>
    <n v="37"/>
    <s v="No"/>
    <s v=""/>
    <m/>
    <m/>
    <s v="*MAV241101321"/>
    <s v="*MAV241101321"/>
    <n v="3.7390259862648986E-4"/>
  </r>
  <r>
    <x v="38"/>
    <s v="Pesos"/>
    <d v="2026-11-26T00:00:00"/>
    <s v="25/08/2026"/>
    <n v="0.94692067000000002"/>
    <m/>
    <n v="9164430.8599999994"/>
    <n v="8677988.9900000002"/>
    <n v="9164430.8599999994"/>
    <n v="8677988.9900000002"/>
    <n v="646957"/>
    <s v="AMOMPY"/>
    <s v="Momentum Capital Investment S.A."/>
    <s v="31/07/2026"/>
    <s v="31/07/2026"/>
    <n v="22"/>
    <s v="No"/>
    <s v=""/>
    <m/>
    <m/>
    <s v="*MAV241101208"/>
    <s v="*MAV241101208"/>
    <n v="1.4202460946646802E-4"/>
  </r>
  <r>
    <x v="262"/>
    <s v="Pesos"/>
    <d v="2026-11-26T00:00:00"/>
    <s v="25/08/2026"/>
    <n v="0.91812358000000005"/>
    <m/>
    <n v="3087576.27"/>
    <n v="2834776.58"/>
    <n v="3087576.27"/>
    <n v="2834776.58"/>
    <n v="1508"/>
    <s v="AMOMPY"/>
    <s v="Momentum Capital Investment S.A."/>
    <s v="24/08/2026"/>
    <s v="24/08/2026"/>
    <n v="35"/>
    <s v="No"/>
    <s v=""/>
    <m/>
    <m/>
    <s v="*MAV231100923"/>
    <s v="*MAV231100923"/>
    <n v="4.6394163113496854E-5"/>
  </r>
  <r>
    <x v="266"/>
    <s v="Pesos"/>
    <d v="2026-11-26T00:00:00"/>
    <s v="25/08/2026"/>
    <n v="0.92243947000000004"/>
    <m/>
    <n v="300000000"/>
    <n v="276731842.23000002"/>
    <n v="300000000"/>
    <n v="276731842.23000002"/>
    <n v="231767"/>
    <s v="AMOMPY"/>
    <s v="Momentum Capital Investment S.A."/>
    <s v="21/07/2026"/>
    <s v="21/07/2026"/>
    <n v="33"/>
    <s v="No"/>
    <s v=""/>
    <m/>
    <m/>
    <s v="MAVR241100051"/>
    <s v="MAVR241100051"/>
    <n v="4.5290137916678772E-3"/>
  </r>
  <r>
    <x v="87"/>
    <s v="Pesos"/>
    <d v="2026-11-26T00:00:00"/>
    <s v="25/08/2026"/>
    <n v="0.91812360999999998"/>
    <m/>
    <n v="250000000"/>
    <n v="229530902.93000001"/>
    <n v="250000000"/>
    <n v="229530902.93000001"/>
    <n v="70400477"/>
    <s v="AMOMPY"/>
    <s v="Momentum Capital Investment S.A."/>
    <s v="10/08/2026"/>
    <s v="10/08/2026"/>
    <n v="35"/>
    <s v="No"/>
    <s v=""/>
    <m/>
    <m/>
    <s v="*MAV231100890"/>
    <s v="*MAV231100890"/>
    <n v="3.7565197290160461E-3"/>
  </r>
  <r>
    <x v="239"/>
    <s v="Pesos"/>
    <d v="2026-11-26T00:00:00"/>
    <s v="25/08/2026"/>
    <n v="0.94011591999999999"/>
    <m/>
    <n v="19922304"/>
    <n v="18729275.07"/>
    <n v="19922304"/>
    <n v="18729275.07"/>
    <n v="67863958"/>
    <s v="AMOMPY"/>
    <s v="Momentum Capital Investment S.A."/>
    <s v="26/06/2026"/>
    <s v="26/06/2026"/>
    <n v="25"/>
    <s v="No"/>
    <s v=""/>
    <m/>
    <m/>
    <s v="*MAV231100839"/>
    <s v="*MAV231100839"/>
    <n v="3.0652470065035259E-4"/>
  </r>
  <r>
    <x v="103"/>
    <s v="Pesos"/>
    <d v="2026-11-27T00:00:00"/>
    <s v="25/08/2026"/>
    <n v="0.91948817000000005"/>
    <m/>
    <n v="5000300.25"/>
    <n v="4597716.92"/>
    <n v="5000300.25"/>
    <n v="4597716.92"/>
    <n v="366"/>
    <s v="AMOMPY"/>
    <s v="Momentum Capital Investment S.A."/>
    <s v="16/07/2026"/>
    <s v="16/07/2026"/>
    <n v="34"/>
    <s v="No"/>
    <s v=""/>
    <m/>
    <m/>
    <s v="*MAV251101567"/>
    <s v="*MAV251101567"/>
    <n v="7.5246575070887724E-5"/>
  </r>
  <r>
    <x v="148"/>
    <s v="Pesos"/>
    <d v="2026-11-27T00:00:00"/>
    <s v="25/08/2026"/>
    <n v="0.92386358000000002"/>
    <m/>
    <n v="25000000"/>
    <n v="23096589.460000001"/>
    <n v="25000000"/>
    <n v="23096589.460000001"/>
    <n v="2714"/>
    <s v="AMOMPY"/>
    <s v="Momentum Capital Investment S.A."/>
    <s v="14/08/2026"/>
    <s v="14/08/2026"/>
    <n v="32"/>
    <s v="No"/>
    <s v=""/>
    <m/>
    <m/>
    <s v="*AFB251100010"/>
    <s v="*AFB251100010"/>
    <n v="3.7800049087914796E-4"/>
  </r>
  <r>
    <x v="34"/>
    <s v="Pesos"/>
    <d v="2026-11-27T00:00:00"/>
    <s v="25/08/2026"/>
    <n v="0.92386358999999996"/>
    <m/>
    <n v="3000000"/>
    <n v="2771590.77"/>
    <n v="3000000"/>
    <n v="2771590.77"/>
    <n v="1063"/>
    <s v="AMOMPY"/>
    <s v="Momentum Capital Investment S.A."/>
    <s v="25/08/2026"/>
    <s v="25/08/2026"/>
    <n v="32"/>
    <s v="No"/>
    <s v=""/>
    <m/>
    <m/>
    <s v="*MAV251101680"/>
    <s v="*MAV251101680"/>
    <n v="4.5360059475037131E-5"/>
  </r>
  <r>
    <x v="10"/>
    <s v="Pesos"/>
    <d v="2026-11-27T00:00:00"/>
    <s v="25/08/2026"/>
    <n v="0.92606694000000001"/>
    <m/>
    <n v="26000000"/>
    <n v="24077740.309999999"/>
    <n v="26000000"/>
    <n v="24077740.309999999"/>
    <n v="34571"/>
    <s v="AMOMPY"/>
    <s v="Momentum Capital Investment S.A."/>
    <s v="14/08/2026"/>
    <s v="14/08/2026"/>
    <n v="31"/>
    <s v="No"/>
    <s v=""/>
    <m/>
    <m/>
    <s v="*MIL251100045"/>
    <s v="*MIL251100045"/>
    <n v="3.9405807823717745E-4"/>
  </r>
  <r>
    <x v="34"/>
    <s v="Pesos"/>
    <d v="2026-11-27T00:00:00"/>
    <s v="25/08/2026"/>
    <n v="0.92828078000000003"/>
    <m/>
    <n v="2500000"/>
    <n v="2320701.96"/>
    <n v="2500000"/>
    <n v="2320701.96"/>
    <n v="900"/>
    <s v="AMOMPY"/>
    <s v="Momentum Capital Investment S.A."/>
    <s v="06/08/2026"/>
    <s v="06/08/2026"/>
    <n v="30"/>
    <s v="No"/>
    <s v=""/>
    <m/>
    <m/>
    <s v="*MAV251101611"/>
    <s v="*MAV251101611"/>
    <n v="3.7980779871566406E-5"/>
  </r>
  <r>
    <x v="34"/>
    <s v="Pesos"/>
    <d v="2026-11-27T00:00:00"/>
    <s v="25/08/2026"/>
    <n v="0.92167078000000002"/>
    <m/>
    <n v="2500000"/>
    <n v="2304176.96"/>
    <n v="2500000"/>
    <n v="2304176.96"/>
    <n v="1027"/>
    <s v="AMOMPY"/>
    <s v="Momentum Capital Investment S.A."/>
    <s v="19/08/2026"/>
    <s v="18/08/2026"/>
    <n v="33"/>
    <s v="No"/>
    <s v=""/>
    <m/>
    <m/>
    <s v="*MAV251101639"/>
    <s v="*MAV251101639"/>
    <n v="3.77103304996972E-5"/>
  </r>
  <r>
    <x v="197"/>
    <s v="Pesos"/>
    <d v="2026-11-27T00:00:00"/>
    <s v="25/08/2026"/>
    <n v="0.91300245000000002"/>
    <m/>
    <n v="25000000"/>
    <n v="22825061.190000001"/>
    <n v="25000000"/>
    <n v="22825061.190000001"/>
    <n v="2665"/>
    <s v="AMOMPY"/>
    <s v="Momentum Capital Investment S.A."/>
    <s v="24/08/2026"/>
    <s v="24/08/2026"/>
    <n v="37"/>
    <s v="No"/>
    <s v=""/>
    <m/>
    <m/>
    <s v="*MAV251101655"/>
    <s v="*MAV251101655"/>
    <n v="3.7355663913535178E-4"/>
  </r>
  <r>
    <x v="15"/>
    <s v="Pesos"/>
    <d v="2026-11-27T00:00:00"/>
    <s v="25/08/2026"/>
    <n v="0.91948817999999999"/>
    <m/>
    <n v="50000000"/>
    <n v="45974409.079999998"/>
    <n v="50000000"/>
    <n v="45974409.079999998"/>
    <n v="2230"/>
    <s v="AMOMPY"/>
    <s v="Momentum Capital Investment S.A."/>
    <s v="25/08/2026"/>
    <s v="25/08/2026"/>
    <n v="34"/>
    <s v="No"/>
    <s v=""/>
    <m/>
    <m/>
    <s v="*MAV251101679"/>
    <s v="*MAV251101679"/>
    <n v="7.5242057838087223E-4"/>
  </r>
  <r>
    <x v="17"/>
    <s v="Pesos"/>
    <d v="2026-11-27T00:00:00"/>
    <s v="25/08/2026"/>
    <n v="0.91731598000000003"/>
    <m/>
    <n v="15000000"/>
    <n v="13759739.73"/>
    <n v="15000000"/>
    <n v="13759739.73"/>
    <n v="188"/>
    <s v="AMOMPY"/>
    <s v="Momentum Capital Investment S.A."/>
    <s v="25/08/2026"/>
    <s v="25/08/2026"/>
    <n v="35"/>
    <s v="No"/>
    <s v=""/>
    <m/>
    <m/>
    <s v="*MAV251101678"/>
    <s v="*MAV251101678"/>
    <n v="2.2519291782525E-4"/>
  </r>
  <r>
    <x v="191"/>
    <s v="Pesos"/>
    <d v="2026-11-27T00:00:00"/>
    <s v="25/08/2026"/>
    <n v="0.92386358999999996"/>
    <m/>
    <n v="5444206"/>
    <n v="5029703.6900000004"/>
    <n v="5444206"/>
    <n v="5029703.6900000004"/>
    <n v="3447"/>
    <s v="AMOMPY"/>
    <s v="Momentum Capital Investment S.A."/>
    <s v="25/08/2026"/>
    <s v="25/08/2026"/>
    <n v="32"/>
    <s v="No"/>
    <s v=""/>
    <m/>
    <m/>
    <s v="*MAV251101681"/>
    <s v="*MAV251101681"/>
    <n v="8.2316502490089376E-5"/>
  </r>
  <r>
    <x v="166"/>
    <s v="Pesos"/>
    <d v="2026-11-27T00:00:00"/>
    <s v="25/08/2026"/>
    <n v="0.91515411999999996"/>
    <m/>
    <n v="29362361.710000001"/>
    <n v="26871086.199999999"/>
    <n v="29362361.710000001"/>
    <n v="26871086.199999999"/>
    <n v="67998146"/>
    <s v="AMOMPY"/>
    <s v="Momentum Capital Investment S.A."/>
    <s v="30/06/2026"/>
    <s v="30/06/2026"/>
    <n v="36"/>
    <s v="No"/>
    <s v=""/>
    <m/>
    <m/>
    <s v="*MAV251101536"/>
    <s v="*MAV251101536"/>
    <n v="4.3977418361472226E-4"/>
  </r>
  <r>
    <x v="34"/>
    <s v="Pesos"/>
    <d v="2026-11-30T00:00:00"/>
    <s v="25/08/2026"/>
    <n v="0.92162418999999995"/>
    <m/>
    <n v="3000000"/>
    <n v="2764872.58"/>
    <n v="3000000"/>
    <n v="2764872.58"/>
    <n v="1064"/>
    <s v="AMOMPY"/>
    <s v="Momentum Capital Investment S.A."/>
    <s v="25/08/2026"/>
    <s v="25/08/2026"/>
    <n v="32"/>
    <s v="No"/>
    <s v=""/>
    <m/>
    <m/>
    <s v="*MAV261101145"/>
    <s v="*MAV261101145"/>
    <n v="4.5250109080749813E-5"/>
  </r>
  <r>
    <x v="10"/>
    <s v="Pesos"/>
    <d v="2026-11-30T00:00:00"/>
    <s v="25/08/2026"/>
    <n v="0.93536987999999999"/>
    <m/>
    <n v="5000000"/>
    <n v="4676849.42"/>
    <n v="5000000"/>
    <n v="4676849.42"/>
    <n v="491506"/>
    <s v="AMOMPY"/>
    <s v="Momentum Capital Investment S.A."/>
    <s v="20/07/2026"/>
    <s v="20/07/2026"/>
    <n v="26"/>
    <s v="No"/>
    <s v=""/>
    <m/>
    <m/>
    <s v="*MIL261100032"/>
    <s v="*MIL261100032"/>
    <n v="7.6541663416996046E-5"/>
  </r>
  <r>
    <x v="10"/>
    <s v="Pesos"/>
    <d v="2026-11-30T00:00:00"/>
    <s v="25/08/2026"/>
    <n v="0.92388700000000001"/>
    <m/>
    <n v="15000000"/>
    <n v="13858305.060000001"/>
    <n v="15000000"/>
    <n v="13858305.060000001"/>
    <n v="2442"/>
    <s v="AMOMPY"/>
    <s v="Momentum Capital Investment S.A."/>
    <s v="14/08/2026"/>
    <s v="14/08/2026"/>
    <n v="31"/>
    <s v="No"/>
    <s v=""/>
    <m/>
    <m/>
    <s v="*MIL261100034"/>
    <s v="*MIL261100034"/>
    <n v="2.2680604530401436E-4"/>
  </r>
  <r>
    <x v="34"/>
    <s v="Pesos"/>
    <d v="2026-11-30T00:00:00"/>
    <s v="25/08/2026"/>
    <n v="0.92616091"/>
    <m/>
    <n v="2500000"/>
    <n v="2315402.2799999998"/>
    <n v="2500000"/>
    <n v="2315402.2799999998"/>
    <n v="901"/>
    <s v="AMOMPY"/>
    <s v="Momentum Capital Investment S.A."/>
    <s v="06/08/2026"/>
    <s v="06/08/2026"/>
    <n v="30"/>
    <s v="No"/>
    <s v=""/>
    <m/>
    <m/>
    <s v="*MAV261101103"/>
    <s v="*MAV261101103"/>
    <n v="3.7894044916824627E-5"/>
  </r>
  <r>
    <x v="34"/>
    <s v="Pesos"/>
    <d v="2026-11-30T00:00:00"/>
    <s v="25/08/2026"/>
    <n v="0.91937252000000003"/>
    <m/>
    <n v="2500000"/>
    <n v="2298431.29"/>
    <n v="2500000"/>
    <n v="2298431.29"/>
    <n v="1028"/>
    <s v="AMOMPY"/>
    <s v="Momentum Capital Investment S.A."/>
    <s v="19/08/2026"/>
    <s v="18/08/2026"/>
    <n v="33"/>
    <s v="No"/>
    <s v=""/>
    <m/>
    <m/>
    <s v="*MAV261101126"/>
    <s v="*MAV261101126"/>
    <n v="3.7616296439638638E-5"/>
  </r>
  <r>
    <x v="191"/>
    <s v="Pesos"/>
    <d v="2026-11-30T00:00:00"/>
    <s v="25/08/2026"/>
    <n v="0.92162418999999995"/>
    <m/>
    <n v="5444206"/>
    <n v="5017511.96"/>
    <n v="5444206"/>
    <n v="5017511.96"/>
    <n v="3448"/>
    <s v="AMOMPY"/>
    <s v="Momentum Capital Investment S.A."/>
    <s v="25/08/2026"/>
    <s v="25/08/2026"/>
    <n v="32"/>
    <s v="No"/>
    <s v=""/>
    <m/>
    <m/>
    <s v="*MAV261101146"/>
    <s v="*MAV261101146"/>
    <n v="8.2116971735444956E-5"/>
  </r>
  <r>
    <x v="34"/>
    <s v="Pesos"/>
    <d v="2026-12-01T00:00:00"/>
    <s v="25/08/2026"/>
    <n v="0.92088004999999995"/>
    <m/>
    <n v="3500000"/>
    <n v="3223080.17"/>
    <n v="3500000"/>
    <n v="3223080.17"/>
    <n v="1065"/>
    <s v="AMOMPY"/>
    <s v="Momentum Capital Investment S.A."/>
    <s v="25/08/2026"/>
    <s v="25/08/2026"/>
    <n v="32"/>
    <s v="No"/>
    <s v=""/>
    <m/>
    <m/>
    <s v="*MAV271101290"/>
    <s v="*MAV271101290"/>
    <n v="5.2749168378855868E-5"/>
  </r>
  <r>
    <x v="10"/>
    <s v="Pesos"/>
    <d v="2026-12-01T00:00:00"/>
    <s v="25/08/2026"/>
    <n v="0.92545641999999995"/>
    <m/>
    <n v="25000000"/>
    <n v="23136410.539999999"/>
    <n v="25000000"/>
    <n v="23136410.539999999"/>
    <n v="12742281"/>
    <s v="AMOMPY"/>
    <s v="Momentum Capital Investment S.A."/>
    <s v="14/08/2026"/>
    <s v="14/08/2026"/>
    <n v="30"/>
    <s v="No"/>
    <s v=""/>
    <m/>
    <m/>
    <s v="*MIL271100043"/>
    <s v="*MIL271100043"/>
    <n v="3.7865220561882442E-4"/>
  </r>
  <r>
    <x v="34"/>
    <s v="Pesos"/>
    <d v="2026-12-01T00:00:00"/>
    <s v="25/08/2026"/>
    <n v="0.91860889000000001"/>
    <m/>
    <n v="2500000"/>
    <n v="2296522.2200000002"/>
    <n v="2500000"/>
    <n v="2296522.2200000002"/>
    <n v="1029"/>
    <s v="AMOMPY"/>
    <s v="Momentum Capital Investment S.A."/>
    <s v="19/08/2026"/>
    <s v="18/08/2026"/>
    <n v="33"/>
    <s v="No"/>
    <s v=""/>
    <m/>
    <m/>
    <s v="*MAV271101274"/>
    <s v="*MAV271101274"/>
    <n v="3.7585052458860769E-5"/>
  </r>
  <r>
    <x v="190"/>
    <s v="Pesos"/>
    <d v="2026-12-01T00:00:00"/>
    <s v="25/08/2026"/>
    <n v="0.93007861000000003"/>
    <m/>
    <n v="150000000"/>
    <n v="139511791.31999999"/>
    <n v="150000000"/>
    <n v="139511791.31999999"/>
    <n v="77"/>
    <s v="AMOMPY"/>
    <s v="Momentum Capital Investment S.A."/>
    <s v="12/08/2026"/>
    <s v="12/08/2026"/>
    <n v="28"/>
    <s v="No"/>
    <s v=""/>
    <m/>
    <m/>
    <s v="*MAV271101263"/>
    <s v="*MAV271101263"/>
    <n v="2.2832602923353539E-3"/>
  </r>
  <r>
    <x v="19"/>
    <s v="Pesos"/>
    <d v="2026-12-01T00:00:00"/>
    <s v="25/08/2026"/>
    <n v="0.93007857000000005"/>
    <m/>
    <n v="50000000"/>
    <n v="46503928.700000003"/>
    <n v="50000000"/>
    <n v="46503928.700000003"/>
    <n v="29757438"/>
    <s v="AMOMPY"/>
    <s v="Momentum Capital Investment S.A."/>
    <s v="28/07/2026"/>
    <s v="28/07/2026"/>
    <n v="28"/>
    <s v="No"/>
    <s v=""/>
    <m/>
    <m/>
    <s v="*MAV271101232"/>
    <s v="*MAV271101232"/>
    <n v="7.6108673563481609E-4"/>
  </r>
  <r>
    <x v="267"/>
    <s v="Pesos"/>
    <d v="2026-12-01T00:00:00"/>
    <s v="25/08/2026"/>
    <n v="0.91860885000000003"/>
    <m/>
    <n v="1392835"/>
    <n v="1279470.55"/>
    <n v="1392835"/>
    <n v="1279470.55"/>
    <n v="111459"/>
    <s v="AMOMPY"/>
    <s v="Momentum Capital Investment S.A."/>
    <s v="28/07/2026"/>
    <s v="28/07/2026"/>
    <n v="33"/>
    <s v="No"/>
    <s v=""/>
    <m/>
    <m/>
    <s v="*MAV271101235"/>
    <s v="*MAV271101235"/>
    <n v="2.0939909626181382E-5"/>
  </r>
  <r>
    <x v="191"/>
    <s v="Pesos"/>
    <d v="2026-12-01T00:00:00"/>
    <s v="25/08/2026"/>
    <n v="0.92088004999999995"/>
    <m/>
    <n v="5444206"/>
    <n v="5013460.6900000004"/>
    <n v="5444206"/>
    <n v="5013460.6900000004"/>
    <n v="3449"/>
    <s v="AMOMPY"/>
    <s v="Momentum Capital Investment S.A."/>
    <s v="25/08/2026"/>
    <s v="25/08/2026"/>
    <n v="32"/>
    <s v="No"/>
    <s v=""/>
    <m/>
    <m/>
    <s v="*MAV271101291"/>
    <s v="*MAV271101291"/>
    <n v="8.2050668351071429E-5"/>
  </r>
  <r>
    <x v="268"/>
    <s v="Pesos"/>
    <d v="2026-12-01T00:00:00"/>
    <s v="25/08/2026"/>
    <n v="0.92776181000000002"/>
    <m/>
    <n v="40000000"/>
    <n v="37110472.359999999"/>
    <n v="40000000"/>
    <n v="37110472.359999999"/>
    <n v="2886"/>
    <s v="AMOMPY"/>
    <s v="Momentum Capital Investment S.A."/>
    <s v="12/08/2026"/>
    <s v="12/08/2026"/>
    <n v="29"/>
    <s v="No"/>
    <s v=""/>
    <m/>
    <m/>
    <s v="*MAV271101262"/>
    <s v="*MAV271101262"/>
    <n v="6.0735273461612858E-4"/>
  </r>
  <r>
    <x v="118"/>
    <s v="Pesos"/>
    <d v="2026-12-02T00:00:00"/>
    <s v="25/08/2026"/>
    <n v="0.91784661999999995"/>
    <m/>
    <n v="2600411.64"/>
    <n v="2386779.0299999998"/>
    <n v="2600411.64"/>
    <n v="2386779.0299999998"/>
    <n v="90000275"/>
    <s v="AMOMPY"/>
    <s v="Momentum Capital Investment S.A."/>
    <s v="06/08/2026"/>
    <s v="06/08/2026"/>
    <n v="33"/>
    <s v="No"/>
    <s v=""/>
    <m/>
    <m/>
    <s v="*MAV301101738"/>
    <s v="*MAV301101738"/>
    <n v="3.9062202084967764E-5"/>
  </r>
  <r>
    <x v="8"/>
    <s v="Pesos"/>
    <d v="2026-12-02T00:00:00"/>
    <s v="25/08/2026"/>
    <n v="0.92941543000000004"/>
    <m/>
    <n v="30000000"/>
    <n v="27882462.969999999"/>
    <n v="30000000"/>
    <n v="27882462.969999999"/>
    <n v="29600860"/>
    <s v="AMOMPY"/>
    <s v="Momentum Capital Investment S.A."/>
    <s v="07/07/2026"/>
    <s v="07/07/2026"/>
    <n v="28"/>
    <s v="No"/>
    <s v=""/>
    <m/>
    <m/>
    <s v="*INP301100104"/>
    <s v="*INP301100104"/>
    <n v="4.5632645061439585E-4"/>
  </r>
  <r>
    <x v="48"/>
    <s v="Pesos"/>
    <d v="2026-12-02T00:00:00"/>
    <s v="25/08/2026"/>
    <n v="0.92707837000000004"/>
    <m/>
    <n v="4103981.39"/>
    <n v="3804712.37"/>
    <n v="4103981.39"/>
    <n v="3804712.37"/>
    <n v="90000123"/>
    <s v="AMOMPY"/>
    <s v="Momentum Capital Investment S.A."/>
    <s v="03/07/2026"/>
    <s v="03/07/2026"/>
    <n v="29"/>
    <s v="No"/>
    <s v=""/>
    <m/>
    <m/>
    <s v="*FED301100090"/>
    <s v="*FED301100090"/>
    <n v="6.2268203970317545E-5"/>
  </r>
  <r>
    <x v="10"/>
    <s v="Pesos"/>
    <d v="2026-12-02T00:00:00"/>
    <s v="25/08/2026"/>
    <n v="0.93412499999999998"/>
    <m/>
    <n v="5000000"/>
    <n v="4670624.9800000004"/>
    <n v="5000000"/>
    <n v="4670624.9800000004"/>
    <n v="491507"/>
    <s v="AMOMPY"/>
    <s v="Momentum Capital Investment S.A."/>
    <s v="20/07/2026"/>
    <s v="20/07/2026"/>
    <n v="26"/>
    <s v="No"/>
    <s v=""/>
    <m/>
    <m/>
    <s v="*MIL281100045"/>
    <s v="*MIL281100045"/>
    <n v="7.6439793771716926E-5"/>
  </r>
  <r>
    <x v="10"/>
    <s v="Pesos"/>
    <d v="2026-12-02T00:00:00"/>
    <s v="25/08/2026"/>
    <n v="0.92941543000000004"/>
    <m/>
    <n v="7000000"/>
    <n v="6505908.0300000003"/>
    <n v="7000000"/>
    <n v="6505908.0300000003"/>
    <n v="67768339"/>
    <s v="AMOMPY"/>
    <s v="Momentum Capital Investment S.A."/>
    <s v="07/07/2026"/>
    <s v="07/07/2026"/>
    <n v="28"/>
    <s v="No"/>
    <s v=""/>
    <m/>
    <m/>
    <s v="*MIL301100029"/>
    <s v="*MIL301100029"/>
    <n v="1.0647617187003464E-4"/>
  </r>
  <r>
    <x v="34"/>
    <s v="Pesos"/>
    <d v="2026-12-02T00:00:00"/>
    <s v="25/08/2026"/>
    <n v="0.91784652"/>
    <m/>
    <n v="2500000"/>
    <n v="2294616.29"/>
    <n v="2500000"/>
    <n v="2294616.29"/>
    <n v="1030"/>
    <s v="AMOMPY"/>
    <s v="Momentum Capital Investment S.A."/>
    <s v="19/08/2026"/>
    <s v="19/08/2026"/>
    <n v="33"/>
    <s v="No"/>
    <s v=""/>
    <m/>
    <m/>
    <s v="*MAV301101795"/>
    <s v="*MAV301101795"/>
    <n v="3.7553859867555066E-5"/>
  </r>
  <r>
    <x v="34"/>
    <s v="Pesos"/>
    <d v="2026-12-02T00:00:00"/>
    <s v="25/08/2026"/>
    <n v="0.92013738"/>
    <m/>
    <n v="3500000"/>
    <n v="3220480.82"/>
    <n v="3500000"/>
    <n v="3220480.82"/>
    <n v="1066"/>
    <s v="AMOMPY"/>
    <s v="Momentum Capital Investment S.A."/>
    <s v="25/08/2026"/>
    <s v="25/08/2026"/>
    <n v="32"/>
    <s v="No"/>
    <s v=""/>
    <m/>
    <m/>
    <s v="*MAV301101831"/>
    <s v="*MAV301101831"/>
    <n v="5.2706627224558241E-5"/>
  </r>
  <r>
    <x v="18"/>
    <s v="Pesos"/>
    <d v="2026-12-02T00:00:00"/>
    <s v="25/08/2026"/>
    <n v="0.91784666000000004"/>
    <m/>
    <n v="5800000"/>
    <n v="5323510.6500000004"/>
    <n v="5800000"/>
    <n v="5323510.6500000004"/>
    <n v="6580"/>
    <s v="AMOMPY"/>
    <s v="Momentum Capital Investment S.A."/>
    <s v="21/08/2026"/>
    <s v="21/08/2026"/>
    <n v="33"/>
    <s v="No"/>
    <s v=""/>
    <m/>
    <m/>
    <s v="*MAV291101291"/>
    <s v="*MAV291101291"/>
    <n v="8.7124968921726341E-5"/>
  </r>
  <r>
    <x v="246"/>
    <s v="Pesos"/>
    <d v="2026-12-02T00:00:00"/>
    <s v="25/08/2026"/>
    <n v="0.91556740000000003"/>
    <m/>
    <n v="13000000"/>
    <n v="11902376.199999999"/>
    <n v="13000000"/>
    <n v="11902376.199999999"/>
    <n v="14330929"/>
    <s v="AMOMPY"/>
    <s v="Momentum Capital Investment S.A."/>
    <s v="25/08/2026"/>
    <s v="25/08/2026"/>
    <n v="34"/>
    <s v="No"/>
    <s v=""/>
    <m/>
    <m/>
    <s v="*MAV301101834"/>
    <s v="*MAV301101834"/>
    <n v="1.9479516895860724E-4"/>
  </r>
  <r>
    <x v="269"/>
    <s v="Pesos"/>
    <d v="2026-12-02T00:00:00"/>
    <s v="25/08/2026"/>
    <n v="0.91784650999999995"/>
    <m/>
    <n v="3320250"/>
    <n v="3047479.88"/>
    <n v="3320250"/>
    <n v="3047479.88"/>
    <n v="10539964"/>
    <s v="AMOMPY"/>
    <s v="Momentum Capital Investment S.A."/>
    <s v="28/07/2026"/>
    <s v="28/07/2026"/>
    <n v="33"/>
    <s v="No"/>
    <s v=""/>
    <m/>
    <m/>
    <s v="*MAV301101717"/>
    <s v="*MAV301101717"/>
    <n v="4.9875281048716661E-5"/>
  </r>
  <r>
    <x v="191"/>
    <s v="Pesos"/>
    <d v="2026-12-02T00:00:00"/>
    <s v="25/08/2026"/>
    <n v="0.92013736999999995"/>
    <m/>
    <n v="5444208"/>
    <n v="5009419.26"/>
    <n v="5444208"/>
    <n v="5009419.26"/>
    <n v="3450"/>
    <s v="AMOMPY"/>
    <s v="Momentum Capital Investment S.A."/>
    <s v="25/08/2026"/>
    <s v="25/08/2026"/>
    <n v="32"/>
    <s v="No"/>
    <s v=""/>
    <m/>
    <m/>
    <s v="*MAV281101463"/>
    <s v="*MAV281101463"/>
    <n v="8.1984526008865472E-5"/>
  </r>
  <r>
    <x v="175"/>
    <s v="Pesos"/>
    <d v="2026-12-02T00:00:00"/>
    <s v="25/08/2026"/>
    <n v="0.91784661000000001"/>
    <m/>
    <n v="6512309.3700000001"/>
    <n v="5977301.0999999996"/>
    <n v="6512309.3700000001"/>
    <n v="5977301.0999999996"/>
    <n v="90001933"/>
    <s v="AMOMPY"/>
    <s v="Momentum Capital Investment S.A."/>
    <s v="06/08/2026"/>
    <s v="06/08/2026"/>
    <n v="33"/>
    <s v="No"/>
    <s v=""/>
    <m/>
    <m/>
    <s v="*MAV301101739"/>
    <s v="*MAV301101739"/>
    <n v="9.7824951768115767E-5"/>
  </r>
  <r>
    <x v="95"/>
    <s v="Dolar 3500"/>
    <d v="2026-12-03T00:00:00"/>
    <s v="25/08/2026"/>
    <n v="0.97855219999999998"/>
    <s v="1 US3 = 1511,5325398191 $"/>
    <n v="50000"/>
    <n v="48927.61"/>
    <n v="75576626.989999995"/>
    <n v="73955674.609999999"/>
    <n v="158027"/>
    <s v="AMOMPY"/>
    <s v="Momentum Capital Investment S.A."/>
    <s v="23/07/2026"/>
    <s v="23/07/2026"/>
    <n v="8"/>
    <s v="No"/>
    <s v=""/>
    <m/>
    <m/>
    <s v="#UMV011260045"/>
    <s v="#UMV011260045"/>
    <n v="1.2103640389977534E-3"/>
  </r>
  <r>
    <x v="96"/>
    <s v="Dolar 3500"/>
    <d v="2026-12-03T00:00:00"/>
    <s v="25/08/2026"/>
    <n v="0.97593569999999996"/>
    <s v="1 US3 = 1511,5325398191 $"/>
    <n v="100000"/>
    <n v="97593.57"/>
    <n v="151153253.97999999"/>
    <n v="147515856.72999999"/>
    <n v="159253"/>
    <s v="AMOMPY"/>
    <s v="Momentum Capital Investment S.A."/>
    <s v="03/08/2026"/>
    <s v="03/08/2026"/>
    <n v="9"/>
    <s v="No"/>
    <s v=""/>
    <m/>
    <m/>
    <s v="#UMV011260046"/>
    <s v="#UMV011260046"/>
    <n v="2.4142554186611957E-3"/>
  </r>
  <r>
    <x v="12"/>
    <s v="Pesos"/>
    <d v="2026-12-03T00:00:00"/>
    <s v="25/08/2026"/>
    <n v="0.93112258000000003"/>
    <m/>
    <n v="25000000"/>
    <n v="23278064.609999999"/>
    <n v="25000000"/>
    <n v="23278064.609999999"/>
    <n v="9508924"/>
    <s v="AMOMPY"/>
    <s v="Momentum Capital Investment S.A."/>
    <s v="13/07/2026"/>
    <s v="13/07/2026"/>
    <n v="27"/>
    <s v="No"/>
    <s v=""/>
    <m/>
    <m/>
    <s v="*PRO011200008"/>
    <s v="*PRO011200008"/>
    <n v="3.8097052660243809E-4"/>
  </r>
  <r>
    <x v="253"/>
    <s v="Pesos"/>
    <d v="2026-12-04T00:00:00"/>
    <s v="25/08/2026"/>
    <n v="0.92334943999999997"/>
    <m/>
    <n v="18700000"/>
    <n v="17266634.609999999"/>
    <n v="18700000"/>
    <n v="17266634.609999999"/>
    <n v="238"/>
    <s v="AMOMPY"/>
    <s v="Momentum Capital Investment S.A."/>
    <s v="02/07/2026"/>
    <s v="02/07/2026"/>
    <n v="30"/>
    <s v="No"/>
    <s v=""/>
    <m/>
    <m/>
    <s v="*MAV021201175"/>
    <s v="*MAV021201175"/>
    <n v="2.8258701873340935E-4"/>
  </r>
  <r>
    <x v="111"/>
    <s v="Pesos"/>
    <d v="2026-12-09T00:00:00"/>
    <s v="25/08/2026"/>
    <n v="0.91254563"/>
    <m/>
    <n v="25000000"/>
    <n v="22813640.859999999"/>
    <n v="25000000"/>
    <n v="22813640.859999999"/>
    <n v="475886"/>
    <s v="AMOMPY"/>
    <s v="Momentum Capital Investment S.A."/>
    <s v="07/08/2026"/>
    <s v="07/08/2026"/>
    <n v="33"/>
    <s v="No"/>
    <s v=""/>
    <m/>
    <m/>
    <s v="*MAV031200931"/>
    <s v="*MAV031200931"/>
    <n v="3.7336973317014517E-4"/>
  </r>
  <r>
    <x v="79"/>
    <s v="Pesos"/>
    <d v="2026-12-09T00:00:00"/>
    <s v="25/08/2026"/>
    <n v="0.90297379"/>
    <m/>
    <n v="15000000"/>
    <n v="13544606.800000001"/>
    <n v="15000000"/>
    <n v="13544606.800000001"/>
    <n v="90023082"/>
    <s v="AMOMPY"/>
    <s v="Momentum Capital Investment S.A."/>
    <s v="02/06/2026"/>
    <s v="02/06/2026"/>
    <n v="37"/>
    <s v="No"/>
    <s v=""/>
    <m/>
    <m/>
    <s v="*MAV031200912"/>
    <s v="*MAV031200912"/>
    <n v="2.2167203638580178E-4"/>
  </r>
  <r>
    <x v="79"/>
    <s v="Pesos"/>
    <d v="2026-12-09T00:00:00"/>
    <s v="25/08/2026"/>
    <n v="0.90297379"/>
    <m/>
    <n v="15000000"/>
    <n v="13544606.800000001"/>
    <n v="15000000"/>
    <n v="13544606.800000001"/>
    <n v="90023081"/>
    <s v="AMOMPY"/>
    <s v="Momentum Capital Investment S.A."/>
    <s v="02/06/2026"/>
    <s v="02/06/2026"/>
    <n v="37"/>
    <s v="No"/>
    <s v=""/>
    <m/>
    <m/>
    <s v="*MAV031200913"/>
    <s v="*MAV031200913"/>
    <n v="2.2167203638580178E-4"/>
  </r>
  <r>
    <x v="48"/>
    <s v="Pesos"/>
    <d v="2026-12-09T00:00:00"/>
    <s v="25/08/2026"/>
    <n v="0.92232281000000005"/>
    <m/>
    <n v="8106418.25"/>
    <n v="7476734.4500000002"/>
    <n v="8106418.25"/>
    <n v="7476734.4500000002"/>
    <n v="90000807"/>
    <s v="AMOMPY"/>
    <s v="Momentum Capital Investment S.A."/>
    <s v="03/07/2026"/>
    <s v="03/07/2026"/>
    <n v="29"/>
    <s v="No"/>
    <s v=""/>
    <m/>
    <m/>
    <s v="*FED031200025"/>
    <s v="*FED031200025"/>
    <n v="1.2236478884328908E-4"/>
  </r>
  <r>
    <x v="166"/>
    <s v="Pesos"/>
    <d v="2026-12-09T00:00:00"/>
    <s v="25/08/2026"/>
    <n v="0.90534795000000001"/>
    <m/>
    <n v="11500000"/>
    <n v="10411501.43"/>
    <n v="11500000"/>
    <n v="10411501.43"/>
    <n v="10468665"/>
    <s v="AMOMPY"/>
    <s v="Momentum Capital Investment S.A."/>
    <s v="30/07/2026"/>
    <s v="30/07/2026"/>
    <n v="36"/>
    <s v="No"/>
    <s v=""/>
    <m/>
    <m/>
    <s v="*MAV031200924"/>
    <s v="*MAV031200924"/>
    <n v="1.7039540223654089E-4"/>
  </r>
  <r>
    <x v="79"/>
    <s v="Pesos"/>
    <d v="2026-12-10T00:00:00"/>
    <s v="25/08/2026"/>
    <n v="0.90214797000000002"/>
    <m/>
    <n v="15000000"/>
    <n v="13532219.48"/>
    <n v="15000000"/>
    <n v="13532219.48"/>
    <n v="90023083"/>
    <s v="AMOMPY"/>
    <s v="Momentum Capital Investment S.A."/>
    <s v="02/06/2026"/>
    <s v="02/06/2026"/>
    <n v="37"/>
    <s v="No"/>
    <s v=""/>
    <m/>
    <m/>
    <s v="*MAV041200911"/>
    <s v="*MAV041200911"/>
    <n v="2.214693045907553E-4"/>
  </r>
  <r>
    <x v="270"/>
    <s v="Pesos"/>
    <d v="2026-12-10T00:00:00"/>
    <s v="25/08/2026"/>
    <n v="0.92414434000000001"/>
    <m/>
    <n v="15000000"/>
    <n v="13862165.060000001"/>
    <n v="15000000"/>
    <n v="13862165.060000001"/>
    <n v="2285661"/>
    <s v="AMOMPY"/>
    <s v="Momentum Capital Investment S.A."/>
    <s v="10/08/2026"/>
    <s v="10/08/2026"/>
    <n v="28"/>
    <s v="No"/>
    <s v=""/>
    <m/>
    <m/>
    <s v="*MAV041200946"/>
    <s v="*MAV041200946"/>
    <n v="2.2686921834942525E-4"/>
  </r>
  <r>
    <x v="166"/>
    <s v="Pesos"/>
    <d v="2026-12-10T00:00:00"/>
    <s v="25/08/2026"/>
    <n v="0.90454018000000003"/>
    <m/>
    <n v="11500000"/>
    <n v="10402212.09"/>
    <n v="11500000"/>
    <n v="10402212.09"/>
    <n v="10468668"/>
    <s v="AMOMPY"/>
    <s v="Momentum Capital Investment S.A."/>
    <s v="30/07/2026"/>
    <s v="30/07/2026"/>
    <n v="36"/>
    <s v="No"/>
    <s v=""/>
    <m/>
    <m/>
    <s v="*MAV041200933"/>
    <s v="*MAV041200933"/>
    <n v="1.7024337221124109E-4"/>
  </r>
  <r>
    <x v="79"/>
    <s v="Pesos"/>
    <d v="2026-12-11T00:00:00"/>
    <s v="25/08/2026"/>
    <n v="0.90132365000000003"/>
    <m/>
    <n v="15000000"/>
    <n v="13519854.82"/>
    <n v="15000000"/>
    <n v="13519854.82"/>
    <n v="90023086"/>
    <s v="AMOMPY"/>
    <s v="Momentum Capital Investment S.A."/>
    <s v="02/06/2026"/>
    <s v="02/06/2026"/>
    <n v="37"/>
    <s v="No"/>
    <s v=""/>
    <m/>
    <m/>
    <s v="*MAV091201366"/>
    <s v="*MAV091201366"/>
    <n v="2.2126694365094432E-4"/>
  </r>
  <r>
    <x v="48"/>
    <s v="Pesos"/>
    <d v="2026-12-11T00:00:00"/>
    <s v="25/08/2026"/>
    <n v="0.92097309999999999"/>
    <m/>
    <n v="5311841.87"/>
    <n v="4892063.46"/>
    <n v="5311841.87"/>
    <n v="4892063.46"/>
    <n v="90000278"/>
    <s v="AMOMPY"/>
    <s v="Momentum Capital Investment S.A."/>
    <s v="03/07/2026"/>
    <s v="03/07/2026"/>
    <n v="29"/>
    <s v="No"/>
    <s v=""/>
    <m/>
    <m/>
    <s v="*FED071200026"/>
    <s v="*FED071200026"/>
    <n v="8.0063872308701586E-5"/>
  </r>
  <r>
    <x v="271"/>
    <s v="Pesos"/>
    <d v="2026-12-11T00:00:00"/>
    <s v="25/08/2026"/>
    <n v="0.92348958000000003"/>
    <m/>
    <n v="69542230"/>
    <n v="64221524.659999996"/>
    <n v="69542230"/>
    <n v="64221524.659999996"/>
    <n v="155355"/>
    <s v="AMOMPY"/>
    <s v="Momentum Capital Investment S.A."/>
    <s v="01/07/2026"/>
    <s v="01/07/2026"/>
    <n v="28"/>
    <s v="No"/>
    <s v=""/>
    <m/>
    <m/>
    <s v="#POT101260001"/>
    <s v="#POT101260001"/>
    <n v="1.0510542211666996E-3"/>
  </r>
  <r>
    <x v="83"/>
    <s v="Pesos"/>
    <d v="2026-12-11T00:00:00"/>
    <s v="25/08/2026"/>
    <n v="0.90859319000000005"/>
    <m/>
    <n v="4000000"/>
    <n v="3634372.78"/>
    <n v="4000000"/>
    <n v="3634372.78"/>
    <n v="90000054"/>
    <s v="AMOMPY"/>
    <s v="Momentum Capital Investment S.A."/>
    <s v="11/06/2026"/>
    <s v="11/06/2026"/>
    <n v="34"/>
    <s v="No"/>
    <s v=""/>
    <m/>
    <m/>
    <s v="*MAV071200853"/>
    <s v="*MAV071200853"/>
    <n v="5.9480413645357902E-5"/>
  </r>
  <r>
    <x v="139"/>
    <s v="Pesos"/>
    <d v="2026-12-11T00:00:00"/>
    <s v="25/08/2026"/>
    <n v="0.91847005999999998"/>
    <m/>
    <n v="50000000"/>
    <n v="45923502.899999999"/>
    <n v="50000000"/>
    <n v="45923502.899999999"/>
    <n v="68017"/>
    <s v="AMOMPY"/>
    <s v="Momentum Capital Investment S.A."/>
    <s v="29/07/2026"/>
    <s v="29/07/2026"/>
    <n v="30"/>
    <s v="No"/>
    <s v=""/>
    <m/>
    <m/>
    <s v="*MAV091201395"/>
    <s v="*MAV091201395"/>
    <n v="7.5158744407495624E-4"/>
  </r>
  <r>
    <x v="111"/>
    <s v="Pesos"/>
    <d v="2026-12-14T00:00:00"/>
    <s v="25/08/2026"/>
    <n v="0.90879681000000001"/>
    <m/>
    <n v="25000000"/>
    <n v="22719920.170000002"/>
    <n v="25000000"/>
    <n v="22719920.170000002"/>
    <n v="475887"/>
    <s v="AMOMPY"/>
    <s v="Momentum Capital Investment S.A."/>
    <s v="07/08/2026"/>
    <s v="07/08/2026"/>
    <n v="33"/>
    <s v="No"/>
    <s v=""/>
    <m/>
    <m/>
    <s v="*MAV101201380"/>
    <s v="*MAV101201380"/>
    <n v="3.7183589342783664E-4"/>
  </r>
  <r>
    <x v="147"/>
    <s v="Pesos"/>
    <d v="2026-12-14T00:00:00"/>
    <s v="25/08/2026"/>
    <n v="0.92153101000000004"/>
    <m/>
    <n v="850000000"/>
    <n v="783301357.64999998"/>
    <n v="850000000"/>
    <n v="783301357.64999998"/>
    <n v="31"/>
    <s v="AMOMPY"/>
    <s v="Momentum Capital Investment S.A."/>
    <s v="12/08/2026"/>
    <s v="12/08/2026"/>
    <n v="28"/>
    <s v="No"/>
    <s v=""/>
    <m/>
    <m/>
    <s v="*MAV101201390"/>
    <s v="*MAV101201390"/>
    <n v="1.2819567937109751E-2"/>
  </r>
  <r>
    <x v="10"/>
    <s v="Pesos"/>
    <d v="2026-12-15T00:00:00"/>
    <s v="25/08/2026"/>
    <n v="0.92611394999999996"/>
    <m/>
    <n v="5000000"/>
    <n v="4630569.75"/>
    <n v="5000000"/>
    <n v="4630569.75"/>
    <n v="491508"/>
    <s v="AMOMPY"/>
    <s v="Momentum Capital Investment S.A."/>
    <s v="20/07/2026"/>
    <s v="20/07/2026"/>
    <n v="26"/>
    <s v="No"/>
    <s v=""/>
    <m/>
    <m/>
    <s v="*MIL111200037"/>
    <s v="*MIL111200037"/>
    <n v="7.5784246915827267E-5"/>
  </r>
  <r>
    <x v="19"/>
    <s v="Pesos"/>
    <d v="2026-12-15T00:00:00"/>
    <s v="25/08/2026"/>
    <n v="0.92088018000000005"/>
    <m/>
    <n v="50000000"/>
    <n v="46044008.859999999"/>
    <n v="50000000"/>
    <n v="46044008.859999999"/>
    <n v="40665393"/>
    <s v="AMOMPY"/>
    <s v="Momentum Capital Investment S.A."/>
    <s v="05/08/2026"/>
    <s v="05/08/2026"/>
    <n v="28"/>
    <s v="No"/>
    <s v=""/>
    <m/>
    <m/>
    <s v="*MAV111201207"/>
    <s v="*MAV111201207"/>
    <n v="7.5355965352660501E-4"/>
  </r>
  <r>
    <x v="118"/>
    <s v="Pesos"/>
    <d v="2026-12-16T00:00:00"/>
    <s v="25/08/2026"/>
    <n v="0.90730586999999996"/>
    <m/>
    <n v="2600411.64"/>
    <n v="2359368.75"/>
    <n v="2600411.64"/>
    <n v="2359368.75"/>
    <n v="90000276"/>
    <s v="AMOMPY"/>
    <s v="Momentum Capital Investment S.A."/>
    <s v="06/08/2026"/>
    <s v="06/08/2026"/>
    <n v="33"/>
    <s v="No"/>
    <s v=""/>
    <m/>
    <m/>
    <s v="*MAV141201093"/>
    <s v="*MAV141201093"/>
    <n v="3.8613603415753912E-5"/>
  </r>
  <r>
    <x v="48"/>
    <s v="Pesos"/>
    <d v="2026-12-16T00:00:00"/>
    <s v="25/08/2026"/>
    <n v="0.91761579000000004"/>
    <m/>
    <n v="4396334.17"/>
    <n v="4034145.67"/>
    <n v="4396334.17"/>
    <n v="4034145.67"/>
    <n v="90000109"/>
    <s v="AMOMPY"/>
    <s v="Momentum Capital Investment S.A."/>
    <s v="03/07/2026"/>
    <s v="03/07/2026"/>
    <n v="29"/>
    <s v="No"/>
    <s v=""/>
    <m/>
    <m/>
    <s v="*FED141200032"/>
    <s v="*FED141200032"/>
    <n v="6.6023126322564389E-5"/>
  </r>
  <r>
    <x v="49"/>
    <s v="Dolar 3500"/>
    <d v="2026-12-16T00:00:00"/>
    <s v="25/08/2026"/>
    <n v="0.97582994999999995"/>
    <s v="1 US3 = 1511,5325398191 $"/>
    <n v="18230"/>
    <n v="17789.38"/>
    <n v="27555238.199999999"/>
    <n v="26889226.73"/>
    <n v="146447"/>
    <s v="AMOMPY"/>
    <s v="Momentum Capital Investment S.A."/>
    <s v="17/04/2026"/>
    <s v="17/04/2026"/>
    <n v="8"/>
    <s v="No"/>
    <s v=""/>
    <m/>
    <m/>
    <s v="#UMV131260004"/>
    <s v="#UMV131260004"/>
    <n v="4.4007107287002479E-4"/>
  </r>
  <r>
    <x v="38"/>
    <s v="Pesos"/>
    <d v="2026-12-16T00:00:00"/>
    <s v="25/08/2026"/>
    <n v="0.92023012999999998"/>
    <m/>
    <n v="10746145.48"/>
    <n v="9888926.8000000007"/>
    <n v="10746145.48"/>
    <n v="9888926.8000000007"/>
    <n v="604620"/>
    <s v="AMOMPY"/>
    <s v="Momentum Capital Investment S.A."/>
    <s v="10/08/2026"/>
    <s v="10/08/2026"/>
    <n v="28"/>
    <s v="No"/>
    <s v=""/>
    <m/>
    <m/>
    <s v="*MAV141201102"/>
    <s v="*MAV141201102"/>
    <n v="1.6184290720245423E-4"/>
  </r>
  <r>
    <x v="38"/>
    <s v="Pesos"/>
    <d v="2026-12-16T00:00:00"/>
    <s v="25/08/2026"/>
    <n v="0.92023012999999998"/>
    <m/>
    <n v="8521998.5999999996"/>
    <n v="7842199.8399999999"/>
    <n v="8521998.5999999996"/>
    <n v="7842199.8399999999"/>
    <n v="654243"/>
    <s v="AMOMPY"/>
    <s v="Momentum Capital Investment S.A."/>
    <s v="10/08/2026"/>
    <s v="10/08/2026"/>
    <n v="28"/>
    <s v="No"/>
    <s v=""/>
    <m/>
    <m/>
    <s v="*MAV141201101"/>
    <s v="*MAV141201101"/>
    <n v="1.283460224387768E-4"/>
  </r>
  <r>
    <x v="238"/>
    <s v="Pesos"/>
    <d v="2026-12-16T00:00:00"/>
    <s v="25/08/2026"/>
    <n v="0.90730568"/>
    <m/>
    <n v="150000000"/>
    <n v="136095852.41"/>
    <n v="150000000"/>
    <n v="136095852.41"/>
    <n v="90016070"/>
    <s v="AMOMPY"/>
    <s v="Momentum Capital Investment S.A."/>
    <s v="14/08/2026"/>
    <s v="14/08/2026"/>
    <n v="33"/>
    <s v="No"/>
    <s v=""/>
    <m/>
    <m/>
    <s v="*MAV121201575"/>
    <s v="*MAV121201575"/>
    <n v="2.2273547835575578E-3"/>
  </r>
  <r>
    <x v="8"/>
    <s v="Pesos"/>
    <d v="2026-12-17T00:00:00"/>
    <s v="25/08/2026"/>
    <n v="0.91958083000000002"/>
    <m/>
    <n v="30000000"/>
    <n v="27587424.82"/>
    <n v="30000000"/>
    <n v="27587424.82"/>
    <n v="29600864"/>
    <s v="AMOMPY"/>
    <s v="Momentum Capital Investment S.A."/>
    <s v="07/07/2026"/>
    <s v="07/07/2026"/>
    <n v="28"/>
    <s v="No"/>
    <s v=""/>
    <m/>
    <m/>
    <s v="*INP151200109"/>
    <s v="*INP151200109"/>
    <n v="4.5149783443618392E-4"/>
  </r>
  <r>
    <x v="83"/>
    <s v="Pesos"/>
    <d v="2026-12-17T00:00:00"/>
    <s v="25/08/2026"/>
    <n v="0.90656212999999997"/>
    <m/>
    <n v="2000000"/>
    <n v="1813124.27"/>
    <n v="2000000"/>
    <n v="1813124.27"/>
    <n v="43"/>
    <s v="AMOMPY"/>
    <s v="Momentum Capital Investment S.A."/>
    <s v="13/08/2026"/>
    <s v="13/08/2026"/>
    <n v="33"/>
    <s v="No"/>
    <s v=""/>
    <m/>
    <m/>
    <s v="*MAV151201807"/>
    <s v="*MAV151201807"/>
    <n v="2.967372586640317E-5"/>
  </r>
  <r>
    <x v="12"/>
    <s v="Pesos"/>
    <d v="2026-12-17T00:00:00"/>
    <s v="25/08/2026"/>
    <n v="0.92222968999999999"/>
    <m/>
    <n v="25000000"/>
    <n v="23055742.149999999"/>
    <n v="25000000"/>
    <n v="23055742.149999999"/>
    <n v="9508925"/>
    <s v="AMOMPY"/>
    <s v="Momentum Capital Investment S.A."/>
    <s v="13/07/2026"/>
    <s v="13/07/2026"/>
    <n v="27"/>
    <s v="No"/>
    <s v=""/>
    <m/>
    <m/>
    <s v="*PRO151200026"/>
    <s v="*PRO151200026"/>
    <n v="3.7733198078341136E-4"/>
  </r>
  <r>
    <x v="12"/>
    <s v="Pesos"/>
    <d v="2026-12-17T00:00:00"/>
    <s v="25/08/2026"/>
    <n v="0.92489359000000004"/>
    <m/>
    <n v="15000000"/>
    <n v="13873403.810000001"/>
    <n v="15000000"/>
    <n v="13873403.810000001"/>
    <n v="20411019"/>
    <s v="AMOMPY"/>
    <s v="Momentum Capital Investment S.A."/>
    <s v="17/07/2026"/>
    <s v="17/07/2026"/>
    <n v="26"/>
    <s v="No"/>
    <s v=""/>
    <m/>
    <m/>
    <s v="*PRO151200025"/>
    <s v="*PRO151200025"/>
    <n v="2.2705315256292571E-4"/>
  </r>
  <r>
    <x v="10"/>
    <s v="Pesos"/>
    <d v="2026-12-17T00:00:00"/>
    <s v="25/08/2026"/>
    <n v="0.92489372999999997"/>
    <m/>
    <n v="5000000"/>
    <n v="4624468.63"/>
    <n v="5000000"/>
    <n v="4624468.63"/>
    <n v="491509"/>
    <s v="AMOMPY"/>
    <s v="Momentum Capital Investment S.A."/>
    <s v="20/07/2026"/>
    <s v="20/07/2026"/>
    <n v="26"/>
    <s v="No"/>
    <s v=""/>
    <m/>
    <m/>
    <s v="*MIL151200043"/>
    <s v="*MIL151200043"/>
    <n v="7.5684395534786499E-5"/>
  </r>
  <r>
    <x v="111"/>
    <s v="Pesos"/>
    <d v="2026-12-18T00:00:00"/>
    <s v="25/08/2026"/>
    <n v="0.90581970999999994"/>
    <m/>
    <n v="25000000"/>
    <n v="22645492.809999999"/>
    <n v="25000000"/>
    <n v="22645492.809999999"/>
    <n v="475888"/>
    <s v="AMOMPY"/>
    <s v="Momentum Capital Investment S.A."/>
    <s v="07/08/2026"/>
    <s v="07/08/2026"/>
    <n v="33"/>
    <s v="No"/>
    <s v=""/>
    <m/>
    <m/>
    <s v="*MAV161201275"/>
    <s v="*MAV161201275"/>
    <n v="3.7061780975086939E-4"/>
  </r>
  <r>
    <x v="199"/>
    <s v="Pesos"/>
    <d v="2026-12-18T00:00:00"/>
    <s v="25/08/2026"/>
    <n v="0.90581964999999998"/>
    <m/>
    <n v="6820314.5199999996"/>
    <n v="6177974.9000000004"/>
    <n v="6820314.5199999996"/>
    <n v="6177974.9000000004"/>
    <n v="769"/>
    <s v="AMOMPY"/>
    <s v="Momentum Capital Investment S.A."/>
    <s v="06/08/2026"/>
    <s v="06/08/2026"/>
    <n v="33"/>
    <s v="No"/>
    <s v=""/>
    <m/>
    <m/>
    <s v="*MAV161201272"/>
    <s v="*MAV161201272"/>
    <n v="1.0110919401686656E-4"/>
  </r>
  <r>
    <x v="166"/>
    <s v="Pesos"/>
    <d v="2026-12-18T00:00:00"/>
    <s v="25/08/2026"/>
    <n v="0.89813001000000003"/>
    <m/>
    <n v="22578937.030000001"/>
    <n v="20278820.829999998"/>
    <n v="22578937.030000001"/>
    <n v="20278820.829999998"/>
    <n v="67998226"/>
    <s v="AMOMPY"/>
    <s v="Momentum Capital Investment S.A."/>
    <s v="01/07/2026"/>
    <s v="01/07/2026"/>
    <n v="36"/>
    <s v="No"/>
    <s v=""/>
    <m/>
    <m/>
    <s v="*MAV161201238"/>
    <s v="*MAV161201238"/>
    <n v="3.3188468113292991E-4"/>
  </r>
  <r>
    <x v="148"/>
    <s v="Pesos"/>
    <d v="2026-12-21T00:00:00"/>
    <s v="25/08/2026"/>
    <n v="0.92246273000000001"/>
    <m/>
    <n v="20000000"/>
    <n v="18449254.670000002"/>
    <n v="20000000"/>
    <n v="18449254.670000002"/>
    <n v="79700360"/>
    <s v="AMOMPY"/>
    <s v="Momentum Capital Investment S.A."/>
    <s v="20/07/2026"/>
    <s v="20/07/2026"/>
    <n v="26"/>
    <s v="No"/>
    <s v=""/>
    <m/>
    <m/>
    <s v="*AFB171200009"/>
    <s v="*AFB171200009"/>
    <n v="3.0194186607906281E-4"/>
  </r>
  <r>
    <x v="35"/>
    <s v="Pesos"/>
    <d v="2026-12-21T00:00:00"/>
    <s v="25/08/2026"/>
    <n v="0.91428301999999995"/>
    <m/>
    <n v="14000000"/>
    <n v="12799962.23"/>
    <n v="14000000"/>
    <n v="12799962.23"/>
    <n v="118"/>
    <s v="AMOMPY"/>
    <s v="Momentum Capital Investment S.A."/>
    <s v="06/07/2026"/>
    <s v="06/07/2026"/>
    <n v="29"/>
    <s v="No"/>
    <s v=""/>
    <m/>
    <m/>
    <s v="*CUY171200028"/>
    <s v="*CUY171200028"/>
    <n v="2.0948512829367986E-4"/>
  </r>
  <r>
    <x v="10"/>
    <s v="Pesos"/>
    <d v="2026-12-21T00:00:00"/>
    <s v="25/08/2026"/>
    <n v="0.92246273000000001"/>
    <m/>
    <n v="5000000"/>
    <n v="4612313.67"/>
    <n v="5000000"/>
    <n v="4612313.67"/>
    <n v="491510"/>
    <s v="AMOMPY"/>
    <s v="Momentum Capital Investment S.A."/>
    <s v="20/07/2026"/>
    <s v="20/07/2026"/>
    <n v="26"/>
    <s v="No"/>
    <s v=""/>
    <m/>
    <m/>
    <s v="*MIL171200035"/>
    <s v="*MIL171200035"/>
    <n v="7.5485466560680877E-5"/>
  </r>
  <r>
    <x v="197"/>
    <s v="Pesos"/>
    <d v="2026-12-21T00:00:00"/>
    <s v="25/08/2026"/>
    <n v="0.89316304999999996"/>
    <m/>
    <n v="20000000"/>
    <n v="17863260.98"/>
    <n v="20000000"/>
    <n v="17863260.98"/>
    <n v="2638"/>
    <s v="AMOMPY"/>
    <s v="Momentum Capital Investment S.A."/>
    <s v="12/08/2026"/>
    <s v="12/08/2026"/>
    <n v="37"/>
    <s v="No"/>
    <s v=""/>
    <m/>
    <m/>
    <s v="*MAV171201007"/>
    <s v="*MAV171201007"/>
    <n v="2.9235145001976971E-4"/>
  </r>
  <r>
    <x v="272"/>
    <s v="Pesos"/>
    <d v="2026-12-21T00:00:00"/>
    <s v="25/08/2026"/>
    <n v="0.91158841999999995"/>
    <m/>
    <n v="50000000"/>
    <n v="45579420.850000001"/>
    <n v="50000000"/>
    <n v="45579420.850000001"/>
    <n v="197095"/>
    <s v="AMOMPY"/>
    <s v="Momentum Capital Investment S.A."/>
    <s v="19/08/2026"/>
    <s v="19/08/2026"/>
    <n v="30"/>
    <s v="No"/>
    <s v=""/>
    <m/>
    <m/>
    <s v="*MAV171201010"/>
    <s v="*MAV171201010"/>
    <n v="7.4595617180300659E-4"/>
  </r>
  <r>
    <x v="79"/>
    <s v="Pesos"/>
    <d v="2026-12-22T00:00:00"/>
    <s v="25/08/2026"/>
    <n v="0.89235520000000002"/>
    <m/>
    <n v="15000000"/>
    <n v="13385327.970000001"/>
    <n v="15000000"/>
    <n v="13385327.970000001"/>
    <n v="90023099"/>
    <s v="AMOMPY"/>
    <s v="Momentum Capital Investment S.A."/>
    <s v="03/06/2026"/>
    <s v="03/06/2026"/>
    <n v="37"/>
    <s v="No"/>
    <s v=""/>
    <m/>
    <m/>
    <s v="*MAV181201190"/>
    <s v="*MAV181201190"/>
    <n v="2.1906526727684188E-4"/>
  </r>
  <r>
    <x v="148"/>
    <s v="Pesos"/>
    <d v="2026-12-22T00:00:00"/>
    <s v="25/08/2026"/>
    <n v="0.92185693999999996"/>
    <m/>
    <n v="20000000"/>
    <n v="18437138.77"/>
    <n v="20000000"/>
    <n v="18437138.77"/>
    <n v="79700361"/>
    <s v="AMOMPY"/>
    <s v="Momentum Capital Investment S.A."/>
    <s v="20/07/2026"/>
    <s v="20/07/2026"/>
    <n v="26"/>
    <s v="No"/>
    <s v=""/>
    <m/>
    <m/>
    <s v="*AFB181200007"/>
    <s v="*AFB181200007"/>
    <n v="3.017435763638053E-4"/>
  </r>
  <r>
    <x v="272"/>
    <s v="Pesos"/>
    <d v="2026-12-22T00:00:00"/>
    <s v="25/08/2026"/>
    <n v="0.91090609"/>
    <m/>
    <n v="50000000"/>
    <n v="45545304.659999996"/>
    <n v="50000000"/>
    <n v="45545304.659999996"/>
    <n v="197096"/>
    <s v="AMOMPY"/>
    <s v="Momentum Capital Investment S.A."/>
    <s v="19/08/2026"/>
    <s v="19/08/2026"/>
    <n v="30"/>
    <s v="No"/>
    <s v=""/>
    <m/>
    <m/>
    <s v="*MAV181201233"/>
    <s v="*MAV181201233"/>
    <n v="7.4539782371489335E-4"/>
  </r>
  <r>
    <x v="111"/>
    <s v="Pesos"/>
    <d v="2026-12-23T00:00:00"/>
    <s v="25/08/2026"/>
    <n v="0.90212559999999997"/>
    <m/>
    <n v="25000000"/>
    <n v="22553140.039999999"/>
    <n v="25000000"/>
    <n v="22553140.039999999"/>
    <n v="475889"/>
    <s v="AMOMPY"/>
    <s v="Momentum Capital Investment S.A."/>
    <s v="07/08/2026"/>
    <s v="07/08/2026"/>
    <n v="33"/>
    <s v="No"/>
    <s v=""/>
    <m/>
    <m/>
    <s v="*MAV201201625"/>
    <s v="*MAV201201625"/>
    <n v="3.6910635748842576E-4"/>
  </r>
  <r>
    <x v="148"/>
    <s v="Pesos"/>
    <d v="2026-12-23T00:00:00"/>
    <s v="25/08/2026"/>
    <n v="0.92125193999999999"/>
    <m/>
    <n v="20000000"/>
    <n v="18425038.75"/>
    <n v="20000000"/>
    <n v="18425038.75"/>
    <n v="79700362"/>
    <s v="AMOMPY"/>
    <s v="Momentum Capital Investment S.A."/>
    <s v="20/07/2026"/>
    <s v="20/07/2026"/>
    <n v="26"/>
    <s v="No"/>
    <s v=""/>
    <m/>
    <m/>
    <s v="*AFB211200004"/>
    <s v="*AFB211200004"/>
    <n v="3.0154554654180196E-4"/>
  </r>
  <r>
    <x v="83"/>
    <s v="Pesos"/>
    <d v="2026-12-23T00:00:00"/>
    <s v="25/08/2026"/>
    <n v="0.89945796"/>
    <m/>
    <n v="4000000"/>
    <n v="3597831.84"/>
    <n v="4000000"/>
    <n v="3597831.84"/>
    <n v="90000055"/>
    <s v="AMOMPY"/>
    <s v="Momentum Capital Investment S.A."/>
    <s v="11/06/2026"/>
    <s v="11/06/2026"/>
    <n v="34"/>
    <s v="No"/>
    <s v=""/>
    <m/>
    <m/>
    <s v="*MAV211200942"/>
    <s v="*MAV211200942"/>
    <n v="5.8882381919457129E-5"/>
  </r>
  <r>
    <x v="36"/>
    <s v="Pesos"/>
    <d v="2026-12-23T00:00:00"/>
    <s v="25/08/2026"/>
    <n v="0.91022449999999999"/>
    <m/>
    <n v="83000000"/>
    <n v="75548633.629999995"/>
    <n v="83000000"/>
    <n v="75548633.629999995"/>
    <n v="68158784"/>
    <s v="AMOMPY"/>
    <s v="Momentum Capital Investment S.A."/>
    <s v="13/07/2026"/>
    <s v="13/07/2026"/>
    <n v="30"/>
    <s v="No"/>
    <s v=""/>
    <m/>
    <m/>
    <s v="*NIO201200029"/>
    <s v="*NIO201200029"/>
    <n v="1.2364345241034952E-3"/>
  </r>
  <r>
    <x v="18"/>
    <s v="Pesos"/>
    <d v="2026-12-23T00:00:00"/>
    <s v="25/08/2026"/>
    <n v="0.90212555999999999"/>
    <m/>
    <n v="5800000"/>
    <n v="5232328.26"/>
    <n v="5800000"/>
    <n v="5232328.26"/>
    <n v="6578"/>
    <s v="AMOMPY"/>
    <s v="Momentum Capital Investment S.A."/>
    <s v="21/08/2026"/>
    <s v="21/08/2026"/>
    <n v="33"/>
    <s v="No"/>
    <s v=""/>
    <m/>
    <m/>
    <s v="*MAV191201280"/>
    <s v="*MAV191201280"/>
    <n v="8.5632671184901341E-5"/>
  </r>
  <r>
    <x v="265"/>
    <s v="Pesos"/>
    <d v="2026-12-23T00:00:00"/>
    <s v="25/08/2026"/>
    <n v="0.91570509"/>
    <m/>
    <n v="150000000"/>
    <n v="137355762.88999999"/>
    <n v="150000000"/>
    <n v="137355762.88999999"/>
    <n v="90000174"/>
    <s v="AMOMPY"/>
    <s v="Momentum Capital Investment S.A."/>
    <s v="12/08/2026"/>
    <s v="12/08/2026"/>
    <n v="28"/>
    <s v="No"/>
    <s v=""/>
    <m/>
    <m/>
    <s v="*MAV201201628"/>
    <s v="*MAV201201628"/>
    <n v="2.247974571631835E-3"/>
  </r>
  <r>
    <x v="272"/>
    <s v="Pesos"/>
    <d v="2026-12-23T00:00:00"/>
    <s v="25/08/2026"/>
    <n v="0.91022455000000002"/>
    <m/>
    <n v="50000000"/>
    <n v="45511227.670000002"/>
    <n v="50000000"/>
    <n v="45511227.670000002"/>
    <n v="163597"/>
    <s v="AMOMPY"/>
    <s v="Momentum Capital Investment S.A."/>
    <s v="19/08/2026"/>
    <s v="19/08/2026"/>
    <n v="30"/>
    <s v="No"/>
    <s v=""/>
    <m/>
    <m/>
    <s v="*MAV201201630"/>
    <s v="*MAV201201630"/>
    <n v="7.4484011717687875E-4"/>
  </r>
  <r>
    <x v="272"/>
    <s v="Pesos"/>
    <d v="2026-12-23T00:00:00"/>
    <s v="25/08/2026"/>
    <n v="0.91022455000000002"/>
    <m/>
    <n v="50000000"/>
    <n v="45511227.670000002"/>
    <n v="50000000"/>
    <n v="45511227.670000002"/>
    <n v="197097"/>
    <s v="AMOMPY"/>
    <s v="Momentum Capital Investment S.A."/>
    <s v="19/08/2026"/>
    <s v="19/08/2026"/>
    <n v="30"/>
    <s v="No"/>
    <s v=""/>
    <m/>
    <m/>
    <s v="*MAV211200976"/>
    <s v="*MAV211200976"/>
    <n v="7.4484011717687875E-4"/>
  </r>
  <r>
    <x v="273"/>
    <s v="Pesos"/>
    <d v="2026-12-23T00:00:00"/>
    <s v="25/08/2026"/>
    <n v="0.91022455000000002"/>
    <m/>
    <n v="50000000"/>
    <n v="45511227.670000002"/>
    <n v="50000000"/>
    <n v="45511227.670000002"/>
    <n v="196470"/>
    <s v="AMOMPY"/>
    <s v="Momentum Capital Investment S.A."/>
    <s v="19/08/2026"/>
    <s v="19/08/2026"/>
    <n v="30"/>
    <s v="No"/>
    <s v=""/>
    <m/>
    <m/>
    <s v="*MAV211200977"/>
    <s v="*MAV211200977"/>
    <n v="7.4484011717687875E-4"/>
  </r>
  <r>
    <x v="166"/>
    <s v="Pesos"/>
    <d v="2026-12-23T00:00:00"/>
    <s v="25/08/2026"/>
    <n v="0.89416967000000003"/>
    <m/>
    <n v="20078937.030000001"/>
    <n v="17953976.43"/>
    <n v="20078937.030000001"/>
    <n v="17953976.43"/>
    <n v="67998257"/>
    <s v="AMOMPY"/>
    <s v="Momentum Capital Investment S.A."/>
    <s v="07/07/2026"/>
    <s v="07/07/2026"/>
    <n v="36"/>
    <s v="No"/>
    <s v=""/>
    <m/>
    <m/>
    <s v="*MAV211200948"/>
    <s v="*MAV211200948"/>
    <n v="2.9383610578202887E-4"/>
  </r>
  <r>
    <x v="148"/>
    <s v="Pesos"/>
    <d v="2026-12-28T00:00:00"/>
    <s v="25/08/2026"/>
    <n v="0.91823915"/>
    <m/>
    <n v="20000000"/>
    <n v="18364782.940000001"/>
    <n v="20000000"/>
    <n v="18364782.940000001"/>
    <n v="79700363"/>
    <s v="AMOMPY"/>
    <s v="Momentum Capital Investment S.A."/>
    <s v="20/07/2026"/>
    <s v="20/07/2026"/>
    <n v="26"/>
    <s v="No"/>
    <s v=""/>
    <m/>
    <m/>
    <s v="*AFB221200006"/>
    <s v="*AFB221200006"/>
    <n v="3.0055939549998838E-4"/>
  </r>
  <r>
    <x v="12"/>
    <s v="Pesos"/>
    <d v="2026-12-28T00:00:00"/>
    <s v="25/08/2026"/>
    <n v="0.91250016"/>
    <m/>
    <n v="20000000"/>
    <n v="18250003.140000001"/>
    <n v="20000000"/>
    <n v="18250003.140000001"/>
    <n v="20411015"/>
    <s v="AMOMPY"/>
    <s v="Momentum Capital Investment S.A."/>
    <s v="02/07/2026"/>
    <s v="02/07/2026"/>
    <n v="28"/>
    <s v="No"/>
    <s v=""/>
    <m/>
    <m/>
    <s v="*PRO221200015"/>
    <s v="*PRO221200015"/>
    <n v="2.9868090080629556E-4"/>
  </r>
  <r>
    <x v="272"/>
    <s v="Pesos"/>
    <d v="2026-12-28T00:00:00"/>
    <s v="25/08/2026"/>
    <n v="0.90683232000000003"/>
    <m/>
    <n v="50000000"/>
    <n v="45341616.18"/>
    <n v="50000000"/>
    <n v="45341616.18"/>
    <n v="197098"/>
    <s v="AMOMPY"/>
    <s v="Momentum Capital Investment S.A."/>
    <s v="19/08/2026"/>
    <s v="19/08/2026"/>
    <n v="30"/>
    <s v="No"/>
    <s v=""/>
    <m/>
    <m/>
    <s v="*MAV221201242"/>
    <s v="*MAV221201242"/>
    <n v="7.4206424299035523E-4"/>
  </r>
  <r>
    <x v="273"/>
    <s v="Pesos"/>
    <d v="2026-12-28T00:00:00"/>
    <s v="25/08/2026"/>
    <n v="0.90683232000000003"/>
    <m/>
    <n v="50000000"/>
    <n v="45341616.18"/>
    <n v="50000000"/>
    <n v="45341616.18"/>
    <n v="196471"/>
    <s v="AMOMPY"/>
    <s v="Momentum Capital Investment S.A."/>
    <s v="19/08/2026"/>
    <s v="19/08/2026"/>
    <n v="30"/>
    <s v="No"/>
    <s v=""/>
    <m/>
    <m/>
    <s v="*MAV221201243"/>
    <s v="*MAV221201243"/>
    <n v="7.4206424299035523E-4"/>
  </r>
  <r>
    <x v="175"/>
    <s v="Pesos"/>
    <d v="2026-12-28T00:00:00"/>
    <s v="25/08/2026"/>
    <n v="0.89846166999999999"/>
    <m/>
    <n v="9356284.2599999998"/>
    <n v="8406262.7400000002"/>
    <n v="9356284.2599999998"/>
    <n v="8406262.7400000002"/>
    <n v="90002090"/>
    <s v="AMOMPY"/>
    <s v="Momentum Capital Investment S.A."/>
    <s v="06/08/2026"/>
    <s v="06/08/2026"/>
    <n v="33"/>
    <s v="No"/>
    <s v=""/>
    <m/>
    <m/>
    <s v="*MAV221201236"/>
    <s v="*MAV221201236"/>
    <n v="1.3757751756735307E-4"/>
  </r>
  <r>
    <x v="236"/>
    <s v="Pesos"/>
    <d v="2026-12-29T00:00:00"/>
    <s v="25/08/2026"/>
    <n v="0.89773236000000001"/>
    <m/>
    <n v="20000194"/>
    <n v="17954821.289999999"/>
    <n v="20000194"/>
    <n v="17954821.289999999"/>
    <n v="733"/>
    <s v="AMOMPY"/>
    <s v="Momentum Capital Investment S.A."/>
    <s v="24/08/2026"/>
    <s v="24/08/2026"/>
    <n v="33"/>
    <s v="No"/>
    <s v=""/>
    <m/>
    <m/>
    <s v="*MAV231201306"/>
    <s v="*MAV231201306"/>
    <n v="2.9384993282325831E-4"/>
  </r>
  <r>
    <x v="148"/>
    <s v="Pesos"/>
    <d v="2026-12-29T00:00:00"/>
    <s v="25/08/2026"/>
    <n v="0.91763888000000005"/>
    <m/>
    <n v="20000000"/>
    <n v="18352777.640000001"/>
    <n v="20000000"/>
    <n v="18352777.640000001"/>
    <n v="79700364"/>
    <s v="AMOMPY"/>
    <s v="Momentum Capital Investment S.A."/>
    <s v="20/07/2026"/>
    <s v="20/07/2026"/>
    <n v="26"/>
    <s v="No"/>
    <s v=""/>
    <m/>
    <m/>
    <s v="*AFB231200009"/>
    <s v="*AFB231200009"/>
    <n v="3.0036291587250867E-4"/>
  </r>
  <r>
    <x v="273"/>
    <s v="Pesos"/>
    <d v="2026-12-29T00:00:00"/>
    <s v="25/08/2026"/>
    <n v="0.90615710000000005"/>
    <m/>
    <n v="50000000"/>
    <n v="45307854.869999997"/>
    <n v="50000000"/>
    <n v="45307854.869999997"/>
    <n v="196469"/>
    <s v="AMOMPY"/>
    <s v="Momentum Capital Investment S.A."/>
    <s v="19/08/2026"/>
    <s v="19/08/2026"/>
    <n v="30"/>
    <s v="No"/>
    <s v=""/>
    <m/>
    <m/>
    <s v="*MAV231201296"/>
    <s v="*MAV231201296"/>
    <n v="7.4151170289456204E-4"/>
  </r>
  <r>
    <x v="12"/>
    <s v="Pesos"/>
    <d v="2026-12-30T00:00:00"/>
    <s v="25/08/2026"/>
    <n v="0.91412265000000004"/>
    <m/>
    <n v="3400000"/>
    <n v="3108017.01"/>
    <n v="3400000"/>
    <n v="3108017.01"/>
    <n v="68062415"/>
    <s v="AMOMPY"/>
    <s v="Momentum Capital Investment S.A."/>
    <s v="06/07/2026"/>
    <s v="06/07/2026"/>
    <n v="27"/>
    <s v="No"/>
    <s v=""/>
    <m/>
    <m/>
    <s v="*PRO281200007"/>
    <s v="*PRO281200007"/>
    <n v="5.0866036194451269E-5"/>
  </r>
  <r>
    <x v="35"/>
    <s v="Pesos"/>
    <d v="2026-12-30T00:00:00"/>
    <s v="25/08/2026"/>
    <n v="0.90834440999999999"/>
    <m/>
    <n v="14000000"/>
    <n v="12716821.75"/>
    <n v="14000000"/>
    <n v="12716821.75"/>
    <n v="119"/>
    <s v="AMOMPY"/>
    <s v="Momentum Capital Investment S.A."/>
    <s v="06/07/2026"/>
    <s v="06/07/2026"/>
    <n v="29"/>
    <s v="No"/>
    <s v=""/>
    <m/>
    <m/>
    <s v="*CUY241200018"/>
    <s v="*CUY241200018"/>
    <n v="2.0812444505053889E-4"/>
  </r>
  <r>
    <x v="19"/>
    <s v="Pesos"/>
    <d v="2026-12-30T00:00:00"/>
    <s v="25/08/2026"/>
    <n v="0.91122442999999997"/>
    <m/>
    <n v="50000000"/>
    <n v="45561221.530000001"/>
    <n v="50000000"/>
    <n v="45561221.530000001"/>
    <n v="40665395"/>
    <s v="AMOMPY"/>
    <s v="Momentum Capital Investment S.A."/>
    <s v="05/08/2026"/>
    <s v="05/08/2026"/>
    <n v="28"/>
    <s v="No"/>
    <s v=""/>
    <m/>
    <m/>
    <s v="*MAV251200437"/>
    <s v="*MAV251200437"/>
    <n v="7.4565832038621708E-4"/>
  </r>
  <r>
    <x v="139"/>
    <s v="Pesos"/>
    <d v="2026-12-30T00:00:00"/>
    <s v="25/08/2026"/>
    <n v="0.90548267000000005"/>
    <m/>
    <n v="50000000"/>
    <n v="45274133.659999996"/>
    <n v="50000000"/>
    <n v="45274133.659999996"/>
    <n v="68015"/>
    <s v="AMOMPY"/>
    <s v="Momentum Capital Investment S.A."/>
    <s v="29/07/2026"/>
    <s v="29/07/2026"/>
    <n v="30"/>
    <s v="No"/>
    <s v=""/>
    <m/>
    <m/>
    <s v="*MAV281200955"/>
    <s v="*MAV281200955"/>
    <n v="7.4095981907833393E-4"/>
  </r>
  <r>
    <x v="274"/>
    <s v="Pesos"/>
    <d v="2026-12-30T00:00:00"/>
    <s v="25/08/2026"/>
    <n v="0.89981268999999997"/>
    <m/>
    <n v="20000000"/>
    <n v="17996253.739999998"/>
    <n v="20000000"/>
    <n v="17996253.739999998"/>
    <n v="53980"/>
    <s v="AMOMPY"/>
    <s v="Momentum Capital Investment S.A."/>
    <s v="14/08/2026"/>
    <s v="14/08/2026"/>
    <n v="32"/>
    <s v="No"/>
    <s v=""/>
    <m/>
    <m/>
    <s v="*MAV281200965"/>
    <s v="*MAV281200965"/>
    <n v="2.945280193635005E-4"/>
  </r>
  <r>
    <x v="273"/>
    <s v="Pesos"/>
    <d v="2026-12-30T00:00:00"/>
    <s v="25/08/2026"/>
    <n v="0.90548264000000001"/>
    <m/>
    <n v="50000000"/>
    <n v="45274132.090000004"/>
    <n v="50000000"/>
    <n v="45274132.090000004"/>
    <n v="196468"/>
    <s v="AMOMPY"/>
    <s v="Momentum Capital Investment S.A."/>
    <s v="19/08/2026"/>
    <s v="19/08/2026"/>
    <n v="30"/>
    <s v="No"/>
    <s v=""/>
    <m/>
    <m/>
    <s v="*MAV281200966"/>
    <s v="*MAV281200966"/>
    <n v="7.4095979338359799E-4"/>
  </r>
  <r>
    <x v="275"/>
    <s v="Pesos"/>
    <d v="2026-12-30T00:00:00"/>
    <s v="25/08/2026"/>
    <n v="0.88594410000000001"/>
    <m/>
    <n v="25000000"/>
    <n v="22148602.530000001"/>
    <n v="25000000"/>
    <n v="22148602.530000001"/>
    <n v="40"/>
    <s v="AMOMPY"/>
    <s v="Momentum Capital Investment S.A."/>
    <s v="24/08/2026"/>
    <s v="24/08/2026"/>
    <n v="37"/>
    <s v="No"/>
    <s v=""/>
    <m/>
    <m/>
    <s v="*MAV271201280"/>
    <s v="*MAV271201280"/>
    <n v="3.6248566668800023E-4"/>
  </r>
  <r>
    <x v="12"/>
    <s v="Pesos"/>
    <d v="2027-01-04T00:00:00"/>
    <s v="25/08/2026"/>
    <n v="0.91405391999999996"/>
    <m/>
    <n v="25000000"/>
    <n v="22851347.899999999"/>
    <n v="25000000"/>
    <n v="22851347.899999999"/>
    <n v="9508926"/>
    <s v="AMOMPY"/>
    <s v="Momentum Capital Investment S.A."/>
    <s v="17/07/2026"/>
    <s v="17/07/2026"/>
    <n v="26"/>
    <s v="No"/>
    <s v=""/>
    <m/>
    <m/>
    <s v="*PRO291200014"/>
    <s v="*PRO291200014"/>
    <n v="3.7398684937486811E-4"/>
  </r>
  <r>
    <x v="276"/>
    <s v="Pesos"/>
    <d v="2027-01-04T00:00:00"/>
    <s v="25/08/2026"/>
    <n v="0.88198337999999998"/>
    <m/>
    <n v="25000000"/>
    <n v="22049584.379999999"/>
    <n v="25000000"/>
    <n v="22049584.379999999"/>
    <n v="1117"/>
    <s v="AMOMPY"/>
    <s v="Momentum Capital Investment S.A."/>
    <s v="11/08/2026"/>
    <s v="11/08/2026"/>
    <n v="37"/>
    <s v="No"/>
    <s v=""/>
    <m/>
    <m/>
    <s v="*MAV291201229"/>
    <s v="*MAV291201229"/>
    <n v="3.6086512832363404E-4"/>
  </r>
  <r>
    <x v="273"/>
    <s v="Pesos"/>
    <d v="2027-01-04T00:00:00"/>
    <s v="25/08/2026"/>
    <n v="0.90212559999999997"/>
    <m/>
    <n v="50000000"/>
    <n v="45106280.020000003"/>
    <n v="50000000"/>
    <n v="45106280.020000003"/>
    <n v="196472"/>
    <s v="AMOMPY"/>
    <s v="Momentum Capital Investment S.A."/>
    <s v="19/08/2026"/>
    <s v="19/08/2026"/>
    <n v="30"/>
    <s v="No"/>
    <s v=""/>
    <m/>
    <m/>
    <s v="*MAV291201232"/>
    <s v="*MAV291201232"/>
    <n v="7.3821271399488722E-4"/>
  </r>
  <r>
    <x v="112"/>
    <s v="Pesos"/>
    <d v="2027-01-05T00:00:00"/>
    <s v="25/08/2026"/>
    <n v="0.89266069999999997"/>
    <m/>
    <n v="6222591.4500000002"/>
    <n v="5554662.8300000001"/>
    <n v="6222591.4500000002"/>
    <n v="5554662.8300000001"/>
    <n v="90000228"/>
    <s v="AMOMPY"/>
    <s v="Momentum Capital Investment S.A."/>
    <s v="06/08/2026"/>
    <s v="06/08/2026"/>
    <n v="33"/>
    <s v="No"/>
    <s v=""/>
    <m/>
    <m/>
    <s v="*MAV301201485"/>
    <s v="*MAV301201485"/>
    <n v="9.0908022591148276E-5"/>
  </r>
  <r>
    <x v="10"/>
    <s v="Pesos"/>
    <d v="2027-01-05T00:00:00"/>
    <s v="25/08/2026"/>
    <n v="0.90741848000000003"/>
    <m/>
    <n v="7000000"/>
    <n v="6351929.3600000003"/>
    <n v="7000000"/>
    <n v="6351929.3600000003"/>
    <n v="67768341"/>
    <s v="AMOMPY"/>
    <s v="Momentum Capital Investment S.A."/>
    <s v="07/07/2026"/>
    <s v="07/07/2026"/>
    <n v="28"/>
    <s v="No"/>
    <s v=""/>
    <m/>
    <m/>
    <s v="*MIL301200032"/>
    <s v="*MIL301200032"/>
    <n v="1.0395614557153203E-4"/>
  </r>
  <r>
    <x v="36"/>
    <s v="Pesos"/>
    <d v="2027-01-05T00:00:00"/>
    <s v="25/08/2026"/>
    <n v="0.90145730000000002"/>
    <m/>
    <n v="83000000"/>
    <n v="74820955.489999995"/>
    <n v="83000000"/>
    <n v="74820955.489999995"/>
    <n v="68158884"/>
    <s v="AMOMPY"/>
    <s v="Momentum Capital Investment S.A."/>
    <s v="13/07/2026"/>
    <s v="13/07/2026"/>
    <n v="30"/>
    <s v="No"/>
    <s v=""/>
    <m/>
    <m/>
    <s v="*NIO301200031"/>
    <s v="*NIO301200031"/>
    <n v="1.2245252898592622E-3"/>
  </r>
  <r>
    <x v="273"/>
    <s v="Pesos"/>
    <d v="2027-01-05T00:00:00"/>
    <s v="25/08/2026"/>
    <n v="0.90145735999999999"/>
    <m/>
    <n v="50000000"/>
    <n v="45072868.159999996"/>
    <n v="50000000"/>
    <n v="45072868.159999996"/>
    <n v="196467"/>
    <s v="AMOMPY"/>
    <s v="Momentum Capital Investment S.A."/>
    <s v="19/08/2026"/>
    <s v="19/08/2026"/>
    <n v="30"/>
    <s v="No"/>
    <s v=""/>
    <m/>
    <m/>
    <s v="*MAV301201510"/>
    <s v="*MAV301201510"/>
    <n v="7.3766589302363245E-4"/>
  </r>
  <r>
    <x v="95"/>
    <s v="Dolar 3500"/>
    <d v="2027-01-06T00:00:00"/>
    <s v="25/08/2026"/>
    <n v="0.971468"/>
    <s v="1 US3 = 1511,5325398191 $"/>
    <n v="20000"/>
    <n v="19429.36"/>
    <n v="30230650.800000001"/>
    <n v="29368109.870000001"/>
    <n v="159382"/>
    <s v="AMOMPY"/>
    <s v="Momentum Capital Investment S.A."/>
    <s v="03/08/2026"/>
    <s v="03/08/2026"/>
    <n v="8"/>
    <s v="No"/>
    <s v=""/>
    <m/>
    <m/>
    <s v="#UMV040170022"/>
    <s v="#UMV040170022"/>
    <n v="4.8064065762949015E-4"/>
  </r>
  <r>
    <x v="35"/>
    <s v="Pesos"/>
    <d v="2027-01-06T00:00:00"/>
    <s v="25/08/2026"/>
    <n v="0.90377863999999997"/>
    <m/>
    <n v="14000000"/>
    <n v="12652900.949999999"/>
    <n v="14000000"/>
    <n v="12652900.949999999"/>
    <n v="120"/>
    <s v="AMOMPY"/>
    <s v="Momentum Capital Investment S.A."/>
    <s v="06/07/2026"/>
    <s v="06/07/2026"/>
    <n v="29"/>
    <s v="No"/>
    <s v=""/>
    <m/>
    <m/>
    <s v="*CUY040100016"/>
    <s v="*CUY040100016"/>
    <n v="2.070783125113935E-4"/>
  </r>
  <r>
    <x v="276"/>
    <s v="Pesos"/>
    <d v="2027-01-06T00:00:00"/>
    <s v="25/08/2026"/>
    <n v="0.88040921000000005"/>
    <m/>
    <n v="25000000"/>
    <n v="22010230.140000001"/>
    <n v="25000000"/>
    <n v="22010230.140000001"/>
    <n v="1118"/>
    <s v="AMOMPY"/>
    <s v="Momentum Capital Investment S.A."/>
    <s v="11/08/2026"/>
    <s v="11/08/2026"/>
    <n v="37"/>
    <s v="No"/>
    <s v=""/>
    <m/>
    <m/>
    <s v="*MAV311201066"/>
    <s v="*MAV311201066"/>
    <n v="3.6022105392191606E-4"/>
  </r>
  <r>
    <x v="277"/>
    <s v="Pesos"/>
    <d v="2027-01-06T00:00:00"/>
    <s v="25/08/2026"/>
    <n v="0.89194087"/>
    <m/>
    <n v="20007806.68"/>
    <n v="17845780.559999999"/>
    <n v="20007806.68"/>
    <n v="17845780.559999999"/>
    <n v="29851775"/>
    <s v="AMOMPY"/>
    <s v="Momentum Capital Investment S.A."/>
    <s v="11/08/2026"/>
    <s v="11/08/2026"/>
    <n v="33"/>
    <s v="No"/>
    <s v=""/>
    <m/>
    <m/>
    <s v="*MAV311201065"/>
    <s v="*MAV311201065"/>
    <n v="2.920653641735361E-4"/>
  </r>
  <r>
    <x v="272"/>
    <s v="Pesos"/>
    <d v="2027-01-06T00:00:00"/>
    <s v="25/08/2026"/>
    <n v="0.90078988000000004"/>
    <m/>
    <n v="50000000"/>
    <n v="45039494.119999997"/>
    <n v="50000000"/>
    <n v="45039494.119999997"/>
    <n v="197099"/>
    <s v="AMOMPY"/>
    <s v="Momentum Capital Investment S.A."/>
    <s v="19/08/2026"/>
    <s v="19/08/2026"/>
    <n v="30"/>
    <s v="No"/>
    <s v=""/>
    <m/>
    <m/>
    <s v="*MAV311201075"/>
    <s v="*MAV311201075"/>
    <n v="7.3711969101729433E-4"/>
  </r>
  <r>
    <x v="253"/>
    <s v="Pesos"/>
    <d v="2027-01-06T00:00:00"/>
    <s v="25/08/2026"/>
    <n v="0.90078981999999996"/>
    <m/>
    <n v="5600000"/>
    <n v="5044422.99"/>
    <n v="5600000"/>
    <n v="5044422.99"/>
    <n v="239"/>
    <s v="AMOMPY"/>
    <s v="Momentum Capital Investment S.A."/>
    <s v="02/07/2026"/>
    <s v="02/07/2026"/>
    <n v="30"/>
    <s v="No"/>
    <s v=""/>
    <m/>
    <m/>
    <s v="*MAV010100420"/>
    <s v="*MAV010100420"/>
    <n v="8.2557399642243956E-5"/>
  </r>
  <r>
    <x v="271"/>
    <s v="Pesos"/>
    <d v="2027-01-12T00:00:00"/>
    <s v="25/08/2026"/>
    <n v="0.9030184"/>
    <m/>
    <n v="71389290"/>
    <n v="64465842.549999997"/>
    <n v="71389290"/>
    <n v="64465842.549999997"/>
    <n v="155356"/>
    <s v="AMOMPY"/>
    <s v="Momentum Capital Investment S.A."/>
    <s v="01/07/2026"/>
    <s v="01/07/2026"/>
    <n v="28"/>
    <s v="No"/>
    <s v=""/>
    <m/>
    <m/>
    <s v="#POT090170001"/>
    <s v="#POT090170001"/>
    <n v="1.0550527458194627E-3"/>
  </r>
  <r>
    <x v="111"/>
    <s v="Pesos"/>
    <d v="2027-01-13T00:00:00"/>
    <s v="25/08/2026"/>
    <n v="0.88693418000000002"/>
    <m/>
    <n v="25000000"/>
    <n v="22173354.620000001"/>
    <n v="25000000"/>
    <n v="22173354.620000001"/>
    <n v="475890"/>
    <s v="AMOMPY"/>
    <s v="Momentum Capital Investment S.A."/>
    <s v="10/08/2026"/>
    <s v="10/08/2026"/>
    <n v="33"/>
    <s v="No"/>
    <s v=""/>
    <m/>
    <m/>
    <s v="*MAV100101345"/>
    <s v="*MAV100101345"/>
    <n v="3.6289076122312581E-4"/>
  </r>
  <r>
    <x v="35"/>
    <s v="Pesos"/>
    <d v="2027-01-13T00:00:00"/>
    <s v="25/08/2026"/>
    <n v="0.89925854000000005"/>
    <m/>
    <n v="14000000"/>
    <n v="12589619.5"/>
    <n v="14000000"/>
    <n v="12589619.5"/>
    <n v="121"/>
    <s v="AMOMPY"/>
    <s v="Momentum Capital Investment S.A."/>
    <s v="06/07/2026"/>
    <s v="06/07/2026"/>
    <n v="29"/>
    <s v="No"/>
    <s v=""/>
    <m/>
    <m/>
    <s v="*CUY110100024"/>
    <s v="*CUY110100024"/>
    <n v="2.0604264362162212E-4"/>
  </r>
  <r>
    <x v="139"/>
    <s v="Pesos"/>
    <d v="2027-01-13T00:00:00"/>
    <s v="25/08/2026"/>
    <n v="0.90239327000000003"/>
    <m/>
    <n v="50000000"/>
    <n v="45119663.590000004"/>
    <n v="50000000"/>
    <n v="45119663.590000004"/>
    <n v="68037"/>
    <s v="AMOMPY"/>
    <s v="Momentum Capital Investment S.A."/>
    <s v="14/08/2026"/>
    <s v="14/08/2026"/>
    <n v="28"/>
    <s v="No"/>
    <s v=""/>
    <m/>
    <m/>
    <s v="*MAV110100910"/>
    <s v="*MAV110100910"/>
    <n v="7.3843175049109701E-4"/>
  </r>
  <r>
    <x v="278"/>
    <s v="Pesos"/>
    <d v="2027-01-13T00:00:00"/>
    <s v="25/08/2026"/>
    <n v="0.89305385999999998"/>
    <m/>
    <n v="10000000"/>
    <n v="8930538.6199999992"/>
    <n v="10000000"/>
    <n v="8930538.6199999992"/>
    <n v="141"/>
    <s v="AMOMPY"/>
    <s v="Momentum Capital Investment S.A."/>
    <s v="18/08/2026"/>
    <s v="18/08/2026"/>
    <n v="31"/>
    <s v="No"/>
    <s v=""/>
    <m/>
    <m/>
    <s v="*MAV100101346"/>
    <s v="*MAV100101346"/>
    <n v="1.4615785538473126E-4"/>
  </r>
  <r>
    <x v="49"/>
    <s v="Dolar 3500"/>
    <d v="2027-01-14T00:00:00"/>
    <s v="25/08/2026"/>
    <n v="0.96981678000000004"/>
    <s v="1 US3 = 1511,5325398191 $"/>
    <n v="18230"/>
    <n v="17679.759999999998"/>
    <n v="27555238.199999999"/>
    <n v="26723532.539999999"/>
    <n v="146448"/>
    <s v="AMOMPY"/>
    <s v="Momentum Capital Investment S.A."/>
    <s v="17/04/2026"/>
    <s v="17/04/2026"/>
    <n v="8"/>
    <s v="No"/>
    <s v=""/>
    <m/>
    <m/>
    <s v="#UMV120170009"/>
    <s v="#UMV120170009"/>
    <n v="4.3735930950494903E-4"/>
  </r>
  <r>
    <x v="12"/>
    <s v="Pesos"/>
    <d v="2027-01-14T00:00:00"/>
    <s v="25/08/2026"/>
    <n v="0.90814099000000004"/>
    <m/>
    <n v="25000000"/>
    <n v="22703524.859999999"/>
    <n v="25000000"/>
    <n v="22703524.859999999"/>
    <n v="9508927"/>
    <s v="AMOMPY"/>
    <s v="Momentum Capital Investment S.A."/>
    <s v="17/07/2026"/>
    <s v="17/07/2026"/>
    <n v="26"/>
    <s v="No"/>
    <s v=""/>
    <m/>
    <m/>
    <s v="*PRO120100011"/>
    <s v="*PRO120100011"/>
    <n v="3.715675665720968E-4"/>
  </r>
  <r>
    <x v="111"/>
    <s v="Pesos"/>
    <d v="2027-01-19T00:00:00"/>
    <s v="25/08/2026"/>
    <n v="0.88268743999999999"/>
    <m/>
    <n v="25000000"/>
    <n v="22067185.91"/>
    <n v="25000000"/>
    <n v="22067185.91"/>
    <n v="475892"/>
    <s v="AMOMPY"/>
    <s v="Momentum Capital Investment S.A."/>
    <s v="18/08/2026"/>
    <s v="18/08/2026"/>
    <n v="33"/>
    <s v="No"/>
    <s v=""/>
    <m/>
    <m/>
    <s v="*MAV150101587"/>
    <s v="*MAV150101587"/>
    <n v="3.611531962650826E-4"/>
  </r>
  <r>
    <x v="12"/>
    <s v="Pesos"/>
    <d v="2027-01-19T00:00:00"/>
    <s v="25/08/2026"/>
    <n v="0.90192492999999996"/>
    <m/>
    <n v="2000000"/>
    <n v="1803849.87"/>
    <n v="2000000"/>
    <n v="1803849.87"/>
    <n v="113"/>
    <s v="AMOMPY"/>
    <s v="Momentum Capital Investment S.A."/>
    <s v="06/07/2026"/>
    <s v="06/07/2026"/>
    <n v="27"/>
    <s v="No"/>
    <s v=""/>
    <m/>
    <m/>
    <s v="*PRO150100020"/>
    <s v="*PRO150100020"/>
    <n v="2.9521940350248028E-5"/>
  </r>
  <r>
    <x v="35"/>
    <s v="Pesos"/>
    <d v="2027-01-20T00:00:00"/>
    <s v="25/08/2026"/>
    <n v="0.89478342"/>
    <m/>
    <n v="14000000"/>
    <n v="12526967.890000001"/>
    <n v="14000000"/>
    <n v="12526967.890000001"/>
    <n v="122"/>
    <s v="AMOMPY"/>
    <s v="Momentum Capital Investment S.A."/>
    <s v="06/07/2026"/>
    <s v="06/07/2026"/>
    <n v="29"/>
    <s v="No"/>
    <s v=""/>
    <m/>
    <m/>
    <s v="*CUY180100020"/>
    <s v="*CUY180100020"/>
    <n v="2.0501728273986149E-4"/>
  </r>
  <r>
    <x v="279"/>
    <s v="Pesos"/>
    <d v="2027-01-20T00:00:00"/>
    <s v="25/08/2026"/>
    <n v="0.90462973000000002"/>
    <m/>
    <n v="3948801"/>
    <n v="3572202.79"/>
    <n v="3948801"/>
    <n v="3572202.79"/>
    <n v="1016"/>
    <s v="AMOMPY"/>
    <s v="Momentum Capital Investment S.A."/>
    <s v="29/07/2026"/>
    <s v="29/07/2026"/>
    <n v="26"/>
    <s v="No"/>
    <s v=""/>
    <m/>
    <m/>
    <s v="*MAV160101270"/>
    <s v="*MAV160101270"/>
    <n v="5.8462934992128572E-5"/>
  </r>
  <r>
    <x v="275"/>
    <s v="Pesos"/>
    <d v="2027-01-20T00:00:00"/>
    <s v="25/08/2026"/>
    <n v="0.86954454999999997"/>
    <m/>
    <n v="25000000"/>
    <n v="21738613.77"/>
    <n v="25000000"/>
    <n v="21738613.77"/>
    <n v="41"/>
    <s v="AMOMPY"/>
    <s v="Momentum Capital Investment S.A."/>
    <s v="24/08/2026"/>
    <s v="24/08/2026"/>
    <n v="37"/>
    <s v="No"/>
    <s v=""/>
    <m/>
    <m/>
    <s v="*MAV160101279"/>
    <s v="*MAV160101279"/>
    <n v="3.5577576032700569E-4"/>
  </r>
  <r>
    <x v="111"/>
    <s v="Pesos"/>
    <d v="2027-01-22T00:00:00"/>
    <s v="25/08/2026"/>
    <n v="0.88057920000000001"/>
    <m/>
    <n v="25000000"/>
    <n v="22014479.890000001"/>
    <n v="25000000"/>
    <n v="22014479.890000001"/>
    <n v="475891"/>
    <s v="AMOMPY"/>
    <s v="Momentum Capital Investment S.A."/>
    <s v="10/08/2026"/>
    <s v="10/08/2026"/>
    <n v="33"/>
    <s v="No"/>
    <s v=""/>
    <m/>
    <m/>
    <s v="*MAV200101714"/>
    <s v="*MAV200101714"/>
    <n v="3.6029060564464531E-4"/>
  </r>
  <r>
    <x v="275"/>
    <s v="Pesos"/>
    <d v="2027-01-22T00:00:00"/>
    <s v="25/08/2026"/>
    <n v="0.86801444000000005"/>
    <m/>
    <n v="25000000"/>
    <n v="21700361.050000001"/>
    <n v="25000000"/>
    <n v="21700361.050000001"/>
    <n v="42"/>
    <s v="AMOMPY"/>
    <s v="Momentum Capital Investment S.A."/>
    <s v="24/08/2026"/>
    <s v="24/08/2026"/>
    <n v="37"/>
    <s v="No"/>
    <s v=""/>
    <m/>
    <m/>
    <s v="*MAV200101722"/>
    <s v="*MAV200101722"/>
    <n v="3.5514971348305478E-4"/>
  </r>
  <r>
    <x v="19"/>
    <s v="Pesos"/>
    <d v="2027-01-26T00:00:00"/>
    <s v="25/08/2026"/>
    <n v="0.88104676999999998"/>
    <m/>
    <n v="50000000"/>
    <n v="44052338.310000002"/>
    <n v="50000000"/>
    <n v="44052338.310000002"/>
    <n v="29937729"/>
    <s v="AMOMPY"/>
    <s v="Momentum Capital Investment S.A."/>
    <s v="24/08/2026"/>
    <s v="24/08/2026"/>
    <n v="32"/>
    <s v="No"/>
    <s v=""/>
    <m/>
    <m/>
    <s v="*MAV220101183"/>
    <s v="*MAV220101183"/>
    <n v="7.2096382603989428E-4"/>
  </r>
  <r>
    <x v="19"/>
    <s v="Pesos"/>
    <d v="2027-01-26T00:00:00"/>
    <s v="25/08/2026"/>
    <n v="0.89098281999999995"/>
    <m/>
    <n v="50000000"/>
    <n v="44549140.990000002"/>
    <n v="50000000"/>
    <n v="44549140.990000002"/>
    <n v="29867211"/>
    <s v="AMOMPY"/>
    <s v="Momentum Capital Investment S.A."/>
    <s v="12/08/2026"/>
    <s v="12/08/2026"/>
    <n v="29"/>
    <s v="No"/>
    <s v=""/>
    <m/>
    <m/>
    <s v="*MAV220101179"/>
    <s v="*MAV220101179"/>
    <n v="7.2909453543468629E-4"/>
  </r>
  <r>
    <x v="280"/>
    <s v="Dolar 3500"/>
    <d v="2027-01-27T00:00:00"/>
    <s v="25/08/2026"/>
    <n v="0.95926423999999999"/>
    <s v="1 US3 = 1511,5325398191 $"/>
    <n v="13904"/>
    <n v="13337.61"/>
    <n v="21016348.43"/>
    <n v="20160231.52"/>
    <n v="134916"/>
    <s v="AMOMPY"/>
    <s v="Momentum Capital Investment S.A."/>
    <s v="30/12/2025"/>
    <s v="30/12/2025"/>
    <n v="10"/>
    <s v="No"/>
    <s v=""/>
    <m/>
    <m/>
    <s v="#UMV250170065"/>
    <s v="#UMV250170065"/>
    <n v="3.2994383971689955E-4"/>
  </r>
  <r>
    <x v="278"/>
    <s v="Pesos"/>
    <d v="2027-01-27T00:00:00"/>
    <s v="25/08/2026"/>
    <n v="0.88367039999999997"/>
    <m/>
    <n v="10000000"/>
    <n v="8836704"/>
    <n v="10000000"/>
    <n v="8836704"/>
    <n v="142"/>
    <s v="AMOMPY"/>
    <s v="Momentum Capital Investment S.A."/>
    <s v="18/08/2026"/>
    <s v="18/08/2026"/>
    <n v="31"/>
    <s v="No"/>
    <s v=""/>
    <m/>
    <m/>
    <s v="*MAV230101214"/>
    <s v="*MAV230101214"/>
    <n v="1.4462215105561868E-4"/>
  </r>
  <r>
    <x v="83"/>
    <s v="Pesos"/>
    <d v="2027-01-28T00:00:00"/>
    <s v="25/08/2026"/>
    <n v="0.87639285"/>
    <m/>
    <n v="2000000"/>
    <n v="1752785.71"/>
    <n v="2000000"/>
    <n v="1752785.71"/>
    <n v="44"/>
    <s v="AMOMPY"/>
    <s v="Momentum Capital Investment S.A."/>
    <s v="13/08/2026"/>
    <s v="13/08/2026"/>
    <n v="33"/>
    <s v="No"/>
    <s v=""/>
    <m/>
    <m/>
    <s v="*MAV260101257"/>
    <s v="*MAV260101257"/>
    <n v="2.8686220531970953E-5"/>
  </r>
  <r>
    <x v="12"/>
    <s v="Pesos"/>
    <d v="2027-01-28T00:00:00"/>
    <s v="25/08/2026"/>
    <n v="0.89999023"/>
    <m/>
    <n v="25000000"/>
    <n v="22499755.850000001"/>
    <n v="25000000"/>
    <n v="22499755.850000001"/>
    <n v="9508928"/>
    <s v="AMOMPY"/>
    <s v="Momentum Capital Investment S.A."/>
    <s v="17/07/2026"/>
    <s v="17/07/2026"/>
    <n v="26"/>
    <s v="No"/>
    <s v=""/>
    <m/>
    <m/>
    <s v="*PRO260100013"/>
    <s v="*PRO260100013"/>
    <n v="3.6823266788762419E-4"/>
  </r>
  <r>
    <x v="274"/>
    <s v="Pesos"/>
    <d v="2027-02-01T00:00:00"/>
    <s v="25/08/2026"/>
    <n v="0.87698224999999996"/>
    <m/>
    <n v="20000000"/>
    <n v="17539645.079999998"/>
    <n v="20000000"/>
    <n v="17539645.079999998"/>
    <n v="53979"/>
    <s v="AMOMPY"/>
    <s v="Momentum Capital Investment S.A."/>
    <s v="14/08/2026"/>
    <s v="14/08/2026"/>
    <n v="32"/>
    <s v="No"/>
    <s v=""/>
    <m/>
    <m/>
    <s v="*MAV280101052"/>
    <s v="*MAV280101052"/>
    <n v="2.8705512827200037E-4"/>
  </r>
  <r>
    <x v="19"/>
    <s v="Pesos"/>
    <d v="2027-02-02T00:00:00"/>
    <s v="25/08/2026"/>
    <n v="0.87630861000000004"/>
    <m/>
    <n v="50000000"/>
    <n v="43815430.479999997"/>
    <n v="50000000"/>
    <n v="43815430.479999997"/>
    <n v="29937730"/>
    <s v="AMOMPY"/>
    <s v="Momentum Capital Investment S.A."/>
    <s v="24/08/2026"/>
    <s v="24/08/2026"/>
    <n v="32"/>
    <s v="No"/>
    <s v=""/>
    <m/>
    <m/>
    <s v="*MAV290101066"/>
    <s v="*MAV290101066"/>
    <n v="7.1708657497699584E-4"/>
  </r>
  <r>
    <x v="83"/>
    <s v="Pesos"/>
    <d v="2027-02-03T00:00:00"/>
    <s v="25/08/2026"/>
    <n v="0.87224592000000001"/>
    <m/>
    <n v="2000000"/>
    <n v="1744491.85"/>
    <n v="2000000"/>
    <n v="1744491.85"/>
    <n v="45"/>
    <s v="AMOMPY"/>
    <s v="Momentum Capital Investment S.A."/>
    <s v="13/08/2026"/>
    <s v="13/08/2026"/>
    <n v="33"/>
    <s v="No"/>
    <s v=""/>
    <m/>
    <m/>
    <s v="*MAV300101407"/>
    <s v="*MAV300101407"/>
    <n v="2.8550482605957573E-5"/>
  </r>
  <r>
    <x v="253"/>
    <s v="Pesos"/>
    <d v="2027-02-10T00:00:00"/>
    <s v="25/08/2026"/>
    <n v="0.87803719999999996"/>
    <m/>
    <n v="12500000"/>
    <n v="10975465.039999999"/>
    <n v="12500000"/>
    <n v="10975465.039999999"/>
    <n v="240"/>
    <s v="AMOMPY"/>
    <s v="Momentum Capital Investment S.A."/>
    <s v="02/07/2026"/>
    <s v="02/07/2026"/>
    <n v="30"/>
    <s v="No"/>
    <s v=""/>
    <m/>
    <m/>
    <s v="*MAV040200868"/>
    <s v="*MAV040200868"/>
    <n v="1.7962527237763557E-4"/>
  </r>
  <r>
    <x v="271"/>
    <s v="Pesos"/>
    <d v="2027-02-11T00:00:00"/>
    <s v="25/08/2026"/>
    <n v="0.88463409000000004"/>
    <m/>
    <n v="74495580"/>
    <n v="65901329.350000001"/>
    <n v="74495580"/>
    <n v="65901329.350000001"/>
    <n v="155357"/>
    <s v="AMOMPY"/>
    <s v="Momentum Capital Investment S.A."/>
    <s v="01/07/2026"/>
    <s v="01/07/2026"/>
    <n v="28"/>
    <s v="No"/>
    <s v=""/>
    <m/>
    <m/>
    <s v="#POT080270001"/>
    <s v="#POT080270001"/>
    <n v="1.0785460289290869E-3"/>
  </r>
  <r>
    <x v="139"/>
    <s v="Pesos"/>
    <d v="2027-02-12T00:00:00"/>
    <s v="25/08/2026"/>
    <n v="0.88403412999999997"/>
    <m/>
    <n v="50000000"/>
    <n v="44201706.560000002"/>
    <n v="50000000"/>
    <n v="44201706.560000002"/>
    <n v="68036"/>
    <s v="AMOMPY"/>
    <s v="Momentum Capital Investment S.A."/>
    <s v="14/08/2026"/>
    <s v="14/08/2026"/>
    <n v="28"/>
    <s v="No"/>
    <s v=""/>
    <m/>
    <m/>
    <s v="*MAV100201605"/>
    <s v="*MAV100201605"/>
    <n v="7.234083978637795E-4"/>
  </r>
  <r>
    <x v="49"/>
    <s v="Dolar 3500"/>
    <d v="2027-02-15T00:00:00"/>
    <s v="25/08/2026"/>
    <n v="0.96326274999999995"/>
    <s v="1 US3 = 1511,5325398191 $"/>
    <n v="18230"/>
    <n v="17560.28"/>
    <n v="27555238.199999999"/>
    <n v="26542934.629999999"/>
    <n v="146450"/>
    <s v="AMOMPY"/>
    <s v="Momentum Capital Investment S.A."/>
    <s v="17/04/2026"/>
    <s v="17/04/2026"/>
    <n v="8"/>
    <s v="No"/>
    <s v=""/>
    <m/>
    <m/>
    <s v="#UMV110270012"/>
    <s v="#UMV110270012"/>
    <n v="4.3440363075636254E-4"/>
  </r>
  <r>
    <x v="253"/>
    <s v="Pesos"/>
    <d v="2027-02-16T00:00:00"/>
    <s v="25/08/2026"/>
    <n v="0.87425154000000005"/>
    <m/>
    <n v="12500000"/>
    <n v="10928144.26"/>
    <n v="12500000"/>
    <n v="10928144.26"/>
    <n v="241"/>
    <s v="AMOMPY"/>
    <s v="Momentum Capital Investment S.A."/>
    <s v="02/07/2026"/>
    <s v="02/07/2026"/>
    <n v="30"/>
    <s v="No"/>
    <s v=""/>
    <m/>
    <m/>
    <s v="*MAV120201148"/>
    <s v="*MAV120201148"/>
    <n v="1.7885081699322647E-4"/>
  </r>
  <r>
    <x v="275"/>
    <s v="Pesos"/>
    <d v="2027-02-17T00:00:00"/>
    <s v="25/08/2026"/>
    <n v="0.84860053000000002"/>
    <m/>
    <n v="25000000"/>
    <n v="21215013.149999999"/>
    <n v="25000000"/>
    <n v="21215013.149999999"/>
    <n v="43"/>
    <s v="AMOMPY"/>
    <s v="Momentum Capital Investment S.A."/>
    <s v="24/08/2026"/>
    <s v="24/08/2026"/>
    <n v="37"/>
    <s v="No"/>
    <s v=""/>
    <m/>
    <m/>
    <s v="*MAV140201265"/>
    <s v="*MAV140201265"/>
    <n v="3.4720647386471659E-4"/>
  </r>
  <r>
    <x v="279"/>
    <s v="Pesos"/>
    <d v="2027-02-18T00:00:00"/>
    <s v="25/08/2026"/>
    <n v="0.88803465999999998"/>
    <m/>
    <n v="3948801"/>
    <n v="3506672.17"/>
    <n v="3948801"/>
    <n v="3506672.17"/>
    <n v="1017"/>
    <s v="AMOMPY"/>
    <s v="Momentum Capital Investment S.A."/>
    <s v="29/07/2026"/>
    <s v="29/07/2026"/>
    <n v="26"/>
    <s v="No"/>
    <s v=""/>
    <m/>
    <m/>
    <s v="*MAV160201157"/>
    <s v="*MAV160201157"/>
    <n v="5.7390456019832069E-5"/>
  </r>
  <r>
    <x v="148"/>
    <s v="Pesos"/>
    <d v="2027-03-03T00:00:00"/>
    <s v="25/08/2026"/>
    <n v="0.85721016000000005"/>
    <m/>
    <n v="25000000"/>
    <n v="21430254.109999999"/>
    <n v="25000000"/>
    <n v="21430254.109999999"/>
    <n v="2703"/>
    <s v="AMOMPY"/>
    <s v="Momentum Capital Investment S.A."/>
    <s v="14/08/2026"/>
    <s v="14/08/2026"/>
    <n v="32"/>
    <s v="No"/>
    <s v=""/>
    <m/>
    <m/>
    <s v="*AFB010300005"/>
    <s v="*AFB010300005"/>
    <n v="3.5072912333113262E-4"/>
  </r>
  <r>
    <x v="49"/>
    <s v="Dolar 3500"/>
    <d v="2027-03-17T00:00:00"/>
    <s v="25/08/2026"/>
    <n v="0.95720406000000002"/>
    <s v="1 US3 = 1511,5325398191 $"/>
    <n v="18230"/>
    <n v="17449.830000000002"/>
    <n v="27555238.199999999"/>
    <n v="26375985.859999999"/>
    <n v="146451"/>
    <s v="AMOMPY"/>
    <s v="Momentum Capital Investment S.A."/>
    <s v="17/04/2026"/>
    <s v="17/04/2026"/>
    <n v="8"/>
    <s v="No"/>
    <s v=""/>
    <m/>
    <m/>
    <s v="#UMV130370002"/>
    <s v="#UMV130370002"/>
    <n v="4.3167133484224237E-4"/>
  </r>
  <r>
    <x v="279"/>
    <s v="Pesos"/>
    <d v="2027-03-18T00:00:00"/>
    <s v="25/08/2026"/>
    <n v="0.87257956999999997"/>
    <m/>
    <n v="3948801"/>
    <n v="3445643.06"/>
    <n v="3948801"/>
    <n v="3445643.06"/>
    <n v="1018"/>
    <s v="AMOMPY"/>
    <s v="Momentum Capital Investment S.A."/>
    <s v="29/07/2026"/>
    <s v="29/07/2026"/>
    <n v="26"/>
    <s v="No"/>
    <s v=""/>
    <m/>
    <m/>
    <s v="*MAV160301224"/>
    <s v="*MAV160301224"/>
    <n v="5.6391649093040143E-5"/>
  </r>
  <r>
    <x v="49"/>
    <s v="Dolar 3500"/>
    <d v="2027-04-14T00:00:00"/>
    <s v="25/08/2026"/>
    <n v="0.95161492000000003"/>
    <s v="1 US3 = 1511,5325398191 $"/>
    <n v="18230"/>
    <n v="17347.939999999999"/>
    <n v="27555238.199999999"/>
    <n v="26221975.809999999"/>
    <n v="146452"/>
    <s v="AMOMPY"/>
    <s v="Momentum Capital Investment S.A."/>
    <s v="17/04/2026"/>
    <s v="17/04/2026"/>
    <n v="8"/>
    <s v="No"/>
    <s v=""/>
    <m/>
    <m/>
    <s v="#UMV120470004"/>
    <s v="#UMV120470004"/>
    <n v="4.2915079497633947E-4"/>
  </r>
  <r>
    <x v="279"/>
    <s v="Pesos"/>
    <d v="2027-04-19T00:00:00"/>
    <s v="25/08/2026"/>
    <n v="0.85556244000000004"/>
    <m/>
    <n v="3948801"/>
    <n v="3378445.82"/>
    <n v="3948801"/>
    <n v="3378445.82"/>
    <n v="1019"/>
    <s v="AMOMPY"/>
    <s v="Momentum Capital Investment S.A."/>
    <s v="29/07/2026"/>
    <s v="29/07/2026"/>
    <n v="26"/>
    <s v="No"/>
    <s v=""/>
    <m/>
    <m/>
    <s v="*MAV150401628"/>
    <s v="*MAV150401628"/>
    <n v="5.5291894094592677E-5"/>
  </r>
  <r>
    <x v="49"/>
    <s v="Dolar 3500"/>
    <d v="2027-05-14T00:00:00"/>
    <s v="25/08/2026"/>
    <n v="0.94569281000000005"/>
    <s v="1 US3 = 1511,5325398191 $"/>
    <n v="18230"/>
    <n v="17239.98"/>
    <n v="27555238.199999999"/>
    <n v="26058790.760000002"/>
    <n v="146453"/>
    <s v="AMOMPY"/>
    <s v="Momentum Capital Investment S.A."/>
    <s v="17/04/2026"/>
    <s v="17/04/2026"/>
    <n v="8"/>
    <s v="No"/>
    <s v=""/>
    <m/>
    <m/>
    <s v="#UMV120570002"/>
    <s v="#UMV120570002"/>
    <n v="4.2648009638203118E-4"/>
  </r>
  <r>
    <x v="49"/>
    <s v="Dolar 3500"/>
    <d v="2027-06-15T00:00:00"/>
    <s v="25/08/2026"/>
    <n v="0.93946735999999997"/>
    <s v="1 US3 = 1511,5325398191 $"/>
    <n v="18230"/>
    <n v="17126.490000000002"/>
    <n v="27555238.199999999"/>
    <n v="25887246.93"/>
    <n v="146455"/>
    <s v="AMOMPY"/>
    <s v="Momentum Capital Investment S.A."/>
    <s v="17/04/2026"/>
    <s v="17/04/2026"/>
    <n v="8"/>
    <s v="No"/>
    <s v=""/>
    <m/>
    <m/>
    <s v="#UMV110670002"/>
    <s v="#UMV110670002"/>
    <n v="4.2367259737618925E-4"/>
  </r>
  <r>
    <x v="49"/>
    <s v="Dolar 3500"/>
    <d v="2027-07-14T00:00:00"/>
    <s v="25/08/2026"/>
    <n v="0.93388508000000003"/>
    <s v="1 US3 = 1511,5325398191 $"/>
    <n v="20100"/>
    <n v="18771.09"/>
    <n v="30381804.050000001"/>
    <n v="28373113.34"/>
    <n v="160644"/>
    <s v="AMOMPY"/>
    <s v="Momentum Capital Investment S.A."/>
    <s v="11/08/2026"/>
    <s v="11/08/2026"/>
    <n v="8"/>
    <s v="No"/>
    <s v=""/>
    <m/>
    <m/>
    <s v="#UMV110770001"/>
    <s v="#UMV110770001"/>
    <n v="4.6435647084882209E-4"/>
  </r>
  <r>
    <x v="280"/>
    <s v="Dolar 3500"/>
    <d v="2027-07-28T00:00:00"/>
    <s v="25/08/2026"/>
    <n v="0.91547467999999999"/>
    <s v="1 US3 = 1511,5325398191 $"/>
    <n v="20856"/>
    <n v="19093.14"/>
    <n v="31524522.649999999"/>
    <n v="28859902.399999999"/>
    <n v="134917"/>
    <s v="AMOMPY"/>
    <s v="Momentum Capital Investment S.A."/>
    <s v="30/12/2025"/>
    <s v="30/12/2025"/>
    <n v="10"/>
    <s v="No"/>
    <s v=""/>
    <m/>
    <m/>
    <s v="#UMV250770007"/>
    <s v="#UMV250770007"/>
    <n v="4.7232329659828052E-4"/>
  </r>
  <r>
    <x v="49"/>
    <s v="Dolar 3500"/>
    <d v="2027-08-19T00:00:00"/>
    <s v="25/08/2026"/>
    <n v="0.92705621999999999"/>
    <s v="1 US3 = 1511,5325398191 $"/>
    <n v="20100"/>
    <n v="18633.830000000002"/>
    <n v="30381804.050000001"/>
    <n v="28165640.390000001"/>
    <n v="160645"/>
    <s v="AMOMPY"/>
    <s v="Momentum Capital Investment S.A."/>
    <s v="11/08/2026"/>
    <s v="11/08/2026"/>
    <n v="8"/>
    <s v="No"/>
    <s v=""/>
    <m/>
    <m/>
    <s v="#UMV150870013"/>
    <s v="#UMV150870013"/>
    <n v="4.6096095320843775E-4"/>
  </r>
  <r>
    <x v="49"/>
    <s v="Dolar 3500"/>
    <d v="2027-09-16T00:00:00"/>
    <s v="25/08/2026"/>
    <n v="0.92181044999999995"/>
    <s v="1 US3 = 1511,5325398191 $"/>
    <n v="20100"/>
    <n v="18528.39"/>
    <n v="30381804.050000001"/>
    <n v="28006264.399999999"/>
    <n v="160646"/>
    <s v="AMOMPY"/>
    <s v="Momentum Capital Investment S.A."/>
    <s v="11/08/2026"/>
    <s v="11/08/2026"/>
    <n v="8"/>
    <s v="No"/>
    <s v=""/>
    <m/>
    <m/>
    <s v="#UMV140970003"/>
    <s v="#UMV140970003"/>
    <n v="4.5835259397173376E-4"/>
  </r>
  <r>
    <x v="280"/>
    <s v="Dolar 3500"/>
    <d v="2028-01-27T00:00:00"/>
    <s v="25/08/2026"/>
    <n v="0.87529966999999997"/>
    <s v="1 US3 = 1511,5325398191 $"/>
    <n v="20856"/>
    <n v="18255.25"/>
    <n v="31524522.649999999"/>
    <n v="27593404.399999999"/>
    <n v="134918"/>
    <s v="AMOMPY"/>
    <s v="Momentum Capital Investment S.A."/>
    <s v="30/12/2025"/>
    <s v="30/12/2025"/>
    <n v="10"/>
    <s v="No"/>
    <s v=""/>
    <m/>
    <m/>
    <s v="#UMV250180006"/>
    <s v="#UMV250180006"/>
    <n v="4.5159569668459793E-4"/>
  </r>
  <r>
    <x v="280"/>
    <s v="Dolar 3500"/>
    <d v="2028-07-27T00:00:00"/>
    <s v="25/08/2026"/>
    <n v="0.83869676999999998"/>
    <s v="1 US3 = 1511,5325398191 $"/>
    <n v="20856"/>
    <n v="17491.86"/>
    <n v="31524522.649999999"/>
    <n v="26439515.57"/>
    <n v="134919"/>
    <s v="AMOMPY"/>
    <s v="Momentum Capital Investment S.A."/>
    <s v="30/12/2025"/>
    <s v="30/12/2025"/>
    <n v="10"/>
    <s v="No"/>
    <s v=""/>
    <m/>
    <m/>
    <s v="#UMV250780006"/>
    <s v="#UMV250780006"/>
    <n v="4.3271106677353029E-4"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87" firstHeaderRow="2" firstDataRow="2" firstDataCol="1"/>
  <pivotFields count="23">
    <pivotField axis="axisRow" compact="0" outline="0" showAll="0" includeNewItemsInFilter="1" sortType="descending">
      <items count="704">
        <item x="88"/>
        <item m="1" x="670"/>
        <item m="1" x="561"/>
        <item m="1" x="687"/>
        <item x="14"/>
        <item m="1" x="369"/>
        <item m="1" x="702"/>
        <item m="1" x="695"/>
        <item m="1" x="696"/>
        <item x="126"/>
        <item x="131"/>
        <item m="1" x="691"/>
        <item m="1" x="677"/>
        <item m="1" x="658"/>
        <item m="1" x="643"/>
        <item x="27"/>
        <item m="1" x="568"/>
        <item m="1" x="689"/>
        <item h="1" x="281"/>
        <item m="1" x="609"/>
        <item m="1" x="665"/>
        <item x="15"/>
        <item x="102"/>
        <item m="1" x="701"/>
        <item m="1" x="652"/>
        <item m="1" x="592"/>
        <item x="141"/>
        <item m="1" x="697"/>
        <item m="1" x="662"/>
        <item m="1" x="574"/>
        <item m="1" x="690"/>
        <item m="1" x="673"/>
        <item m="1" x="661"/>
        <item m="1" x="692"/>
        <item m="1" x="462"/>
        <item x="97"/>
        <item m="1" x="562"/>
        <item m="1" x="693"/>
        <item m="1" x="584"/>
        <item m="1" x="583"/>
        <item m="1" x="698"/>
        <item m="1" x="497"/>
        <item x="115"/>
        <item x="29"/>
        <item m="1" x="389"/>
        <item x="121"/>
        <item m="1" x="699"/>
        <item m="1" x="700"/>
        <item m="1" x="569"/>
        <item x="11"/>
        <item m="1" x="595"/>
        <item x="128"/>
        <item x="63"/>
        <item m="1" x="685"/>
        <item m="1" x="683"/>
        <item m="1" x="679"/>
        <item m="1" x="603"/>
        <item m="1" x="599"/>
        <item m="1" x="694"/>
        <item x="227"/>
        <item m="1" x="642"/>
        <item m="1" x="682"/>
        <item x="69"/>
        <item x="52"/>
        <item m="1" x="638"/>
        <item m="1" x="611"/>
        <item m="1" x="591"/>
        <item m="1" x="672"/>
        <item m="1" x="663"/>
        <item m="1" x="675"/>
        <item m="1" x="671"/>
        <item m="1" x="632"/>
        <item x="96"/>
        <item m="1" x="680"/>
        <item m="1" x="572"/>
        <item x="255"/>
        <item x="95"/>
        <item m="1" x="396"/>
        <item m="1" x="602"/>
        <item m="1" x="657"/>
        <item m="1" x="686"/>
        <item m="1" x="688"/>
        <item m="1" x="678"/>
        <item m="1" x="681"/>
        <item m="1" x="667"/>
        <item x="61"/>
        <item m="1" x="581"/>
        <item m="1" x="593"/>
        <item m="1" x="684"/>
        <item m="1" x="676"/>
        <item m="1" x="613"/>
        <item m="1" x="578"/>
        <item x="37"/>
        <item m="1" x="573"/>
        <item m="1" x="639"/>
        <item m="1" x="674"/>
        <item m="1" x="524"/>
        <item m="1" x="612"/>
        <item m="1" x="582"/>
        <item x="232"/>
        <item x="137"/>
        <item m="1" x="635"/>
        <item x="67"/>
        <item m="1" x="594"/>
        <item m="1" x="659"/>
        <item m="1" x="552"/>
        <item m="1" x="647"/>
        <item m="1" x="471"/>
        <item m="1" x="513"/>
        <item m="1" x="576"/>
        <item m="1" x="571"/>
        <item m="1" x="629"/>
        <item m="1" x="630"/>
        <item m="1" x="579"/>
        <item m="1" x="651"/>
        <item m="1" x="575"/>
        <item m="1" x="600"/>
        <item x="130"/>
        <item m="1" x="580"/>
        <item m="1" x="587"/>
        <item m="1" x="617"/>
        <item m="1" x="655"/>
        <item m="1" x="496"/>
        <item m="1" x="608"/>
        <item m="1" x="666"/>
        <item m="1" x="654"/>
        <item m="1" x="626"/>
        <item m="1" x="668"/>
        <item m="1" x="555"/>
        <item m="1" x="560"/>
        <item m="1" x="601"/>
        <item m="1" x="669"/>
        <item m="1" x="621"/>
        <item m="1" x="384"/>
        <item m="1" x="559"/>
        <item m="1" x="664"/>
        <item x="139"/>
        <item x="111"/>
        <item m="1" x="625"/>
        <item m="1" x="526"/>
        <item m="1" x="660"/>
        <item x="181"/>
        <item m="1" x="565"/>
        <item m="1" x="597"/>
        <item m="1" x="618"/>
        <item m="1" x="622"/>
        <item m="1" x="547"/>
        <item m="1" x="588"/>
        <item m="1" x="623"/>
        <item m="1" x="616"/>
        <item m="1" x="631"/>
        <item m="1" x="605"/>
        <item m="1" x="627"/>
        <item m="1" x="653"/>
        <item m="1" x="610"/>
        <item m="1" x="648"/>
        <item m="1" x="598"/>
        <item m="1" x="604"/>
        <item m="1" x="585"/>
        <item x="17"/>
        <item m="1" x="523"/>
        <item m="1" x="586"/>
        <item m="1" x="640"/>
        <item m="1" x="636"/>
        <item m="1" x="656"/>
        <item m="1" x="570"/>
        <item x="50"/>
        <item m="1" x="649"/>
        <item m="1" x="558"/>
        <item m="1" x="650"/>
        <item m="1" x="646"/>
        <item m="1" x="645"/>
        <item m="1" x="644"/>
        <item m="1" x="641"/>
        <item m="1" x="634"/>
        <item m="1" x="637"/>
        <item m="1" x="633"/>
        <item m="1" x="614"/>
        <item m="1" x="624"/>
        <item m="1" x="619"/>
        <item m="1" x="620"/>
        <item m="1" x="615"/>
        <item x="62"/>
        <item m="1" x="628"/>
        <item x="254"/>
        <item x="87"/>
        <item m="1" x="498"/>
        <item m="1" x="606"/>
        <item m="1" x="541"/>
        <item x="38"/>
        <item m="1" x="535"/>
        <item m="1" x="607"/>
        <item m="1" x="589"/>
        <item m="1" x="538"/>
        <item m="1" x="399"/>
        <item m="1" x="567"/>
        <item m="1" x="596"/>
        <item m="1" x="563"/>
        <item m="1" x="540"/>
        <item m="1" x="577"/>
        <item x="190"/>
        <item m="1" x="553"/>
        <item m="1" x="590"/>
        <item m="1" x="566"/>
        <item m="1" x="546"/>
        <item m="1" x="548"/>
        <item m="1" x="545"/>
        <item m="1" x="550"/>
        <item m="1" x="521"/>
        <item x="136"/>
        <item x="98"/>
        <item m="1" x="342"/>
        <item x="18"/>
        <item m="1" x="564"/>
        <item m="1" x="556"/>
        <item m="1" x="542"/>
        <item m="1" x="549"/>
        <item m="1" x="544"/>
        <item m="1" x="554"/>
        <item m="1" x="551"/>
        <item x="19"/>
        <item m="1" x="543"/>
        <item m="1" x="290"/>
        <item m="1" x="557"/>
        <item x="51"/>
        <item m="1" x="533"/>
        <item x="48"/>
        <item x="108"/>
        <item m="1" x="495"/>
        <item m="1" x="457"/>
        <item x="10"/>
        <item x="280"/>
        <item x="99"/>
        <item m="1" x="489"/>
        <item x="16"/>
        <item m="1" x="480"/>
        <item m="1" x="411"/>
        <item m="1" x="387"/>
        <item x="28"/>
        <item m="1" x="376"/>
        <item m="1" x="512"/>
        <item x="146"/>
        <item m="1" x="531"/>
        <item m="1" x="532"/>
        <item m="1" x="520"/>
        <item m="1" x="527"/>
        <item m="1" x="528"/>
        <item m="1" x="349"/>
        <item m="1" x="355"/>
        <item m="1" x="505"/>
        <item m="1" x="509"/>
        <item m="1" x="515"/>
        <item m="1" x="410"/>
        <item m="1" x="522"/>
        <item x="222"/>
        <item m="1" x="453"/>
        <item m="1" x="516"/>
        <item m="1" x="517"/>
        <item m="1" x="466"/>
        <item m="1" x="518"/>
        <item m="1" x="519"/>
        <item x="138"/>
        <item m="1" x="502"/>
        <item m="1" x="416"/>
        <item m="1" x="508"/>
        <item m="1" x="510"/>
        <item m="1" x="511"/>
        <item x="212"/>
        <item m="1" x="504"/>
        <item m="1" x="506"/>
        <item m="1" x="507"/>
        <item m="1" x="501"/>
        <item m="1" x="325"/>
        <item m="1" x="499"/>
        <item m="1" x="500"/>
        <item m="1" x="360"/>
        <item m="1" x="390"/>
        <item m="1" x="494"/>
        <item m="1" x="461"/>
        <item m="1" x="412"/>
        <item m="1" x="530"/>
        <item m="1" x="539"/>
        <item m="1" x="534"/>
        <item m="1" x="536"/>
        <item m="1" x="537"/>
        <item m="1" x="525"/>
        <item m="1" x="529"/>
        <item x="94"/>
        <item m="1" x="514"/>
        <item m="1" x="503"/>
        <item m="1" x="467"/>
        <item x="152"/>
        <item m="1" x="492"/>
        <item m="1" x="490"/>
        <item m="1" x="491"/>
        <item m="1" x="454"/>
        <item m="1" x="493"/>
        <item m="1" x="487"/>
        <item m="1" x="312"/>
        <item m="1" x="488"/>
        <item x="154"/>
        <item m="1" x="482"/>
        <item m="1" x="478"/>
        <item m="1" x="428"/>
        <item m="1" x="472"/>
        <item m="1" x="469"/>
        <item m="1" x="470"/>
        <item x="142"/>
        <item m="1" x="379"/>
        <item m="1" x="395"/>
        <item m="1" x="405"/>
        <item m="1" x="431"/>
        <item m="1" x="477"/>
        <item m="1" x="473"/>
        <item m="1" x="465"/>
        <item m="1" x="417"/>
        <item m="1" x="474"/>
        <item m="1" x="475"/>
        <item x="145"/>
        <item m="1" x="459"/>
        <item m="1" x="468"/>
        <item x="188"/>
        <item m="1" x="463"/>
        <item m="1" x="446"/>
        <item m="1" x="447"/>
        <item m="1" x="318"/>
        <item m="1" x="391"/>
        <item m="1" x="398"/>
        <item x="208"/>
        <item m="1" x="483"/>
        <item m="1" x="484"/>
        <item m="1" x="481"/>
        <item m="1" x="352"/>
        <item m="1" x="479"/>
        <item m="1" x="438"/>
        <item m="1" x="414"/>
        <item x="245"/>
        <item x="220"/>
        <item m="1" x="460"/>
        <item m="1" x="444"/>
        <item x="133"/>
        <item x="34"/>
        <item m="1" x="476"/>
        <item m="1" x="437"/>
        <item m="1" x="448"/>
        <item m="1" x="311"/>
        <item m="1" x="449"/>
        <item m="1" x="439"/>
        <item m="1" x="440"/>
        <item m="1" x="401"/>
        <item m="1" x="436"/>
        <item x="228"/>
        <item m="1" x="432"/>
        <item x="182"/>
        <item m="1" x="430"/>
        <item m="1" x="418"/>
        <item m="1" x="413"/>
        <item m="1" x="485"/>
        <item x="194"/>
        <item m="1" x="433"/>
        <item x="57"/>
        <item x="82"/>
        <item m="1" x="464"/>
        <item m="1" x="450"/>
        <item m="1" x="451"/>
        <item m="1" x="452"/>
        <item m="1" x="441"/>
        <item m="1" x="341"/>
        <item m="1" x="434"/>
        <item m="1" x="429"/>
        <item m="1" x="419"/>
        <item m="1" x="415"/>
        <item m="1" x="407"/>
        <item m="1" x="402"/>
        <item m="1" x="377"/>
        <item x="83"/>
        <item m="1" x="486"/>
        <item x="117"/>
        <item x="242"/>
        <item x="107"/>
        <item m="1" x="383"/>
        <item m="1" x="403"/>
        <item m="1" x="397"/>
        <item x="148"/>
        <item m="1" x="404"/>
        <item m="1" x="348"/>
        <item m="1" x="408"/>
        <item m="1" x="378"/>
        <item x="86"/>
        <item x="237"/>
        <item m="1" x="455"/>
        <item m="1" x="445"/>
        <item m="1" x="435"/>
        <item x="13"/>
        <item x="65"/>
        <item m="1" x="375"/>
        <item m="1" x="285"/>
        <item x="68"/>
        <item m="1" x="458"/>
        <item m="1" x="456"/>
        <item x="47"/>
        <item m="1" x="442"/>
        <item m="1" x="443"/>
        <item x="31"/>
        <item m="1" x="420"/>
        <item m="1" x="421"/>
        <item m="1" x="422"/>
        <item m="1" x="423"/>
        <item m="1" x="424"/>
        <item m="1" x="425"/>
        <item m="1" x="426"/>
        <item m="1" x="427"/>
        <item x="112"/>
        <item m="1" x="409"/>
        <item m="1" x="406"/>
        <item x="118"/>
        <item x="84"/>
        <item x="49"/>
        <item x="259"/>
        <item m="1" x="328"/>
        <item x="30"/>
        <item x="204"/>
        <item x="3"/>
        <item x="125"/>
        <item x="8"/>
        <item x="79"/>
        <item x="106"/>
        <item m="1" x="308"/>
        <item m="1" x="371"/>
        <item x="12"/>
        <item m="1" x="394"/>
        <item x="218"/>
        <item x="203"/>
        <item m="1" x="386"/>
        <item m="1" x="303"/>
        <item m="1" x="358"/>
        <item m="1" x="380"/>
        <item m="1" x="345"/>
        <item x="35"/>
        <item x="80"/>
        <item m="1" x="382"/>
        <item m="1" x="370"/>
        <item m="1" x="366"/>
        <item x="160"/>
        <item m="1" x="367"/>
        <item x="4"/>
        <item x="92"/>
        <item m="1" x="400"/>
        <item x="195"/>
        <item m="1" x="368"/>
        <item m="1" x="346"/>
        <item m="1" x="321"/>
        <item x="214"/>
        <item x="41"/>
        <item x="103"/>
        <item x="5"/>
        <item x="6"/>
        <item x="81"/>
        <item m="1" x="392"/>
        <item x="266"/>
        <item m="1" x="374"/>
        <item m="1" x="356"/>
        <item m="1" x="322"/>
        <item x="32"/>
        <item x="93"/>
        <item x="132"/>
        <item x="143"/>
        <item m="1" x="373"/>
        <item m="1" x="364"/>
        <item m="1" x="359"/>
        <item m="1" x="286"/>
        <item m="1" x="309"/>
        <item m="1" x="353"/>
        <item m="1" x="354"/>
        <item m="1" x="336"/>
        <item m="1" x="344"/>
        <item m="1" x="335"/>
        <item m="1" x="347"/>
        <item m="1" x="350"/>
        <item x="236"/>
        <item m="1" x="343"/>
        <item x="7"/>
        <item m="1" x="329"/>
        <item m="1" x="333"/>
        <item m="1" x="334"/>
        <item m="1" x="337"/>
        <item m="1" x="393"/>
        <item m="1" x="385"/>
        <item x="221"/>
        <item x="161"/>
        <item x="175"/>
        <item x="199"/>
        <item m="1" x="388"/>
        <item m="1" x="298"/>
        <item m="1" x="339"/>
        <item m="1" x="351"/>
        <item m="1" x="338"/>
        <item x="89"/>
        <item m="1" x="330"/>
        <item m="1" x="331"/>
        <item m="1" x="327"/>
        <item m="1" x="319"/>
        <item m="1" x="324"/>
        <item m="1" x="323"/>
        <item m="1" x="316"/>
        <item m="1" x="315"/>
        <item m="1" x="307"/>
        <item m="1" x="287"/>
        <item x="24"/>
        <item x="166"/>
        <item m="1" x="294"/>
        <item m="1" x="299"/>
        <item x="225"/>
        <item m="1" x="361"/>
        <item m="1" x="317"/>
        <item m="1" x="362"/>
        <item m="1" x="340"/>
        <item m="1" x="332"/>
        <item x="116"/>
        <item m="1" x="304"/>
        <item x="70"/>
        <item m="1" x="381"/>
        <item x="54"/>
        <item m="1" x="363"/>
        <item x="25"/>
        <item x="60"/>
        <item x="74"/>
        <item x="2"/>
        <item m="1" x="372"/>
        <item x="33"/>
        <item m="1" x="289"/>
        <item x="1"/>
        <item x="9"/>
        <item x="113"/>
        <item x="239"/>
        <item m="1" x="365"/>
        <item m="1" x="357"/>
        <item m="1" x="295"/>
        <item m="1" x="326"/>
        <item x="75"/>
        <item m="1" x="320"/>
        <item m="1" x="297"/>
        <item x="122"/>
        <item x="36"/>
        <item x="271"/>
        <item x="253"/>
        <item x="42"/>
        <item x="100"/>
        <item x="247"/>
        <item x="251"/>
        <item x="176"/>
        <item x="90"/>
        <item x="197"/>
        <item x="76"/>
        <item x="0"/>
        <item x="43"/>
        <item x="44"/>
        <item x="59"/>
        <item x="77"/>
        <item m="1" x="305"/>
        <item m="1" x="296"/>
        <item m="1" x="306"/>
        <item m="1" x="300"/>
        <item x="66"/>
        <item x="104"/>
        <item x="124"/>
        <item x="123"/>
        <item x="129"/>
        <item x="157"/>
        <item x="192"/>
        <item x="207"/>
        <item x="217"/>
        <item x="91"/>
        <item x="26"/>
        <item x="46"/>
        <item x="45"/>
        <item x="55"/>
        <item m="1" x="293"/>
        <item m="1" x="310"/>
        <item x="56"/>
        <item x="78"/>
        <item x="264"/>
        <item x="156"/>
        <item x="167"/>
        <item x="168"/>
        <item x="169"/>
        <item x="159"/>
        <item x="174"/>
        <item x="177"/>
        <item x="178"/>
        <item x="179"/>
        <item x="180"/>
        <item x="184"/>
        <item x="185"/>
        <item x="198"/>
        <item m="1" x="313"/>
        <item m="1" x="301"/>
        <item x="134"/>
        <item m="1" x="291"/>
        <item m="1" x="288"/>
        <item x="119"/>
        <item m="1" x="283"/>
        <item m="1" x="284"/>
        <item x="71"/>
        <item x="101"/>
        <item x="200"/>
        <item x="201"/>
        <item x="39"/>
        <item x="256"/>
        <item m="1" x="302"/>
        <item x="226"/>
        <item m="1" x="314"/>
        <item x="120"/>
        <item x="260"/>
        <item x="261"/>
        <item x="263"/>
        <item x="267"/>
        <item x="269"/>
        <item x="196"/>
        <item x="279"/>
        <item x="58"/>
        <item x="206"/>
        <item x="219"/>
        <item x="20"/>
        <item x="21"/>
        <item x="72"/>
        <item x="85"/>
        <item x="241"/>
        <item x="40"/>
        <item x="109"/>
        <item x="110"/>
        <item x="114"/>
        <item x="127"/>
        <item x="248"/>
        <item x="257"/>
        <item m="1" x="292"/>
        <item x="135"/>
        <item x="150"/>
        <item x="149"/>
        <item x="153"/>
        <item x="155"/>
        <item x="158"/>
        <item x="163"/>
        <item x="164"/>
        <item x="165"/>
        <item x="170"/>
        <item x="171"/>
        <item x="172"/>
        <item x="183"/>
        <item x="186"/>
        <item x="187"/>
        <item x="191"/>
        <item x="189"/>
        <item x="193"/>
        <item x="202"/>
        <item x="205"/>
        <item x="215"/>
        <item x="223"/>
        <item x="252"/>
        <item x="270"/>
        <item m="1" x="282"/>
        <item x="276"/>
        <item x="277"/>
        <item x="22"/>
        <item x="23"/>
        <item x="147"/>
        <item x="265"/>
        <item x="268"/>
        <item x="229"/>
        <item x="244"/>
        <item x="105"/>
        <item x="173"/>
        <item x="238"/>
        <item x="274"/>
        <item x="213"/>
        <item x="278"/>
        <item x="53"/>
        <item x="73"/>
        <item x="140"/>
        <item x="144"/>
        <item x="151"/>
        <item x="216"/>
        <item x="231"/>
        <item x="249"/>
        <item x="258"/>
        <item x="272"/>
        <item x="273"/>
        <item x="224"/>
        <item x="235"/>
        <item x="262"/>
        <item x="275"/>
        <item x="64"/>
        <item x="162"/>
        <item x="209"/>
        <item x="210"/>
        <item x="211"/>
        <item x="230"/>
        <item x="233"/>
        <item x="234"/>
        <item x="240"/>
        <item x="243"/>
        <item x="246"/>
        <item x="2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82">
    <i>
      <x v="185"/>
    </i>
    <i>
      <x v="15"/>
    </i>
    <i>
      <x v="230"/>
    </i>
    <i>
      <x v="361"/>
    </i>
    <i>
      <x v="51"/>
    </i>
    <i>
      <x v="52"/>
    </i>
    <i>
      <x v="336"/>
    </i>
    <i>
      <x v="209"/>
    </i>
    <i>
      <x v="632"/>
    </i>
    <i>
      <x v="100"/>
    </i>
    <i>
      <x v="189"/>
    </i>
    <i>
      <x v="291"/>
    </i>
    <i>
      <x v="429"/>
    </i>
    <i>
      <x/>
    </i>
    <i>
      <x v="488"/>
    </i>
    <i>
      <x v="426"/>
    </i>
    <i>
      <x v="200"/>
    </i>
    <i>
      <x v="665"/>
    </i>
    <i>
      <x v="341"/>
    </i>
    <i>
      <x v="184"/>
    </i>
    <i>
      <x v="35"/>
    </i>
    <i>
      <x v="337"/>
    </i>
    <i>
      <x v="424"/>
    </i>
    <i>
      <x v="166"/>
    </i>
    <i>
      <x v="457"/>
    </i>
    <i>
      <x v="232"/>
    </i>
    <i>
      <x v="318"/>
    </i>
    <i>
      <x v="117"/>
    </i>
    <i>
      <x v="456"/>
    </i>
    <i>
      <x v="512"/>
    </i>
    <i>
      <x v="21"/>
    </i>
    <i>
      <x v="543"/>
    </i>
    <i>
      <x v="99"/>
    </i>
    <i>
      <x v="340"/>
    </i>
    <i>
      <x v="136"/>
    </i>
    <i>
      <x v="137"/>
    </i>
    <i>
      <x v="22"/>
    </i>
    <i>
      <x v="220"/>
    </i>
    <i>
      <x v="72"/>
    </i>
    <i>
      <x v="238"/>
    </i>
    <i>
      <x v="226"/>
    </i>
    <i>
      <x v="417"/>
    </i>
    <i>
      <x v="383"/>
    </i>
    <i>
      <x v="9"/>
    </i>
    <i>
      <x v="552"/>
    </i>
    <i>
      <x v="548"/>
    </i>
    <i>
      <x v="43"/>
    </i>
    <i>
      <x v="159"/>
    </i>
    <i>
      <x v="393"/>
    </i>
    <i>
      <x v="666"/>
    </i>
    <i>
      <x v="459"/>
    </i>
    <i>
      <x v="685"/>
    </i>
    <i>
      <x v="686"/>
    </i>
    <i>
      <x v="360"/>
    </i>
    <i>
      <x v="453"/>
    </i>
    <i>
      <x v="76"/>
    </i>
    <i>
      <x v="182"/>
    </i>
    <i>
      <x v="682"/>
    </i>
    <i>
      <x v="42"/>
    </i>
    <i>
      <x v="674"/>
    </i>
    <i>
      <x v="544"/>
    </i>
    <i>
      <x v="400"/>
    </i>
    <i>
      <x v="672"/>
    </i>
    <i>
      <x v="227"/>
    </i>
    <i>
      <x v="620"/>
    </i>
    <i>
      <x v="431"/>
    </i>
    <i>
      <x v="509"/>
    </i>
    <i>
      <x v="448"/>
    </i>
    <i>
      <x v="378"/>
    </i>
    <i>
      <x v="63"/>
    </i>
    <i>
      <x v="532"/>
    </i>
    <i>
      <x v="684"/>
    </i>
    <i>
      <x v="379"/>
    </i>
    <i>
      <x v="10"/>
    </i>
    <i>
      <x v="231"/>
    </i>
    <i>
      <x v="533"/>
    </i>
    <i>
      <x v="439"/>
    </i>
    <i>
      <x v="397"/>
    </i>
    <i>
      <x v="651"/>
    </i>
    <i>
      <x v="678"/>
    </i>
    <i>
      <x v="649"/>
    </i>
    <i>
      <x v="454"/>
    </i>
    <i>
      <x v="394"/>
    </i>
    <i>
      <x v="425"/>
    </i>
    <i>
      <x v="690"/>
    </i>
    <i>
      <x v="657"/>
    </i>
    <i>
      <x v="224"/>
    </i>
    <i>
      <x v="527"/>
    </i>
    <i>
      <x v="542"/>
    </i>
    <i>
      <x v="518"/>
    </i>
    <i>
      <x v="141"/>
    </i>
    <i>
      <x v="438"/>
    </i>
    <i>
      <x v="45"/>
    </i>
    <i>
      <x v="638"/>
    </i>
    <i>
      <x v="658"/>
    </i>
    <i>
      <x v="210"/>
    </i>
    <i>
      <x v="452"/>
    </i>
    <i>
      <x v="479"/>
    </i>
    <i>
      <x v="545"/>
    </i>
    <i>
      <x v="267"/>
    </i>
    <i>
      <x v="446"/>
    </i>
    <i>
      <x v="102"/>
    </i>
    <i>
      <x v="695"/>
    </i>
    <i>
      <x v="420"/>
    </i>
    <i>
      <x v="234"/>
    </i>
    <i>
      <x v="49"/>
    </i>
    <i>
      <x v="646"/>
    </i>
    <i>
      <x v="661"/>
    </i>
    <i>
      <x v="550"/>
    </i>
    <i>
      <x v="520"/>
    </i>
    <i>
      <x v="640"/>
    </i>
    <i>
      <x v="683"/>
    </i>
    <i>
      <x v="702"/>
    </i>
    <i>
      <x v="4"/>
    </i>
    <i>
      <x v="422"/>
    </i>
    <i>
      <x v="679"/>
    </i>
    <i>
      <x v="668"/>
    </i>
    <i>
      <x v="59"/>
    </i>
    <i>
      <x v="627"/>
    </i>
    <i>
      <x v="622"/>
    </i>
    <i>
      <x v="534"/>
    </i>
    <i>
      <x v="607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212"/>
    </i>
    <i>
      <x v="432"/>
    </i>
    <i>
      <x v="546"/>
    </i>
    <i>
      <x v="610"/>
    </i>
    <i>
      <x v="579"/>
    </i>
    <i>
      <x v="581"/>
    </i>
    <i>
      <x v="490"/>
    </i>
    <i>
      <x v="412"/>
    </i>
    <i>
      <x v="554"/>
    </i>
    <i>
      <x v="656"/>
    </i>
    <i>
      <x v="497"/>
    </i>
    <i>
      <x v="576"/>
    </i>
    <i>
      <x v="652"/>
    </i>
    <i>
      <x v="547"/>
    </i>
    <i>
      <x v="571"/>
    </i>
    <i>
      <x v="614"/>
    </i>
    <i>
      <x v="691"/>
    </i>
    <i>
      <x v="358"/>
    </i>
    <i>
      <x v="415"/>
    </i>
    <i>
      <x v="241"/>
    </i>
    <i>
      <x v="587"/>
    </i>
    <i>
      <x v="455"/>
    </i>
    <i>
      <x v="644"/>
    </i>
    <i>
      <x v="639"/>
    </i>
    <i>
      <x v="563"/>
    </i>
    <i>
      <x v="582"/>
    </i>
    <i>
      <x v="569"/>
    </i>
    <i>
      <x v="307"/>
    </i>
    <i>
      <x v="574"/>
    </i>
    <i>
      <x v="662"/>
    </i>
    <i>
      <x v="675"/>
    </i>
    <i>
      <x v="670"/>
    </i>
    <i>
      <x v="443"/>
    </i>
    <i>
      <x v="529"/>
    </i>
    <i>
      <x v="631"/>
    </i>
    <i>
      <x v="630"/>
    </i>
    <i>
      <x v="531"/>
    </i>
    <i>
      <x v="463"/>
    </i>
    <i>
      <x v="491"/>
    </i>
    <i>
      <x v="26"/>
    </i>
    <i>
      <x v="626"/>
    </i>
    <i>
      <x v="619"/>
    </i>
    <i>
      <x v="659"/>
    </i>
    <i>
      <x v="694"/>
    </i>
    <i>
      <x v="604"/>
    </i>
    <i>
      <x v="669"/>
    </i>
    <i>
      <x v="389"/>
    </i>
    <i>
      <x v="699"/>
    </i>
    <i>
      <x v="700"/>
    </i>
    <i>
      <x v="92"/>
    </i>
    <i>
      <x v="688"/>
    </i>
    <i>
      <x v="676"/>
    </i>
    <i>
      <x v="653"/>
    </i>
    <i>
      <x v="633"/>
    </i>
    <i>
      <x v="642"/>
    </i>
    <i>
      <x v="605"/>
    </i>
    <i>
      <x v="557"/>
    </i>
    <i>
      <x v="508"/>
    </i>
    <i>
      <x v="556"/>
    </i>
    <i>
      <x v="388"/>
    </i>
    <i>
      <x v="549"/>
    </i>
    <i>
      <x v="648"/>
    </i>
    <i>
      <x v="85"/>
    </i>
    <i>
      <x v="416"/>
    </i>
    <i>
      <x v="489"/>
    </i>
    <i>
      <x v="481"/>
    </i>
    <i>
      <x v="526"/>
    </i>
    <i>
      <x v="572"/>
    </i>
    <i>
      <x v="62"/>
    </i>
    <i>
      <x v="590"/>
    </i>
    <i>
      <x v="693"/>
    </i>
    <i>
      <x v="588"/>
    </i>
    <i>
      <x v="641"/>
    </i>
    <i>
      <x v="629"/>
    </i>
    <i>
      <x v="624"/>
    </i>
    <i>
      <x v="377"/>
    </i>
    <i>
      <x v="692"/>
    </i>
    <i>
      <x v="445"/>
    </i>
    <i>
      <x v="634"/>
    </i>
    <i>
      <x v="464"/>
    </i>
    <i>
      <x v="300"/>
    </i>
    <i>
      <x v="698"/>
    </i>
    <i>
      <x v="650"/>
    </i>
    <i>
      <x v="643"/>
    </i>
    <i>
      <x v="539"/>
    </i>
    <i>
      <x v="680"/>
    </i>
    <i>
      <x v="655"/>
    </i>
    <i>
      <x v="636"/>
    </i>
    <i>
      <x v="551"/>
    </i>
    <i>
      <x v="612"/>
    </i>
    <i>
      <x v="645"/>
    </i>
    <i>
      <x v="351"/>
    </i>
    <i>
      <x v="671"/>
    </i>
    <i>
      <x v="261"/>
    </i>
    <i>
      <x v="591"/>
    </i>
    <i>
      <x v="628"/>
    </i>
    <i>
      <x v="697"/>
    </i>
    <i>
      <x v="637"/>
    </i>
    <i>
      <x v="593"/>
    </i>
    <i>
      <x v="689"/>
    </i>
    <i>
      <x v="403"/>
    </i>
    <i>
      <x v="573"/>
    </i>
    <i>
      <x v="647"/>
    </i>
    <i>
      <x v="654"/>
    </i>
    <i>
      <x v="613"/>
    </i>
    <i>
      <x v="597"/>
    </i>
    <i>
      <x v="696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524"/>
    </i>
    <i>
      <x v="466"/>
    </i>
    <i>
      <x v="575"/>
    </i>
    <i>
      <x v="565"/>
    </i>
    <i>
      <x v="328"/>
    </i>
    <i>
      <x v="617"/>
    </i>
    <i>
      <x v="618"/>
    </i>
    <i>
      <x v="254"/>
    </i>
    <i>
      <x v="564"/>
    </i>
    <i>
      <x v="567"/>
    </i>
    <i>
      <x v="606"/>
    </i>
    <i>
      <x v="583"/>
    </i>
    <i>
      <x v="287"/>
    </i>
    <i>
      <x v="600"/>
    </i>
    <i>
      <x v="522"/>
    </i>
    <i>
      <x v="580"/>
    </i>
    <i>
      <x v="525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25"/>
    </i>
    <i>
      <x v="623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70"/>
  <sheetViews>
    <sheetView tabSelected="1" zoomScale="85" zoomScaleNormal="85" workbookViewId="0">
      <selection activeCell="M24" sqref="M24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2585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2586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2587</v>
      </c>
      <c r="B4" s="13"/>
      <c r="C4" s="13"/>
      <c r="D4" s="13"/>
      <c r="E4" s="13"/>
      <c r="F4" s="13"/>
      <c r="G4" s="13"/>
      <c r="H4" s="13"/>
      <c r="I4" s="13"/>
      <c r="K4" s="170" t="s">
        <v>1237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46260</v>
      </c>
      <c r="M7" s="2">
        <f>WORKDAY(L7,1,$R:$R)</f>
        <v>46261</v>
      </c>
      <c r="N7" s="2">
        <f>WORKDAY(M7,1,$R:$R)</f>
        <v>46262</v>
      </c>
      <c r="R7" s="52">
        <v>45719</v>
      </c>
      <c r="S7" s="4" t="s">
        <v>109</v>
      </c>
    </row>
    <row r="8" spans="1:23">
      <c r="A8" s="13" t="s">
        <v>27</v>
      </c>
      <c r="B8" s="18">
        <v>61574788008.040001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175</v>
      </c>
      <c r="L8" s="42">
        <v>1000592261.0700001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60075694040.790001</v>
      </c>
      <c r="C9" s="18">
        <v>97.57</v>
      </c>
      <c r="D9" s="18">
        <v>98.32</v>
      </c>
      <c r="E9" s="13"/>
      <c r="F9" s="13"/>
      <c r="G9" s="13"/>
      <c r="H9" s="13"/>
      <c r="I9" s="13"/>
      <c r="K9" t="s">
        <v>192</v>
      </c>
      <c r="L9" s="42"/>
      <c r="M9" s="42"/>
      <c r="N9" s="7"/>
      <c r="P9" s="3"/>
      <c r="R9" s="52">
        <v>45740</v>
      </c>
    </row>
    <row r="10" spans="1:23">
      <c r="A10" s="13" t="s">
        <v>191</v>
      </c>
      <c r="B10" s="15">
        <v>1032801228</v>
      </c>
      <c r="C10" s="18">
        <v>1.68</v>
      </c>
      <c r="D10" s="18">
        <v>1.69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176</v>
      </c>
      <c r="B11" s="15">
        <v>-1679677000</v>
      </c>
      <c r="C11" s="18">
        <v>-2.73</v>
      </c>
      <c r="D11" s="18">
        <v>-2.75</v>
      </c>
      <c r="E11" s="13"/>
      <c r="F11" s="13"/>
      <c r="G11" s="13"/>
      <c r="H11" s="13"/>
      <c r="I11" s="13"/>
      <c r="K11" s="10" t="s">
        <v>84</v>
      </c>
      <c r="L11" s="38">
        <f>SUMIF($B$100:$B$1853,L7,$D$100:$D$1853)</f>
        <v>703776419.68000007</v>
      </c>
      <c r="M11" s="38">
        <f t="shared" ref="M11:N11" si="0">SUMIF($B$100:$B$1853,M7,$D$100:$D$1853)</f>
        <v>564663814.13999999</v>
      </c>
      <c r="N11" s="38">
        <f t="shared" si="0"/>
        <v>439578483</v>
      </c>
      <c r="O11" s="38">
        <f>SUMIF($B$99:$B$1722,O7,$D$99:$D$1722)</f>
        <v>0</v>
      </c>
      <c r="P11" s="38">
        <f>SUMIF($B$99:$B$1722,P7,$D$99:$D$1722)</f>
        <v>0</v>
      </c>
      <c r="Q11" s="38">
        <f>SUMIF($B$99:$B$1722,Q7,$D$99:$D$1722)</f>
        <v>0</v>
      </c>
      <c r="R11" s="38">
        <f>SUMIF($B$99:$B$1722,R7,$D$99:$D$1722)</f>
        <v>0</v>
      </c>
      <c r="S11" s="38">
        <f>SUMIF($B$99:$B$1722,S7,$D$99:$D$1722)</f>
        <v>0</v>
      </c>
      <c r="T11" s="38">
        <f>SUMIF($B$99:$B$1722,T7,$D$99:$D$1722)</f>
        <v>0</v>
      </c>
    </row>
    <row r="12" spans="1:23">
      <c r="A12" s="13" t="s">
        <v>14</v>
      </c>
      <c r="B12" s="18">
        <v>102248992.77</v>
      </c>
      <c r="C12" s="18">
        <v>0.17</v>
      </c>
      <c r="D12" s="18">
        <v>0.17</v>
      </c>
      <c r="E12" s="13"/>
      <c r="F12" s="13"/>
      <c r="G12" s="13"/>
      <c r="H12" s="13"/>
      <c r="I12" s="13"/>
      <c r="K12" s="10" t="s">
        <v>85</v>
      </c>
      <c r="L12" s="51">
        <f>+SUMIF($B$1858:$B$1896,L7,$F$1858:$F$1896)</f>
        <v>0</v>
      </c>
      <c r="M12" s="51">
        <f t="shared" ref="M12:N12" si="1">+SUMIF($B$1858:$B$1896,M7,$F$1858:$F$1896)</f>
        <v>0</v>
      </c>
      <c r="N12" s="51">
        <f t="shared" si="1"/>
        <v>78694016.540000007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102249068.34999999</v>
      </c>
      <c r="C13" s="18">
        <v>0.17</v>
      </c>
      <c r="D13" s="18">
        <v>0.17</v>
      </c>
      <c r="E13" s="13"/>
      <c r="F13" s="13"/>
      <c r="G13" s="13"/>
      <c r="H13" s="13"/>
      <c r="I13" s="13"/>
      <c r="J13" s="99"/>
      <c r="K13" s="13" t="s">
        <v>193</v>
      </c>
      <c r="L13" s="39">
        <f>SUMIF(A:A,K13,E:E)</f>
        <v>2205000000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757</v>
      </c>
      <c r="B14" s="18">
        <v>-75.58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102249068.34999999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1396844974.48</v>
      </c>
      <c r="C15" s="18">
        <v>2.27</v>
      </c>
      <c r="D15" s="18">
        <v>2.29</v>
      </c>
      <c r="E15" s="13"/>
      <c r="F15" s="13"/>
      <c r="G15" s="13"/>
      <c r="H15" s="13"/>
      <c r="I15" s="13"/>
      <c r="K15" t="s">
        <v>107</v>
      </c>
      <c r="L15" s="33">
        <v>-753500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-472778837.94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-112120250.63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369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-6505847.3099999996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4010864249.0999999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-96013093.950000003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-9601309.3699999992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280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-354521286.06999999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283</v>
      </c>
      <c r="L21" s="33"/>
      <c r="M21" s="33"/>
      <c r="N21" s="33"/>
      <c r="R21" s="52">
        <v>45982</v>
      </c>
    </row>
    <row r="22" spans="1:23">
      <c r="A22" s="13" t="s">
        <v>2414</v>
      </c>
      <c r="B22" s="18">
        <v>-20120258.27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207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208</v>
      </c>
      <c r="L23" s="141">
        <f>SUMIF(A:A,K23,B:B)</f>
        <v>-20120258.27</v>
      </c>
      <c r="M23" s="33"/>
      <c r="N23" s="33"/>
      <c r="Q23" s="7"/>
      <c r="R23" s="52">
        <v>45999</v>
      </c>
    </row>
    <row r="24" spans="1:23">
      <c r="A24" s="13" t="s">
        <v>29</v>
      </c>
      <c r="B24" s="150">
        <v>61102009170.099998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418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1138435379.9400001</v>
      </c>
      <c r="C25" s="13" t="s">
        <v>28</v>
      </c>
      <c r="D25" s="18">
        <v>1.86</v>
      </c>
      <c r="E25" s="13"/>
      <c r="F25" s="13"/>
      <c r="G25" s="13"/>
      <c r="H25" s="13"/>
      <c r="I25" s="13"/>
      <c r="K25" s="10" t="s">
        <v>329</v>
      </c>
      <c r="L25" s="165"/>
      <c r="M25" s="93"/>
      <c r="N25" s="7"/>
      <c r="R25" s="52"/>
    </row>
    <row r="26" spans="1:23">
      <c r="A26" s="13" t="s">
        <v>24</v>
      </c>
      <c r="B26" s="18">
        <v>1026315129.3099999</v>
      </c>
      <c r="C26" s="13" t="s">
        <v>28</v>
      </c>
      <c r="D26" s="18">
        <v>1.68</v>
      </c>
      <c r="E26" s="13"/>
      <c r="F26" s="13"/>
      <c r="G26" s="13"/>
      <c r="H26" s="13"/>
      <c r="I26" s="13"/>
      <c r="K26" s="8" t="s">
        <v>2323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3990743990.8299999</v>
      </c>
      <c r="M27" s="6">
        <f>SUM(M8:M26)</f>
        <v>564663814.13999999</v>
      </c>
      <c r="N27" s="6">
        <f>SUM(N8:N26)</f>
        <v>518272499.54000002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43883085192.290001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0.71819381700076723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468</v>
      </c>
      <c r="L40" s="144">
        <f>VLOOKUP("Valor Patrimonial del Fondo",A:B,2,0)+L22+L23</f>
        <v>61081888911.830002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469</v>
      </c>
      <c r="L41" s="142">
        <f>+L40*0.05</f>
        <v>3054094445.5915003</v>
      </c>
      <c r="N41" s="87"/>
      <c r="O41" s="81"/>
    </row>
    <row r="42" spans="1:17">
      <c r="A42" s="13" t="s">
        <v>396</v>
      </c>
      <c r="B42" s="13"/>
      <c r="C42" s="13"/>
      <c r="D42" s="13"/>
      <c r="E42" s="13"/>
      <c r="F42" s="13"/>
      <c r="G42" s="13"/>
      <c r="H42" s="13"/>
      <c r="I42" s="13"/>
      <c r="K42" s="143" t="s">
        <v>470</v>
      </c>
      <c r="L42" s="142">
        <f>+L40*0.2</f>
        <v>12216377782.366001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702</v>
      </c>
      <c r="B44" s="13" t="s">
        <v>703</v>
      </c>
      <c r="C44" s="15">
        <v>200000000</v>
      </c>
      <c r="D44" s="149">
        <v>1.2144999999999999</v>
      </c>
      <c r="E44" s="15">
        <v>242894630</v>
      </c>
      <c r="F44" s="150">
        <v>0.4</v>
      </c>
      <c r="G44" s="15">
        <v>0</v>
      </c>
      <c r="H44" s="13" t="s">
        <v>28</v>
      </c>
      <c r="I44" s="138" t="s">
        <v>704</v>
      </c>
      <c r="J44" s="94"/>
      <c r="K44" s="128"/>
      <c r="N44" s="87"/>
      <c r="O44" s="81"/>
    </row>
    <row r="45" spans="1:17">
      <c r="A45" s="13" t="s">
        <v>1480</v>
      </c>
      <c r="B45" s="13" t="s">
        <v>1481</v>
      </c>
      <c r="C45" s="15">
        <v>600000000</v>
      </c>
      <c r="D45" s="18">
        <v>1.04</v>
      </c>
      <c r="E45" s="15">
        <v>623998032</v>
      </c>
      <c r="F45" s="18">
        <v>1.02</v>
      </c>
      <c r="G45" s="15">
        <v>0</v>
      </c>
      <c r="H45" s="13" t="s">
        <v>28</v>
      </c>
      <c r="I45" s="138" t="s">
        <v>1482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866892662</v>
      </c>
      <c r="F46" s="18">
        <v>1.42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397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1919</v>
      </c>
      <c r="B50" s="13" t="s">
        <v>1920</v>
      </c>
      <c r="C50" s="15">
        <v>300000000</v>
      </c>
      <c r="D50" s="151">
        <v>1.089</v>
      </c>
      <c r="E50" s="15">
        <v>326712903</v>
      </c>
      <c r="F50" s="18">
        <v>0.53</v>
      </c>
      <c r="G50" s="15">
        <v>0</v>
      </c>
      <c r="H50" s="13" t="s">
        <v>28</v>
      </c>
      <c r="I50" s="138" t="s">
        <v>1921</v>
      </c>
      <c r="N50" s="81"/>
    </row>
    <row r="51" spans="1:20">
      <c r="A51" s="13" t="s">
        <v>1075</v>
      </c>
      <c r="B51" s="13" t="s">
        <v>1076</v>
      </c>
      <c r="C51" s="15">
        <v>250000000</v>
      </c>
      <c r="D51" s="149">
        <v>1.0278</v>
      </c>
      <c r="E51" s="15">
        <v>256954885</v>
      </c>
      <c r="F51" s="18">
        <v>0.42</v>
      </c>
      <c r="G51" s="15">
        <v>1</v>
      </c>
      <c r="H51" s="18">
        <v>2.78</v>
      </c>
      <c r="I51" s="138" t="s">
        <v>1077</v>
      </c>
    </row>
    <row r="52" spans="1:20">
      <c r="A52" s="13" t="s">
        <v>635</v>
      </c>
      <c r="B52" s="13" t="s">
        <v>636</v>
      </c>
      <c r="C52" s="15">
        <v>300000000</v>
      </c>
      <c r="D52" s="149">
        <v>1.0837000000000001</v>
      </c>
      <c r="E52" s="15">
        <v>325108965</v>
      </c>
      <c r="F52" s="18">
        <v>0.53</v>
      </c>
      <c r="G52" s="15">
        <v>1</v>
      </c>
      <c r="H52" s="18">
        <v>8.3699999999999992</v>
      </c>
      <c r="I52" s="138" t="s">
        <v>637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908776753</v>
      </c>
      <c r="F53" s="18">
        <v>1.49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398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1125</v>
      </c>
      <c r="B57" s="13" t="s">
        <v>1060</v>
      </c>
      <c r="C57" s="15">
        <v>250000000</v>
      </c>
      <c r="D57" s="151">
        <v>0.80300000000000005</v>
      </c>
      <c r="E57" s="150">
        <v>200743482.5</v>
      </c>
      <c r="F57" s="18">
        <v>0.33</v>
      </c>
      <c r="G57" s="149">
        <v>0.97840000000000005</v>
      </c>
      <c r="H57" s="18">
        <v>-17.93</v>
      </c>
      <c r="I57" s="138" t="s">
        <v>1061</v>
      </c>
    </row>
    <row r="58" spans="1:20">
      <c r="A58" s="13" t="s">
        <v>158</v>
      </c>
      <c r="B58" s="13" t="s">
        <v>159</v>
      </c>
      <c r="C58" s="15">
        <v>100000000</v>
      </c>
      <c r="D58" s="149">
        <v>0.2034</v>
      </c>
      <c r="E58" s="15">
        <v>20342049</v>
      </c>
      <c r="F58" s="18">
        <v>0.03</v>
      </c>
      <c r="G58" s="149">
        <v>0.98460000000000003</v>
      </c>
      <c r="H58" s="18">
        <v>-79.34</v>
      </c>
      <c r="I58" s="138" t="s">
        <v>160</v>
      </c>
    </row>
    <row r="59" spans="1:20">
      <c r="A59" s="13" t="s">
        <v>265</v>
      </c>
      <c r="B59" s="13" t="s">
        <v>266</v>
      </c>
      <c r="C59" s="15">
        <v>101962042</v>
      </c>
      <c r="D59" s="149">
        <v>1.4147000000000001</v>
      </c>
      <c r="E59" s="18">
        <v>144244258.05000001</v>
      </c>
      <c r="F59" s="18">
        <v>0.24</v>
      </c>
      <c r="G59" s="151">
        <v>0.92400000000000004</v>
      </c>
      <c r="H59" s="150">
        <v>53.1</v>
      </c>
      <c r="I59" s="138" t="s">
        <v>267</v>
      </c>
    </row>
    <row r="60" spans="1:20">
      <c r="A60" s="13" t="s">
        <v>268</v>
      </c>
      <c r="B60" s="13" t="s">
        <v>269</v>
      </c>
      <c r="C60" s="15">
        <v>382357659</v>
      </c>
      <c r="D60" s="149">
        <v>1.2025999999999999</v>
      </c>
      <c r="E60" s="15">
        <v>459822816</v>
      </c>
      <c r="F60" s="18">
        <v>0.75</v>
      </c>
      <c r="G60" s="18">
        <v>0.85</v>
      </c>
      <c r="H60" s="18">
        <v>41.48</v>
      </c>
      <c r="I60" s="138" t="s">
        <v>270</v>
      </c>
      <c r="R60" s="9"/>
    </row>
    <row r="61" spans="1:20">
      <c r="A61" s="13" t="s">
        <v>376</v>
      </c>
      <c r="B61" s="13" t="s">
        <v>377</v>
      </c>
      <c r="C61" s="15">
        <v>75584213</v>
      </c>
      <c r="D61" s="149">
        <v>1.0895999999999999</v>
      </c>
      <c r="E61" s="18">
        <v>82357751.959999993</v>
      </c>
      <c r="F61" s="18">
        <v>0.13</v>
      </c>
      <c r="G61" s="149">
        <v>0.87180000000000002</v>
      </c>
      <c r="H61" s="18">
        <v>24.98</v>
      </c>
      <c r="I61" s="138" t="s">
        <v>378</v>
      </c>
    </row>
    <row r="62" spans="1:20">
      <c r="A62" s="13" t="s">
        <v>379</v>
      </c>
      <c r="B62" s="13" t="s">
        <v>380</v>
      </c>
      <c r="C62" s="15">
        <v>176363163</v>
      </c>
      <c r="D62" s="149">
        <v>1.0295000000000001</v>
      </c>
      <c r="E62" s="18">
        <v>181559058.11000001</v>
      </c>
      <c r="F62" s="150">
        <v>0.3</v>
      </c>
      <c r="G62" s="149">
        <v>0.84460000000000002</v>
      </c>
      <c r="H62" s="18">
        <v>21.89</v>
      </c>
      <c r="I62" s="138" t="s">
        <v>381</v>
      </c>
    </row>
    <row r="63" spans="1:20">
      <c r="A63" s="13" t="s">
        <v>898</v>
      </c>
      <c r="B63" s="13" t="s">
        <v>899</v>
      </c>
      <c r="C63" s="15">
        <v>63635566</v>
      </c>
      <c r="D63" s="149">
        <v>0.94179999999999997</v>
      </c>
      <c r="E63" s="150">
        <v>59934005.399999999</v>
      </c>
      <c r="F63" s="150">
        <v>0.1</v>
      </c>
      <c r="G63" s="149">
        <v>0.90539999999999998</v>
      </c>
      <c r="H63" s="18">
        <v>4.0199999999999996</v>
      </c>
      <c r="I63" s="138" t="s">
        <v>900</v>
      </c>
    </row>
    <row r="64" spans="1:20" s="68" customFormat="1">
      <c r="A64" s="13" t="s">
        <v>901</v>
      </c>
      <c r="B64" s="13" t="s">
        <v>902</v>
      </c>
      <c r="C64" s="15">
        <v>148482986</v>
      </c>
      <c r="D64" s="149">
        <v>0.87260000000000004</v>
      </c>
      <c r="E64" s="18">
        <v>129565549.77</v>
      </c>
      <c r="F64" s="18">
        <v>0.21</v>
      </c>
      <c r="G64" s="149">
        <v>0.7853</v>
      </c>
      <c r="H64" s="18">
        <v>11.12</v>
      </c>
      <c r="I64" s="138" t="s">
        <v>903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50">
        <v>1278568970.8</v>
      </c>
      <c r="F65" s="18">
        <v>2.09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399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627</v>
      </c>
      <c r="B69" s="13" t="s">
        <v>28</v>
      </c>
      <c r="C69" s="15">
        <v>-475000</v>
      </c>
      <c r="D69" s="15">
        <v>1514</v>
      </c>
      <c r="E69" s="15">
        <v>-719150000</v>
      </c>
      <c r="F69" s="18">
        <v>-1.18</v>
      </c>
      <c r="G69" s="15">
        <v>0</v>
      </c>
      <c r="H69" s="13" t="s">
        <v>28</v>
      </c>
      <c r="I69" s="138" t="s">
        <v>487</v>
      </c>
      <c r="J69" s="69"/>
    </row>
    <row r="70" spans="1:20">
      <c r="A70" s="13" t="s">
        <v>750</v>
      </c>
      <c r="B70" s="13" t="s">
        <v>28</v>
      </c>
      <c r="C70" s="15">
        <v>-763000</v>
      </c>
      <c r="D70" s="150">
        <v>1540.5</v>
      </c>
      <c r="E70" s="15">
        <v>-1175401500</v>
      </c>
      <c r="F70" s="18">
        <v>-1.92</v>
      </c>
      <c r="G70" s="15">
        <v>0</v>
      </c>
      <c r="H70" s="13" t="s">
        <v>28</v>
      </c>
      <c r="I70" s="138" t="s">
        <v>577</v>
      </c>
    </row>
    <row r="71" spans="1:20">
      <c r="A71" s="13" t="s">
        <v>1170</v>
      </c>
      <c r="B71" s="13" t="s">
        <v>28</v>
      </c>
      <c r="C71" s="15">
        <v>-439000</v>
      </c>
      <c r="D71" s="15">
        <v>1568</v>
      </c>
      <c r="E71" s="15">
        <v>-688352000</v>
      </c>
      <c r="F71" s="18">
        <v>-1.1299999999999999</v>
      </c>
      <c r="G71" s="15">
        <v>0</v>
      </c>
      <c r="H71" s="13" t="s">
        <v>28</v>
      </c>
      <c r="I71" s="138" t="s">
        <v>1171</v>
      </c>
      <c r="J71" s="69"/>
    </row>
    <row r="72" spans="1:20">
      <c r="A72" s="13" t="s">
        <v>1760</v>
      </c>
      <c r="B72" s="13" t="s">
        <v>28</v>
      </c>
      <c r="C72" s="15">
        <v>-150000</v>
      </c>
      <c r="D72" s="150">
        <v>1597.5</v>
      </c>
      <c r="E72" s="15">
        <v>-239625000</v>
      </c>
      <c r="F72" s="18">
        <v>-0.39</v>
      </c>
      <c r="G72" s="15">
        <v>0</v>
      </c>
      <c r="H72" s="13" t="s">
        <v>28</v>
      </c>
      <c r="I72" s="138" t="s">
        <v>704</v>
      </c>
    </row>
    <row r="73" spans="1:20">
      <c r="A73" s="13" t="s">
        <v>1985</v>
      </c>
      <c r="B73" s="13" t="s">
        <v>28</v>
      </c>
      <c r="C73" s="15">
        <v>-20000</v>
      </c>
      <c r="D73" s="150">
        <v>1627.5</v>
      </c>
      <c r="E73" s="15">
        <v>-32550000</v>
      </c>
      <c r="F73" s="18">
        <v>-0.05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-1847000</v>
      </c>
      <c r="D74" s="13" t="s">
        <v>28</v>
      </c>
      <c r="E74" s="15">
        <v>-2855078500</v>
      </c>
      <c r="F74" s="18">
        <v>-4.67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662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193</v>
      </c>
      <c r="B78" s="13" t="s">
        <v>28</v>
      </c>
      <c r="C78" s="154">
        <v>172246408.760023</v>
      </c>
      <c r="D78" s="149">
        <v>12.801399999999999</v>
      </c>
      <c r="E78" s="15">
        <v>2205000000</v>
      </c>
      <c r="F78" s="18">
        <v>3.61</v>
      </c>
      <c r="G78" s="149">
        <v>12.801399999999999</v>
      </c>
      <c r="H78" s="15">
        <v>0</v>
      </c>
      <c r="I78" s="13" t="s">
        <v>28</v>
      </c>
    </row>
    <row r="79" spans="1:20">
      <c r="A79" s="13"/>
      <c r="B79" s="13" t="s">
        <v>28</v>
      </c>
      <c r="C79" s="154">
        <v>172246408.760023</v>
      </c>
      <c r="D79" s="13" t="s">
        <v>28</v>
      </c>
      <c r="E79" s="15">
        <v>2205000000</v>
      </c>
      <c r="F79" s="18">
        <v>3.61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1701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1702</v>
      </c>
      <c r="B83" s="13" t="s">
        <v>28</v>
      </c>
      <c r="C83" s="15">
        <v>300000000</v>
      </c>
      <c r="D83" s="149">
        <v>1.0048999999999999</v>
      </c>
      <c r="E83" s="18">
        <v>301462929.44999999</v>
      </c>
      <c r="F83" s="18">
        <v>0.49</v>
      </c>
      <c r="G83" s="149">
        <v>0.98409999999999997</v>
      </c>
      <c r="H83" s="18">
        <v>2.12</v>
      </c>
      <c r="I83" s="138" t="s">
        <v>730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301462929.44999999</v>
      </c>
      <c r="F84" s="18">
        <v>0.49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400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1915</v>
      </c>
      <c r="B88" s="13" t="s">
        <v>1916</v>
      </c>
      <c r="C88" s="15">
        <v>400000000</v>
      </c>
      <c r="D88" s="151">
        <v>1.022</v>
      </c>
      <c r="E88" s="15">
        <v>408803196</v>
      </c>
      <c r="F88" s="18">
        <v>0.67</v>
      </c>
      <c r="G88" s="15">
        <v>1</v>
      </c>
      <c r="H88" s="150">
        <v>2.2000000000000002</v>
      </c>
      <c r="I88" s="138" t="s">
        <v>1917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408803196</v>
      </c>
      <c r="F89" s="18">
        <v>0.67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401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2588</v>
      </c>
      <c r="B94" s="138" t="s">
        <v>480</v>
      </c>
      <c r="C94" s="138" t="s">
        <v>424</v>
      </c>
      <c r="D94" s="15">
        <v>1</v>
      </c>
      <c r="E94" s="28">
        <v>21.617529050000002</v>
      </c>
      <c r="F94" s="15">
        <v>1000000000</v>
      </c>
      <c r="G94" s="18">
        <v>1.64</v>
      </c>
      <c r="H94" s="13"/>
      <c r="I94" s="13"/>
    </row>
    <row r="95" spans="1:9">
      <c r="A95" s="13" t="s">
        <v>168</v>
      </c>
      <c r="B95" s="138" t="s">
        <v>415</v>
      </c>
      <c r="C95" s="138" t="s">
        <v>429</v>
      </c>
      <c r="D95" s="15">
        <v>30</v>
      </c>
      <c r="E95" s="28">
        <v>38.500445849999998</v>
      </c>
      <c r="F95" s="18">
        <v>618834836.49000001</v>
      </c>
      <c r="G95" s="18">
        <v>1.01</v>
      </c>
      <c r="H95" s="13"/>
      <c r="I95" s="13"/>
    </row>
    <row r="96" spans="1:9">
      <c r="A96" s="13"/>
      <c r="B96" s="13"/>
      <c r="C96" s="13" t="s">
        <v>28</v>
      </c>
      <c r="D96" s="18">
        <v>3.68</v>
      </c>
      <c r="E96" s="28">
        <v>35.663304459999999</v>
      </c>
      <c r="F96" s="18">
        <v>1618834836.49</v>
      </c>
      <c r="G96" s="18">
        <v>2.65</v>
      </c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402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4" t="s">
        <v>9</v>
      </c>
      <c r="B100" s="14" t="s">
        <v>98</v>
      </c>
      <c r="C100" s="14" t="s">
        <v>16</v>
      </c>
      <c r="D100" s="14" t="s">
        <v>100</v>
      </c>
      <c r="E100" s="14" t="s">
        <v>32</v>
      </c>
      <c r="F100" s="14" t="s">
        <v>101</v>
      </c>
      <c r="G100" s="14" t="s">
        <v>4</v>
      </c>
      <c r="H100" s="14"/>
      <c r="I100" s="14"/>
    </row>
    <row r="101" spans="1:9">
      <c r="A101" s="13" t="s">
        <v>171</v>
      </c>
      <c r="B101" s="138" t="s">
        <v>172</v>
      </c>
      <c r="C101" s="138" t="s">
        <v>132</v>
      </c>
      <c r="D101" s="15">
        <v>10000000</v>
      </c>
      <c r="E101" s="92">
        <v>0.98526157489999999</v>
      </c>
      <c r="F101" s="18">
        <v>9852615.75</v>
      </c>
      <c r="G101" s="18">
        <v>0.02</v>
      </c>
      <c r="H101" s="13"/>
      <c r="I101" s="13"/>
    </row>
    <row r="102" spans="1:9">
      <c r="A102" s="13" t="s">
        <v>414</v>
      </c>
      <c r="B102" s="138" t="s">
        <v>415</v>
      </c>
      <c r="C102" s="138" t="s">
        <v>310</v>
      </c>
      <c r="D102" s="15">
        <v>2000000</v>
      </c>
      <c r="E102" s="153">
        <v>0.99130907499999998</v>
      </c>
      <c r="F102" s="18">
        <v>1982618.15</v>
      </c>
      <c r="G102" s="15">
        <v>0</v>
      </c>
      <c r="H102" s="13"/>
      <c r="I102" s="13"/>
    </row>
    <row r="103" spans="1:9">
      <c r="A103" s="13" t="s">
        <v>430</v>
      </c>
      <c r="B103" s="138" t="s">
        <v>172</v>
      </c>
      <c r="C103" s="138" t="s">
        <v>278</v>
      </c>
      <c r="D103" s="15">
        <v>50000000</v>
      </c>
      <c r="E103" s="92">
        <v>0.9937110415</v>
      </c>
      <c r="F103" s="18">
        <v>49685552.079999998</v>
      </c>
      <c r="G103" s="18">
        <v>0.08</v>
      </c>
      <c r="H103" s="13"/>
      <c r="I103" s="13"/>
    </row>
    <row r="104" spans="1:9">
      <c r="A104" s="13" t="s">
        <v>436</v>
      </c>
      <c r="B104" s="138" t="s">
        <v>172</v>
      </c>
      <c r="C104" s="138" t="s">
        <v>277</v>
      </c>
      <c r="D104" s="15">
        <v>5450000</v>
      </c>
      <c r="E104" s="153">
        <v>0.99276505500000001</v>
      </c>
      <c r="F104" s="18">
        <v>5410569.5499999998</v>
      </c>
      <c r="G104" s="18">
        <v>0.01</v>
      </c>
      <c r="H104" s="13"/>
      <c r="I104" s="13"/>
    </row>
    <row r="105" spans="1:9">
      <c r="A105" s="13" t="s">
        <v>443</v>
      </c>
      <c r="B105" s="138" t="s">
        <v>444</v>
      </c>
      <c r="C105" s="138" t="s">
        <v>148</v>
      </c>
      <c r="D105" s="15">
        <v>16600000</v>
      </c>
      <c r="E105" s="92">
        <v>0.99050205489999998</v>
      </c>
      <c r="F105" s="18">
        <v>16442334.109999999</v>
      </c>
      <c r="G105" s="18">
        <v>0.03</v>
      </c>
      <c r="H105" s="13"/>
      <c r="I105" s="13"/>
    </row>
    <row r="106" spans="1:9">
      <c r="A106" s="13" t="s">
        <v>446</v>
      </c>
      <c r="B106" s="138" t="s">
        <v>370</v>
      </c>
      <c r="C106" s="138" t="s">
        <v>148</v>
      </c>
      <c r="D106" s="15">
        <v>16600000</v>
      </c>
      <c r="E106" s="92">
        <v>0.99713154520000002</v>
      </c>
      <c r="F106" s="18">
        <v>16552383.65</v>
      </c>
      <c r="G106" s="18">
        <v>0.03</v>
      </c>
      <c r="H106" s="13"/>
      <c r="I106" s="13"/>
    </row>
    <row r="107" spans="1:9">
      <c r="A107" s="13" t="s">
        <v>449</v>
      </c>
      <c r="B107" s="138" t="s">
        <v>450</v>
      </c>
      <c r="C107" s="138" t="s">
        <v>306</v>
      </c>
      <c r="D107" s="15">
        <v>9974100</v>
      </c>
      <c r="E107" s="92">
        <v>0.97645800240000002</v>
      </c>
      <c r="F107" s="18">
        <v>9739289.7599999998</v>
      </c>
      <c r="G107" s="18">
        <v>0.02</v>
      </c>
      <c r="H107" s="13"/>
      <c r="I107" s="13"/>
    </row>
    <row r="108" spans="1:9">
      <c r="A108" s="13" t="s">
        <v>451</v>
      </c>
      <c r="B108" s="138" t="s">
        <v>452</v>
      </c>
      <c r="C108" s="138" t="s">
        <v>306</v>
      </c>
      <c r="D108" s="18">
        <v>9972890.5500000007</v>
      </c>
      <c r="E108" s="92">
        <v>0.99023333120000001</v>
      </c>
      <c r="F108" s="18">
        <v>9875488.6300000008</v>
      </c>
      <c r="G108" s="18">
        <v>0.02</v>
      </c>
      <c r="H108" s="13"/>
      <c r="I108" s="13"/>
    </row>
    <row r="109" spans="1:9">
      <c r="A109" s="13" t="s">
        <v>453</v>
      </c>
      <c r="B109" s="138" t="s">
        <v>454</v>
      </c>
      <c r="C109" s="138" t="s">
        <v>306</v>
      </c>
      <c r="D109" s="18">
        <v>9972899.9900000002</v>
      </c>
      <c r="E109" s="92">
        <v>0.97541426379999996</v>
      </c>
      <c r="F109" s="150">
        <v>9727708.9000000004</v>
      </c>
      <c r="G109" s="18">
        <v>0.02</v>
      </c>
      <c r="H109" s="13"/>
      <c r="I109" s="13"/>
    </row>
    <row r="110" spans="1:9">
      <c r="A110" s="13" t="s">
        <v>455</v>
      </c>
      <c r="B110" s="138" t="s">
        <v>456</v>
      </c>
      <c r="C110" s="138" t="s">
        <v>306</v>
      </c>
      <c r="D110" s="150">
        <v>9975100.8000000007</v>
      </c>
      <c r="E110" s="92">
        <v>0.9775040358</v>
      </c>
      <c r="F110" s="18">
        <v>9750701.2899999991</v>
      </c>
      <c r="G110" s="18">
        <v>0.02</v>
      </c>
      <c r="H110" s="13"/>
      <c r="I110" s="13"/>
    </row>
    <row r="111" spans="1:9">
      <c r="A111" s="13" t="s">
        <v>457</v>
      </c>
      <c r="B111" s="138" t="s">
        <v>450</v>
      </c>
      <c r="C111" s="138" t="s">
        <v>306</v>
      </c>
      <c r="D111" s="15">
        <v>9973400</v>
      </c>
      <c r="E111" s="92">
        <v>0.97645800240000002</v>
      </c>
      <c r="F111" s="18">
        <v>9738606.2400000002</v>
      </c>
      <c r="G111" s="18">
        <v>0.02</v>
      </c>
      <c r="H111" s="13"/>
      <c r="I111" s="13"/>
    </row>
    <row r="112" spans="1:9">
      <c r="A112" s="13" t="s">
        <v>458</v>
      </c>
      <c r="B112" s="138" t="s">
        <v>415</v>
      </c>
      <c r="C112" s="138" t="s">
        <v>306</v>
      </c>
      <c r="D112" s="18">
        <v>9972570.8200000003</v>
      </c>
      <c r="E112" s="92">
        <v>0.99130909160000003</v>
      </c>
      <c r="F112" s="18">
        <v>9885900.1199999992</v>
      </c>
      <c r="G112" s="18">
        <v>0.02</v>
      </c>
      <c r="H112" s="13"/>
      <c r="I112" s="13"/>
    </row>
    <row r="113" spans="1:9">
      <c r="A113" s="13" t="s">
        <v>459</v>
      </c>
      <c r="B113" s="138" t="s">
        <v>415</v>
      </c>
      <c r="C113" s="138" t="s">
        <v>306</v>
      </c>
      <c r="D113" s="18">
        <v>9972350.7799999993</v>
      </c>
      <c r="E113" s="92">
        <v>0.99130909229999997</v>
      </c>
      <c r="F113" s="15">
        <v>9885682</v>
      </c>
      <c r="G113" s="18">
        <v>0.02</v>
      </c>
      <c r="H113" s="13"/>
      <c r="I113" s="13"/>
    </row>
    <row r="114" spans="1:9">
      <c r="A114" s="13" t="s">
        <v>460</v>
      </c>
      <c r="B114" s="138" t="s">
        <v>415</v>
      </c>
      <c r="C114" s="138" t="s">
        <v>306</v>
      </c>
      <c r="D114" s="15">
        <v>9973200</v>
      </c>
      <c r="E114" s="92">
        <v>0.99130909229999997</v>
      </c>
      <c r="F114" s="18">
        <v>9886523.8399999999</v>
      </c>
      <c r="G114" s="18">
        <v>0.02</v>
      </c>
      <c r="H114" s="13"/>
      <c r="I114" s="13"/>
    </row>
    <row r="115" spans="1:9">
      <c r="A115" s="13" t="s">
        <v>461</v>
      </c>
      <c r="B115" s="138" t="s">
        <v>172</v>
      </c>
      <c r="C115" s="138" t="s">
        <v>306</v>
      </c>
      <c r="D115" s="18">
        <v>9972860.4499999993</v>
      </c>
      <c r="E115" s="92">
        <v>0.99238717009999999</v>
      </c>
      <c r="F115" s="18">
        <v>9896938.7599999998</v>
      </c>
      <c r="G115" s="18">
        <v>0.02</v>
      </c>
      <c r="H115" s="13"/>
      <c r="I115" s="13"/>
    </row>
    <row r="116" spans="1:9">
      <c r="A116" s="13" t="s">
        <v>462</v>
      </c>
      <c r="B116" s="138" t="s">
        <v>450</v>
      </c>
      <c r="C116" s="138" t="s">
        <v>306</v>
      </c>
      <c r="D116" s="18">
        <v>9973360.4700000007</v>
      </c>
      <c r="E116" s="92">
        <v>0.97645800120000004</v>
      </c>
      <c r="F116" s="18">
        <v>9738567.6300000008</v>
      </c>
      <c r="G116" s="18">
        <v>0.02</v>
      </c>
      <c r="H116" s="13"/>
      <c r="I116" s="13"/>
    </row>
    <row r="117" spans="1:9">
      <c r="A117" s="13" t="s">
        <v>471</v>
      </c>
      <c r="B117" s="138" t="s">
        <v>454</v>
      </c>
      <c r="C117" s="138" t="s">
        <v>316</v>
      </c>
      <c r="D117" s="18">
        <v>3243208.42</v>
      </c>
      <c r="E117" s="92">
        <v>0.98023418439999999</v>
      </c>
      <c r="F117" s="18">
        <v>3179103.76</v>
      </c>
      <c r="G117" s="18">
        <v>0.01</v>
      </c>
      <c r="H117" s="13"/>
      <c r="I117" s="13"/>
    </row>
    <row r="118" spans="1:9">
      <c r="A118" s="13" t="s">
        <v>472</v>
      </c>
      <c r="B118" s="138" t="s">
        <v>172</v>
      </c>
      <c r="C118" s="138" t="s">
        <v>316</v>
      </c>
      <c r="D118" s="15">
        <v>2500000</v>
      </c>
      <c r="E118" s="153">
        <v>0.99446912399999998</v>
      </c>
      <c r="F118" s="18">
        <v>2486172.81</v>
      </c>
      <c r="G118" s="15">
        <v>0</v>
      </c>
      <c r="H118" s="13"/>
      <c r="I118" s="13"/>
    </row>
    <row r="119" spans="1:9">
      <c r="A119" s="13" t="s">
        <v>473</v>
      </c>
      <c r="B119" s="138" t="s">
        <v>172</v>
      </c>
      <c r="C119" s="138" t="s">
        <v>316</v>
      </c>
      <c r="D119" s="15">
        <v>25000000</v>
      </c>
      <c r="E119" s="92">
        <v>0.99427949510000002</v>
      </c>
      <c r="F119" s="18">
        <v>24856987.379999999</v>
      </c>
      <c r="G119" s="18">
        <v>0.04</v>
      </c>
      <c r="H119" s="13"/>
      <c r="I119" s="13"/>
    </row>
    <row r="120" spans="1:9">
      <c r="A120" s="13" t="s">
        <v>474</v>
      </c>
      <c r="B120" s="138" t="s">
        <v>475</v>
      </c>
      <c r="C120" s="138" t="s">
        <v>316</v>
      </c>
      <c r="D120" s="15">
        <v>24000000</v>
      </c>
      <c r="E120" s="92">
        <v>0.98862406739999997</v>
      </c>
      <c r="F120" s="18">
        <v>23726977.620000001</v>
      </c>
      <c r="G120" s="18">
        <v>0.04</v>
      </c>
      <c r="H120" s="13"/>
      <c r="I120" s="13"/>
    </row>
    <row r="121" spans="1:9">
      <c r="A121" s="13" t="s">
        <v>476</v>
      </c>
      <c r="B121" s="138" t="s">
        <v>415</v>
      </c>
      <c r="C121" s="138" t="s">
        <v>316</v>
      </c>
      <c r="D121" s="15">
        <v>25000000</v>
      </c>
      <c r="E121" s="92">
        <v>0.99346761350000001</v>
      </c>
      <c r="F121" s="18">
        <v>24836690.34</v>
      </c>
      <c r="G121" s="18">
        <v>0.04</v>
      </c>
      <c r="H121" s="13"/>
      <c r="I121" s="13"/>
    </row>
    <row r="122" spans="1:9">
      <c r="A122" s="13" t="s">
        <v>477</v>
      </c>
      <c r="B122" s="138" t="s">
        <v>415</v>
      </c>
      <c r="C122" s="138" t="s">
        <v>316</v>
      </c>
      <c r="D122" s="15">
        <v>15000000</v>
      </c>
      <c r="E122" s="92">
        <v>0.99303515460000003</v>
      </c>
      <c r="F122" s="18">
        <v>14895527.32</v>
      </c>
      <c r="G122" s="18">
        <v>0.02</v>
      </c>
      <c r="H122" s="13"/>
      <c r="I122" s="13"/>
    </row>
    <row r="123" spans="1:9">
      <c r="A123" s="13" t="s">
        <v>478</v>
      </c>
      <c r="B123" s="138" t="s">
        <v>370</v>
      </c>
      <c r="C123" s="138" t="s">
        <v>316</v>
      </c>
      <c r="D123" s="15">
        <v>15000000</v>
      </c>
      <c r="E123" s="92">
        <v>0.99737676669999997</v>
      </c>
      <c r="F123" s="150">
        <v>14960651.5</v>
      </c>
      <c r="G123" s="18">
        <v>0.02</v>
      </c>
      <c r="H123" s="13"/>
      <c r="I123" s="13"/>
    </row>
    <row r="124" spans="1:9">
      <c r="A124" s="13" t="s">
        <v>479</v>
      </c>
      <c r="B124" s="138" t="s">
        <v>480</v>
      </c>
      <c r="C124" s="138" t="s">
        <v>316</v>
      </c>
      <c r="D124" s="15">
        <v>15000000</v>
      </c>
      <c r="E124" s="153">
        <v>0.99912405599999998</v>
      </c>
      <c r="F124" s="18">
        <v>14986860.84</v>
      </c>
      <c r="G124" s="18">
        <v>0.02</v>
      </c>
      <c r="H124" s="13"/>
      <c r="I124" s="13"/>
    </row>
    <row r="125" spans="1:9">
      <c r="A125" s="13" t="s">
        <v>482</v>
      </c>
      <c r="B125" s="138" t="s">
        <v>483</v>
      </c>
      <c r="C125" s="138" t="s">
        <v>316</v>
      </c>
      <c r="D125" s="18">
        <v>4463318.82</v>
      </c>
      <c r="E125" s="92">
        <v>0.97265902010000005</v>
      </c>
      <c r="F125" s="18">
        <v>4341287.3099999996</v>
      </c>
      <c r="G125" s="18">
        <v>0.01</v>
      </c>
      <c r="H125" s="13"/>
      <c r="I125" s="13"/>
    </row>
    <row r="126" spans="1:9">
      <c r="A126" s="13" t="s">
        <v>485</v>
      </c>
      <c r="B126" s="138" t="s">
        <v>415</v>
      </c>
      <c r="C126" s="138" t="s">
        <v>316</v>
      </c>
      <c r="D126" s="15">
        <v>10000000</v>
      </c>
      <c r="E126" s="92">
        <v>0.99346761390000005</v>
      </c>
      <c r="F126" s="18">
        <v>9934676.1400000006</v>
      </c>
      <c r="G126" s="18">
        <v>0.02</v>
      </c>
      <c r="H126" s="13"/>
      <c r="I126" s="13"/>
    </row>
    <row r="127" spans="1:9">
      <c r="A127" s="13" t="s">
        <v>486</v>
      </c>
      <c r="B127" s="138" t="s">
        <v>487</v>
      </c>
      <c r="C127" s="138" t="s">
        <v>316</v>
      </c>
      <c r="D127" s="15">
        <v>5000000</v>
      </c>
      <c r="E127" s="153">
        <v>0.995092702</v>
      </c>
      <c r="F127" s="18">
        <v>4975463.51</v>
      </c>
      <c r="G127" s="18">
        <v>0.01</v>
      </c>
      <c r="H127" s="13"/>
      <c r="I127" s="13"/>
    </row>
    <row r="128" spans="1:9">
      <c r="A128" s="13" t="s">
        <v>488</v>
      </c>
      <c r="B128" s="138" t="s">
        <v>489</v>
      </c>
      <c r="C128" s="138" t="s">
        <v>316</v>
      </c>
      <c r="D128" s="15">
        <v>7900000</v>
      </c>
      <c r="E128" s="153">
        <v>0.95399898299999997</v>
      </c>
      <c r="F128" s="18">
        <v>7536591.9699999997</v>
      </c>
      <c r="G128" s="18">
        <v>0.01</v>
      </c>
      <c r="H128" s="13"/>
      <c r="I128" s="13"/>
    </row>
    <row r="129" spans="1:16">
      <c r="A129" s="13" t="s">
        <v>490</v>
      </c>
      <c r="B129" s="138" t="s">
        <v>489</v>
      </c>
      <c r="C129" s="138" t="s">
        <v>316</v>
      </c>
      <c r="D129" s="15">
        <v>7203888</v>
      </c>
      <c r="E129" s="92">
        <v>0.95399898520000004</v>
      </c>
      <c r="F129" s="18">
        <v>6872501.8399999999</v>
      </c>
      <c r="G129" s="18">
        <v>0.01</v>
      </c>
      <c r="H129" s="13"/>
      <c r="I129" s="13"/>
    </row>
    <row r="130" spans="1:16">
      <c r="A130" s="13" t="s">
        <v>491</v>
      </c>
      <c r="B130" s="138" t="s">
        <v>492</v>
      </c>
      <c r="C130" s="138" t="s">
        <v>316</v>
      </c>
      <c r="D130" s="15">
        <v>7203888</v>
      </c>
      <c r="E130" s="92">
        <v>0.95700053880000002</v>
      </c>
      <c r="F130" s="150">
        <v>6894124.7000000002</v>
      </c>
      <c r="G130" s="18">
        <v>0.01</v>
      </c>
      <c r="H130" s="13"/>
      <c r="I130" s="13"/>
    </row>
    <row r="131" spans="1:16">
      <c r="A131" s="13" t="s">
        <v>493</v>
      </c>
      <c r="B131" s="138" t="s">
        <v>494</v>
      </c>
      <c r="C131" s="138" t="s">
        <v>316</v>
      </c>
      <c r="D131" s="15">
        <v>7203888</v>
      </c>
      <c r="E131" s="92">
        <v>0.95499743839999995</v>
      </c>
      <c r="F131" s="18">
        <v>6879694.5899999999</v>
      </c>
      <c r="G131" s="18">
        <v>0.01</v>
      </c>
      <c r="H131" s="13"/>
      <c r="I131" s="13"/>
    </row>
    <row r="132" spans="1:16">
      <c r="A132" s="13" t="s">
        <v>495</v>
      </c>
      <c r="B132" s="138" t="s">
        <v>494</v>
      </c>
      <c r="C132" s="138" t="s">
        <v>316</v>
      </c>
      <c r="D132" s="15">
        <v>7900000</v>
      </c>
      <c r="E132" s="92">
        <v>0.95499743839999995</v>
      </c>
      <c r="F132" s="18">
        <v>7544479.7599999998</v>
      </c>
      <c r="G132" s="18">
        <v>0.01</v>
      </c>
      <c r="H132" s="13"/>
      <c r="I132" s="13"/>
    </row>
    <row r="133" spans="1:16">
      <c r="A133" s="13" t="s">
        <v>524</v>
      </c>
      <c r="B133" s="138" t="s">
        <v>456</v>
      </c>
      <c r="C133" s="138" t="s">
        <v>350</v>
      </c>
      <c r="D133" s="15">
        <v>42000000</v>
      </c>
      <c r="E133" s="92">
        <v>0.98358890460000004</v>
      </c>
      <c r="F133" s="18">
        <v>41310733.990000002</v>
      </c>
      <c r="G133" s="18">
        <v>7.0000000000000007E-2</v>
      </c>
      <c r="H133" s="13"/>
      <c r="I133" s="13"/>
    </row>
    <row r="134" spans="1:16">
      <c r="A134" s="13" t="s">
        <v>525</v>
      </c>
      <c r="B134" s="138" t="s">
        <v>415</v>
      </c>
      <c r="C134" s="138" t="s">
        <v>350</v>
      </c>
      <c r="D134" s="15">
        <v>6000000</v>
      </c>
      <c r="E134" s="28">
        <v>0.99346760999999995</v>
      </c>
      <c r="F134" s="18">
        <v>5960805.6600000001</v>
      </c>
      <c r="G134" s="18">
        <v>0.01</v>
      </c>
      <c r="H134" s="13"/>
      <c r="I134" s="13"/>
    </row>
    <row r="135" spans="1:16">
      <c r="A135" s="13" t="s">
        <v>526</v>
      </c>
      <c r="B135" s="138" t="s">
        <v>527</v>
      </c>
      <c r="C135" s="138" t="s">
        <v>350</v>
      </c>
      <c r="D135" s="15">
        <v>6000000</v>
      </c>
      <c r="E135" s="92">
        <v>0.97671930640000004</v>
      </c>
      <c r="F135" s="18">
        <v>5860315.8399999999</v>
      </c>
      <c r="G135" s="18">
        <v>0.01</v>
      </c>
      <c r="H135" s="13"/>
      <c r="I135" s="13"/>
    </row>
    <row r="136" spans="1:16">
      <c r="A136" s="13" t="s">
        <v>528</v>
      </c>
      <c r="B136" s="138" t="s">
        <v>172</v>
      </c>
      <c r="C136" s="138" t="s">
        <v>350</v>
      </c>
      <c r="D136" s="15">
        <v>21395750</v>
      </c>
      <c r="E136" s="92">
        <v>0.9937110388</v>
      </c>
      <c r="F136" s="18">
        <v>21261192.960000001</v>
      </c>
      <c r="G136" s="18">
        <v>0.03</v>
      </c>
      <c r="H136" s="13"/>
      <c r="I136" s="13"/>
    </row>
    <row r="137" spans="1:16">
      <c r="A137" s="13" t="s">
        <v>529</v>
      </c>
      <c r="B137" s="138" t="s">
        <v>172</v>
      </c>
      <c r="C137" s="138" t="s">
        <v>350</v>
      </c>
      <c r="D137" s="15">
        <v>21395750</v>
      </c>
      <c r="E137" s="92">
        <v>0.9937110388</v>
      </c>
      <c r="F137" s="18">
        <v>21261192.960000001</v>
      </c>
      <c r="G137" s="18">
        <v>0.03</v>
      </c>
      <c r="H137" s="13"/>
      <c r="I137" s="13"/>
    </row>
    <row r="138" spans="1:16">
      <c r="A138" s="13" t="s">
        <v>530</v>
      </c>
      <c r="B138" s="138" t="s">
        <v>531</v>
      </c>
      <c r="C138" s="138" t="s">
        <v>350</v>
      </c>
      <c r="D138" s="15">
        <v>21387500</v>
      </c>
      <c r="E138" s="92">
        <v>0.96678503289999995</v>
      </c>
      <c r="F138" s="18">
        <v>20677114.890000001</v>
      </c>
      <c r="G138" s="18">
        <v>0.03</v>
      </c>
      <c r="H138" s="13"/>
      <c r="I138" s="13"/>
    </row>
    <row r="139" spans="1:16">
      <c r="A139" s="13" t="s">
        <v>532</v>
      </c>
      <c r="B139" s="138" t="s">
        <v>533</v>
      </c>
      <c r="C139" s="138" t="s">
        <v>350</v>
      </c>
      <c r="D139" s="15">
        <v>4250000</v>
      </c>
      <c r="E139" s="92">
        <v>0.98488940219999999</v>
      </c>
      <c r="F139" s="18">
        <v>4185779.96</v>
      </c>
      <c r="G139" s="18">
        <v>0.01</v>
      </c>
      <c r="H139" s="13"/>
      <c r="I139" s="13"/>
    </row>
    <row r="140" spans="1:16">
      <c r="A140" s="13" t="s">
        <v>534</v>
      </c>
      <c r="B140" s="138" t="s">
        <v>415</v>
      </c>
      <c r="C140" s="138" t="s">
        <v>350</v>
      </c>
      <c r="D140" s="15">
        <v>19999999</v>
      </c>
      <c r="E140" s="92">
        <v>0.99238716719999998</v>
      </c>
      <c r="F140" s="18">
        <v>19847742.350000001</v>
      </c>
      <c r="G140" s="18">
        <v>0.03</v>
      </c>
      <c r="H140" s="13"/>
      <c r="I140" s="13"/>
    </row>
    <row r="141" spans="1:16">
      <c r="A141" s="13" t="s">
        <v>540</v>
      </c>
      <c r="B141" s="138" t="s">
        <v>541</v>
      </c>
      <c r="C141" s="138" t="s">
        <v>308</v>
      </c>
      <c r="D141" s="15">
        <v>25000000</v>
      </c>
      <c r="E141" s="92">
        <v>0.9687865591</v>
      </c>
      <c r="F141" s="18">
        <v>24219663.98</v>
      </c>
      <c r="G141" s="18">
        <v>0.04</v>
      </c>
      <c r="H141" s="13"/>
      <c r="I141" s="13"/>
      <c r="O141" s="68"/>
      <c r="P141" s="9"/>
    </row>
    <row r="142" spans="1:16">
      <c r="A142" s="13" t="s">
        <v>542</v>
      </c>
      <c r="B142" s="138" t="s">
        <v>475</v>
      </c>
      <c r="C142" s="138" t="s">
        <v>308</v>
      </c>
      <c r="D142" s="15">
        <v>10000000</v>
      </c>
      <c r="E142" s="92">
        <v>0.98937440889999995</v>
      </c>
      <c r="F142" s="18">
        <v>9893744.0899999999</v>
      </c>
      <c r="G142" s="18">
        <v>0.02</v>
      </c>
      <c r="H142" s="13"/>
      <c r="I142" s="13"/>
      <c r="N142" s="68"/>
    </row>
    <row r="143" spans="1:16">
      <c r="A143" s="13" t="s">
        <v>543</v>
      </c>
      <c r="B143" s="138" t="s">
        <v>544</v>
      </c>
      <c r="C143" s="138" t="s">
        <v>308</v>
      </c>
      <c r="D143" s="15">
        <v>25000000</v>
      </c>
      <c r="E143" s="92">
        <v>0.96306074320000001</v>
      </c>
      <c r="F143" s="18">
        <v>24076518.579999998</v>
      </c>
      <c r="G143" s="18">
        <v>0.04</v>
      </c>
      <c r="H143" s="13"/>
      <c r="I143" s="13"/>
    </row>
    <row r="144" spans="1:16">
      <c r="A144" s="13" t="s">
        <v>545</v>
      </c>
      <c r="B144" s="138" t="s">
        <v>546</v>
      </c>
      <c r="C144" s="138" t="s">
        <v>308</v>
      </c>
      <c r="D144" s="15">
        <v>10000000</v>
      </c>
      <c r="E144" s="92">
        <v>0.98488936810000005</v>
      </c>
      <c r="F144" s="18">
        <v>9848893.6799999997</v>
      </c>
      <c r="G144" s="18">
        <v>0.02</v>
      </c>
      <c r="H144" s="13"/>
      <c r="I144" s="13"/>
    </row>
    <row r="145" spans="1:9">
      <c r="A145" s="13" t="s">
        <v>547</v>
      </c>
      <c r="B145" s="138" t="s">
        <v>450</v>
      </c>
      <c r="C145" s="138" t="s">
        <v>308</v>
      </c>
      <c r="D145" s="15">
        <v>10000000</v>
      </c>
      <c r="E145" s="92">
        <v>0.98340340209999999</v>
      </c>
      <c r="F145" s="18">
        <v>9834034.0199999996</v>
      </c>
      <c r="G145" s="18">
        <v>0.02</v>
      </c>
      <c r="H145" s="13"/>
      <c r="I145" s="13"/>
    </row>
    <row r="146" spans="1:9">
      <c r="A146" s="13" t="s">
        <v>548</v>
      </c>
      <c r="B146" s="138" t="s">
        <v>549</v>
      </c>
      <c r="C146" s="138" t="s">
        <v>308</v>
      </c>
      <c r="D146" s="15">
        <v>25000000</v>
      </c>
      <c r="E146" s="92">
        <v>0.96234975280000001</v>
      </c>
      <c r="F146" s="18">
        <v>24058743.82</v>
      </c>
      <c r="G146" s="18">
        <v>0.04</v>
      </c>
      <c r="H146" s="13"/>
      <c r="I146" s="13"/>
    </row>
    <row r="147" spans="1:9">
      <c r="A147" s="13" t="s">
        <v>550</v>
      </c>
      <c r="B147" s="138" t="s">
        <v>551</v>
      </c>
      <c r="C147" s="138" t="s">
        <v>308</v>
      </c>
      <c r="D147" s="15">
        <v>10000000</v>
      </c>
      <c r="E147" s="92">
        <v>0.98192191470000001</v>
      </c>
      <c r="F147" s="18">
        <v>9819219.1500000004</v>
      </c>
      <c r="G147" s="18">
        <v>0.02</v>
      </c>
      <c r="H147" s="13"/>
      <c r="I147" s="13"/>
    </row>
    <row r="148" spans="1:9">
      <c r="A148" s="13" t="s">
        <v>552</v>
      </c>
      <c r="B148" s="138" t="s">
        <v>553</v>
      </c>
      <c r="C148" s="138" t="s">
        <v>308</v>
      </c>
      <c r="D148" s="15">
        <v>25000000</v>
      </c>
      <c r="E148" s="92">
        <v>0.95881056080000004</v>
      </c>
      <c r="F148" s="18">
        <v>23970264.02</v>
      </c>
      <c r="G148" s="18">
        <v>0.04</v>
      </c>
      <c r="H148" s="13"/>
      <c r="I148" s="13"/>
    </row>
    <row r="149" spans="1:9">
      <c r="A149" s="13" t="s">
        <v>554</v>
      </c>
      <c r="B149" s="138" t="s">
        <v>555</v>
      </c>
      <c r="C149" s="138" t="s">
        <v>308</v>
      </c>
      <c r="D149" s="15">
        <v>25000000</v>
      </c>
      <c r="E149" s="92">
        <v>0.95810590669999995</v>
      </c>
      <c r="F149" s="18">
        <v>23952647.670000002</v>
      </c>
      <c r="G149" s="18">
        <v>0.04</v>
      </c>
      <c r="H149" s="13"/>
      <c r="I149" s="13"/>
    </row>
    <row r="150" spans="1:9">
      <c r="A150" s="13" t="s">
        <v>557</v>
      </c>
      <c r="B150" s="138" t="s">
        <v>527</v>
      </c>
      <c r="C150" s="138" t="s">
        <v>308</v>
      </c>
      <c r="D150" s="15">
        <v>10000000</v>
      </c>
      <c r="E150" s="92">
        <v>0.97823759089999995</v>
      </c>
      <c r="F150" s="18">
        <v>9782375.9100000001</v>
      </c>
      <c r="G150" s="18">
        <v>0.02</v>
      </c>
      <c r="H150" s="13"/>
      <c r="I150" s="13"/>
    </row>
    <row r="151" spans="1:9">
      <c r="A151" s="13" t="s">
        <v>558</v>
      </c>
      <c r="B151" s="138" t="s">
        <v>480</v>
      </c>
      <c r="C151" s="138" t="s">
        <v>308</v>
      </c>
      <c r="D151" s="15">
        <v>10000000</v>
      </c>
      <c r="E151" s="153">
        <v>0.99923346499999999</v>
      </c>
      <c r="F151" s="18">
        <v>9992334.6500000004</v>
      </c>
      <c r="G151" s="18">
        <v>0.02</v>
      </c>
      <c r="H151" s="13"/>
      <c r="I151" s="13"/>
    </row>
    <row r="152" spans="1:9">
      <c r="A152" s="13" t="s">
        <v>559</v>
      </c>
      <c r="B152" s="138" t="s">
        <v>560</v>
      </c>
      <c r="C152" s="138" t="s">
        <v>308</v>
      </c>
      <c r="D152" s="15">
        <v>10000000</v>
      </c>
      <c r="E152" s="92">
        <v>0.97385277329999997</v>
      </c>
      <c r="F152" s="18">
        <v>9738527.7300000004</v>
      </c>
      <c r="G152" s="18">
        <v>0.02</v>
      </c>
      <c r="H152" s="13"/>
      <c r="I152" s="13"/>
    </row>
    <row r="153" spans="1:9">
      <c r="A153" s="13" t="s">
        <v>561</v>
      </c>
      <c r="B153" s="138" t="s">
        <v>370</v>
      </c>
      <c r="C153" s="138" t="s">
        <v>308</v>
      </c>
      <c r="D153" s="15">
        <v>10000000</v>
      </c>
      <c r="E153" s="153">
        <v>0.99770391899999999</v>
      </c>
      <c r="F153" s="18">
        <v>9977039.1899999995</v>
      </c>
      <c r="G153" s="18">
        <v>0.02</v>
      </c>
      <c r="H153" s="13"/>
      <c r="I153" s="13"/>
    </row>
    <row r="154" spans="1:9">
      <c r="A154" s="13" t="s">
        <v>562</v>
      </c>
      <c r="B154" s="138" t="s">
        <v>531</v>
      </c>
      <c r="C154" s="138" t="s">
        <v>308</v>
      </c>
      <c r="D154" s="15">
        <v>15000000</v>
      </c>
      <c r="E154" s="92">
        <v>0.97167501190000005</v>
      </c>
      <c r="F154" s="18">
        <v>14575125.18</v>
      </c>
      <c r="G154" s="18">
        <v>0.02</v>
      </c>
      <c r="H154" s="13"/>
      <c r="I154" s="13"/>
    </row>
    <row r="155" spans="1:9">
      <c r="A155" s="13" t="s">
        <v>563</v>
      </c>
      <c r="B155" s="138" t="s">
        <v>415</v>
      </c>
      <c r="C155" s="138" t="s">
        <v>308</v>
      </c>
      <c r="D155" s="15">
        <v>10000000</v>
      </c>
      <c r="E155" s="92">
        <v>0.99390045110000003</v>
      </c>
      <c r="F155" s="18">
        <v>9939004.5099999998</v>
      </c>
      <c r="G155" s="18">
        <v>0.02</v>
      </c>
      <c r="H155" s="13"/>
      <c r="I155" s="13"/>
    </row>
    <row r="156" spans="1:9">
      <c r="A156" s="13" t="s">
        <v>564</v>
      </c>
      <c r="B156" s="138" t="s">
        <v>172</v>
      </c>
      <c r="C156" s="138" t="s">
        <v>308</v>
      </c>
      <c r="D156" s="15">
        <v>10000000</v>
      </c>
      <c r="E156" s="92">
        <v>0.99465882689999996</v>
      </c>
      <c r="F156" s="18">
        <v>9946588.2699999996</v>
      </c>
      <c r="G156" s="18">
        <v>0.02</v>
      </c>
      <c r="H156" s="13"/>
      <c r="I156" s="13"/>
    </row>
    <row r="157" spans="1:9">
      <c r="A157" s="13" t="s">
        <v>567</v>
      </c>
      <c r="B157" s="138" t="s">
        <v>568</v>
      </c>
      <c r="C157" s="138" t="s">
        <v>289</v>
      </c>
      <c r="D157" s="15">
        <v>8560000</v>
      </c>
      <c r="E157" s="92">
        <v>0.92771453110000002</v>
      </c>
      <c r="F157" s="18">
        <v>7941236.3899999997</v>
      </c>
      <c r="G157" s="18">
        <v>0.01</v>
      </c>
      <c r="H157" s="13"/>
      <c r="I157" s="13"/>
    </row>
    <row r="158" spans="1:9">
      <c r="A158" s="13" t="s">
        <v>569</v>
      </c>
      <c r="B158" s="138" t="s">
        <v>497</v>
      </c>
      <c r="C158" s="138" t="s">
        <v>289</v>
      </c>
      <c r="D158" s="15">
        <v>9450000</v>
      </c>
      <c r="E158" s="92">
        <v>0.92348961760000003</v>
      </c>
      <c r="F158" s="18">
        <v>8726976.8900000006</v>
      </c>
      <c r="G158" s="18">
        <v>0.01</v>
      </c>
      <c r="H158" s="13"/>
      <c r="I158" s="13"/>
    </row>
    <row r="159" spans="1:9">
      <c r="A159" s="13" t="s">
        <v>570</v>
      </c>
      <c r="B159" s="138" t="s">
        <v>571</v>
      </c>
      <c r="C159" s="138" t="s">
        <v>289</v>
      </c>
      <c r="D159" s="15">
        <v>9450000</v>
      </c>
      <c r="E159" s="153">
        <v>0.922649198</v>
      </c>
      <c r="F159" s="18">
        <v>8719034.9199999999</v>
      </c>
      <c r="G159" s="18">
        <v>0.01</v>
      </c>
      <c r="H159" s="13"/>
      <c r="I159" s="13"/>
    </row>
    <row r="160" spans="1:9">
      <c r="A160" s="13" t="s">
        <v>572</v>
      </c>
      <c r="B160" s="138" t="s">
        <v>573</v>
      </c>
      <c r="C160" s="138" t="s">
        <v>289</v>
      </c>
      <c r="D160" s="15">
        <v>9450000</v>
      </c>
      <c r="E160" s="92">
        <v>0.91680907219999996</v>
      </c>
      <c r="F160" s="18">
        <v>8663845.7300000004</v>
      </c>
      <c r="G160" s="18">
        <v>0.01</v>
      </c>
      <c r="H160" s="13"/>
      <c r="I160" s="13"/>
    </row>
    <row r="161" spans="1:9">
      <c r="A161" s="13" t="s">
        <v>574</v>
      </c>
      <c r="B161" s="138" t="s">
        <v>575</v>
      </c>
      <c r="C161" s="138" t="s">
        <v>289</v>
      </c>
      <c r="D161" s="15">
        <v>8560000</v>
      </c>
      <c r="E161" s="153">
        <v>0.928564206</v>
      </c>
      <c r="F161" s="150">
        <v>7948509.5999999996</v>
      </c>
      <c r="G161" s="18">
        <v>0.01</v>
      </c>
      <c r="H161" s="13"/>
      <c r="I161" s="13"/>
    </row>
    <row r="162" spans="1:9">
      <c r="A162" s="13" t="s">
        <v>576</v>
      </c>
      <c r="B162" s="138" t="s">
        <v>577</v>
      </c>
      <c r="C162" s="138" t="s">
        <v>289</v>
      </c>
      <c r="D162" s="15">
        <v>50000000</v>
      </c>
      <c r="E162" s="153">
        <v>0.97126136600000001</v>
      </c>
      <c r="F162" s="150">
        <v>48563068.299999997</v>
      </c>
      <c r="G162" s="18">
        <v>0.08</v>
      </c>
      <c r="H162" s="13"/>
      <c r="I162" s="13"/>
    </row>
    <row r="163" spans="1:9">
      <c r="A163" s="13" t="s">
        <v>578</v>
      </c>
      <c r="B163" s="138" t="s">
        <v>541</v>
      </c>
      <c r="C163" s="138" t="s">
        <v>289</v>
      </c>
      <c r="D163" s="15">
        <v>2500000</v>
      </c>
      <c r="E163" s="92">
        <v>0.96878652350000005</v>
      </c>
      <c r="F163" s="18">
        <v>2421966.31</v>
      </c>
      <c r="G163" s="15">
        <v>0</v>
      </c>
      <c r="H163" s="13"/>
      <c r="I163" s="13"/>
    </row>
    <row r="164" spans="1:9">
      <c r="A164" s="13" t="s">
        <v>579</v>
      </c>
      <c r="B164" s="138" t="s">
        <v>494</v>
      </c>
      <c r="C164" s="138" t="s">
        <v>289</v>
      </c>
      <c r="D164" s="15">
        <v>2500000</v>
      </c>
      <c r="E164" s="92">
        <v>0.96806711150000002</v>
      </c>
      <c r="F164" s="18">
        <v>2420167.7799999998</v>
      </c>
      <c r="G164" s="15">
        <v>0</v>
      </c>
      <c r="H164" s="13"/>
      <c r="I164" s="13"/>
    </row>
    <row r="165" spans="1:9">
      <c r="A165" s="13" t="s">
        <v>580</v>
      </c>
      <c r="B165" s="138" t="s">
        <v>581</v>
      </c>
      <c r="C165" s="138" t="s">
        <v>289</v>
      </c>
      <c r="D165" s="15">
        <v>2500000</v>
      </c>
      <c r="E165" s="92">
        <v>0.9666313836</v>
      </c>
      <c r="F165" s="18">
        <v>2416578.46</v>
      </c>
      <c r="G165" s="15">
        <v>0</v>
      </c>
      <c r="H165" s="13"/>
      <c r="I165" s="13"/>
    </row>
    <row r="166" spans="1:9">
      <c r="A166" s="13" t="s">
        <v>582</v>
      </c>
      <c r="B166" s="138" t="s">
        <v>544</v>
      </c>
      <c r="C166" s="138" t="s">
        <v>289</v>
      </c>
      <c r="D166" s="15">
        <v>2500000</v>
      </c>
      <c r="E166" s="92">
        <v>0.96306068349999996</v>
      </c>
      <c r="F166" s="18">
        <v>2407651.71</v>
      </c>
      <c r="G166" s="15">
        <v>0</v>
      </c>
      <c r="H166" s="13"/>
      <c r="I166" s="13"/>
    </row>
    <row r="167" spans="1:9">
      <c r="A167" s="13" t="s">
        <v>583</v>
      </c>
      <c r="B167" s="138" t="s">
        <v>549</v>
      </c>
      <c r="C167" s="138" t="s">
        <v>289</v>
      </c>
      <c r="D167" s="15">
        <v>2500000</v>
      </c>
      <c r="E167" s="92">
        <v>0.96234977219999995</v>
      </c>
      <c r="F167" s="18">
        <v>2405874.4300000002</v>
      </c>
      <c r="G167" s="15">
        <v>0</v>
      </c>
      <c r="H167" s="13"/>
      <c r="I167" s="13"/>
    </row>
    <row r="168" spans="1:9">
      <c r="A168" s="13" t="s">
        <v>584</v>
      </c>
      <c r="B168" s="138" t="s">
        <v>585</v>
      </c>
      <c r="C168" s="138" t="s">
        <v>289</v>
      </c>
      <c r="D168" s="15">
        <v>2500000</v>
      </c>
      <c r="E168" s="153">
        <v>0.95740222399999997</v>
      </c>
      <c r="F168" s="18">
        <v>2393505.56</v>
      </c>
      <c r="G168" s="15">
        <v>0</v>
      </c>
      <c r="H168" s="13"/>
      <c r="I168" s="13"/>
    </row>
    <row r="169" spans="1:9">
      <c r="A169" s="13" t="s">
        <v>586</v>
      </c>
      <c r="B169" s="138" t="s">
        <v>587</v>
      </c>
      <c r="C169" s="138" t="s">
        <v>289</v>
      </c>
      <c r="D169" s="15">
        <v>2500000</v>
      </c>
      <c r="E169" s="92">
        <v>0.95669956359999997</v>
      </c>
      <c r="F169" s="18">
        <v>2391748.91</v>
      </c>
      <c r="G169" s="15">
        <v>0</v>
      </c>
      <c r="H169" s="13"/>
      <c r="I169" s="13"/>
    </row>
    <row r="170" spans="1:9">
      <c r="A170" s="13" t="s">
        <v>588</v>
      </c>
      <c r="B170" s="138" t="s">
        <v>589</v>
      </c>
      <c r="C170" s="138" t="s">
        <v>289</v>
      </c>
      <c r="D170" s="15">
        <v>2500000</v>
      </c>
      <c r="E170" s="92">
        <v>0.9545978356</v>
      </c>
      <c r="F170" s="18">
        <v>2386494.59</v>
      </c>
      <c r="G170" s="15">
        <v>0</v>
      </c>
      <c r="H170" s="13"/>
      <c r="I170" s="13"/>
    </row>
    <row r="171" spans="1:9">
      <c r="A171" s="13" t="s">
        <v>590</v>
      </c>
      <c r="B171" s="138" t="s">
        <v>591</v>
      </c>
      <c r="C171" s="138" t="s">
        <v>289</v>
      </c>
      <c r="D171" s="15">
        <v>2500000</v>
      </c>
      <c r="E171" s="92">
        <v>0.95320173549999998</v>
      </c>
      <c r="F171" s="18">
        <v>2383004.34</v>
      </c>
      <c r="G171" s="15">
        <v>0</v>
      </c>
      <c r="H171" s="13"/>
      <c r="I171" s="13"/>
    </row>
    <row r="172" spans="1:9">
      <c r="A172" s="13" t="s">
        <v>592</v>
      </c>
      <c r="B172" s="138" t="s">
        <v>593</v>
      </c>
      <c r="C172" s="138" t="s">
        <v>289</v>
      </c>
      <c r="D172" s="15">
        <v>2500000</v>
      </c>
      <c r="E172" s="152">
        <v>0.9525053</v>
      </c>
      <c r="F172" s="18">
        <v>2381263.25</v>
      </c>
      <c r="G172" s="15">
        <v>0</v>
      </c>
      <c r="H172" s="13"/>
      <c r="I172" s="13"/>
    </row>
    <row r="173" spans="1:9">
      <c r="A173" s="13" t="s">
        <v>594</v>
      </c>
      <c r="B173" s="138" t="s">
        <v>595</v>
      </c>
      <c r="C173" s="138" t="s">
        <v>289</v>
      </c>
      <c r="D173" s="15">
        <v>2500000</v>
      </c>
      <c r="E173" s="92">
        <v>0.94972946380000001</v>
      </c>
      <c r="F173" s="18">
        <v>2374323.66</v>
      </c>
      <c r="G173" s="15">
        <v>0</v>
      </c>
      <c r="H173" s="13"/>
      <c r="I173" s="13"/>
    </row>
    <row r="174" spans="1:9">
      <c r="A174" s="13" t="s">
        <v>596</v>
      </c>
      <c r="B174" s="138" t="s">
        <v>553</v>
      </c>
      <c r="C174" s="138" t="s">
        <v>289</v>
      </c>
      <c r="D174" s="15">
        <v>2500000</v>
      </c>
      <c r="E174" s="92">
        <v>0.95881059189999995</v>
      </c>
      <c r="F174" s="18">
        <v>2397026.48</v>
      </c>
      <c r="G174" s="15">
        <v>0</v>
      </c>
      <c r="H174" s="13"/>
      <c r="I174" s="13"/>
    </row>
    <row r="175" spans="1:9">
      <c r="A175" s="13" t="s">
        <v>597</v>
      </c>
      <c r="B175" s="138" t="s">
        <v>598</v>
      </c>
      <c r="C175" s="138" t="s">
        <v>289</v>
      </c>
      <c r="D175" s="15">
        <v>2500000</v>
      </c>
      <c r="E175" s="153">
        <v>0.95389927200000002</v>
      </c>
      <c r="F175" s="18">
        <v>2384748.1800000002</v>
      </c>
      <c r="G175" s="15">
        <v>0</v>
      </c>
      <c r="H175" s="13"/>
      <c r="I175" s="13"/>
    </row>
    <row r="176" spans="1:9">
      <c r="A176" s="13" t="s">
        <v>599</v>
      </c>
      <c r="B176" s="138" t="s">
        <v>600</v>
      </c>
      <c r="C176" s="138" t="s">
        <v>289</v>
      </c>
      <c r="D176" s="15">
        <v>2500000</v>
      </c>
      <c r="E176" s="92">
        <v>0.95951636380000005</v>
      </c>
      <c r="F176" s="18">
        <v>2398790.91</v>
      </c>
      <c r="G176" s="15">
        <v>0</v>
      </c>
      <c r="H176" s="13"/>
      <c r="I176" s="13"/>
    </row>
    <row r="177" spans="1:14">
      <c r="A177" s="13" t="s">
        <v>602</v>
      </c>
      <c r="B177" s="138" t="s">
        <v>603</v>
      </c>
      <c r="C177" s="138" t="s">
        <v>289</v>
      </c>
      <c r="D177" s="15">
        <v>3000000</v>
      </c>
      <c r="E177" s="28">
        <v>0.97434666999999997</v>
      </c>
      <c r="F177" s="18">
        <v>2923040.01</v>
      </c>
      <c r="G177" s="15">
        <v>0</v>
      </c>
      <c r="H177" s="13"/>
      <c r="I177" s="13"/>
    </row>
    <row r="178" spans="1:14">
      <c r="A178" s="13" t="s">
        <v>604</v>
      </c>
      <c r="B178" s="138" t="s">
        <v>551</v>
      </c>
      <c r="C178" s="138" t="s">
        <v>289</v>
      </c>
      <c r="D178" s="15">
        <v>3000000</v>
      </c>
      <c r="E178" s="28">
        <v>0.98002363999999997</v>
      </c>
      <c r="F178" s="18">
        <v>2940070.92</v>
      </c>
      <c r="G178" s="15">
        <v>0</v>
      </c>
      <c r="H178" s="13"/>
      <c r="I178" s="13"/>
      <c r="N178" s="68"/>
    </row>
    <row r="179" spans="1:14">
      <c r="A179" s="13" t="s">
        <v>605</v>
      </c>
      <c r="B179" s="138" t="s">
        <v>527</v>
      </c>
      <c r="C179" s="138" t="s">
        <v>289</v>
      </c>
      <c r="D179" s="15">
        <v>3000000</v>
      </c>
      <c r="E179" s="92">
        <v>0.97596197330000001</v>
      </c>
      <c r="F179" s="18">
        <v>2927885.92</v>
      </c>
      <c r="G179" s="15">
        <v>0</v>
      </c>
      <c r="H179" s="13"/>
      <c r="I179" s="13"/>
    </row>
    <row r="180" spans="1:14">
      <c r="A180" s="13" t="s">
        <v>606</v>
      </c>
      <c r="B180" s="138" t="s">
        <v>607</v>
      </c>
      <c r="C180" s="138" t="s">
        <v>289</v>
      </c>
      <c r="D180" s="15">
        <v>25000000</v>
      </c>
      <c r="E180" s="92">
        <v>0.9782375687</v>
      </c>
      <c r="F180" s="18">
        <v>24455939.219999999</v>
      </c>
      <c r="G180" s="18">
        <v>0.04</v>
      </c>
      <c r="H180" s="13"/>
      <c r="I180" s="13"/>
    </row>
    <row r="181" spans="1:14">
      <c r="A181" s="13" t="s">
        <v>608</v>
      </c>
      <c r="B181" s="138" t="s">
        <v>480</v>
      </c>
      <c r="C181" s="138" t="s">
        <v>289</v>
      </c>
      <c r="D181" s="15">
        <v>10000000</v>
      </c>
      <c r="E181" s="153">
        <v>0.99920611199999998</v>
      </c>
      <c r="F181" s="18">
        <v>9992061.1199999992</v>
      </c>
      <c r="G181" s="18">
        <v>0.02</v>
      </c>
      <c r="H181" s="13"/>
      <c r="I181" s="13"/>
    </row>
    <row r="182" spans="1:14">
      <c r="A182" s="13" t="s">
        <v>609</v>
      </c>
      <c r="B182" s="138" t="s">
        <v>610</v>
      </c>
      <c r="C182" s="138" t="s">
        <v>289</v>
      </c>
      <c r="D182" s="15">
        <v>10000000</v>
      </c>
      <c r="E182" s="153">
        <v>0.99841348100000005</v>
      </c>
      <c r="F182" s="18">
        <v>9984134.8100000005</v>
      </c>
      <c r="G182" s="18">
        <v>0.02</v>
      </c>
      <c r="H182" s="13"/>
      <c r="I182" s="13"/>
    </row>
    <row r="183" spans="1:14">
      <c r="A183" s="13" t="s">
        <v>611</v>
      </c>
      <c r="B183" s="138" t="s">
        <v>370</v>
      </c>
      <c r="C183" s="138" t="s">
        <v>289</v>
      </c>
      <c r="D183" s="15">
        <v>10000000</v>
      </c>
      <c r="E183" s="153">
        <v>0.99762211300000003</v>
      </c>
      <c r="F183" s="18">
        <v>9976221.1300000008</v>
      </c>
      <c r="G183" s="18">
        <v>0.02</v>
      </c>
      <c r="H183" s="13"/>
      <c r="I183" s="13"/>
    </row>
    <row r="184" spans="1:14">
      <c r="A184" s="13" t="s">
        <v>612</v>
      </c>
      <c r="B184" s="138" t="s">
        <v>487</v>
      </c>
      <c r="C184" s="138" t="s">
        <v>289</v>
      </c>
      <c r="D184" s="15">
        <v>10000000</v>
      </c>
      <c r="E184" s="153">
        <v>0.99525549599999996</v>
      </c>
      <c r="F184" s="18">
        <v>9952554.9600000009</v>
      </c>
      <c r="G184" s="18">
        <v>0.02</v>
      </c>
      <c r="H184" s="13"/>
      <c r="I184" s="13"/>
    </row>
    <row r="185" spans="1:14">
      <c r="A185" s="13" t="s">
        <v>613</v>
      </c>
      <c r="B185" s="138" t="s">
        <v>172</v>
      </c>
      <c r="C185" s="138" t="s">
        <v>289</v>
      </c>
      <c r="D185" s="15">
        <v>10000000</v>
      </c>
      <c r="E185" s="92">
        <v>0.99446912990000003</v>
      </c>
      <c r="F185" s="150">
        <v>9944691.3000000007</v>
      </c>
      <c r="G185" s="18">
        <v>0.02</v>
      </c>
      <c r="H185" s="13"/>
      <c r="I185" s="13"/>
    </row>
    <row r="186" spans="1:14">
      <c r="A186" s="13" t="s">
        <v>615</v>
      </c>
      <c r="B186" s="138" t="s">
        <v>172</v>
      </c>
      <c r="C186" s="138" t="s">
        <v>289</v>
      </c>
      <c r="D186" s="15">
        <v>4500000</v>
      </c>
      <c r="E186" s="92">
        <v>0.99276507110000001</v>
      </c>
      <c r="F186" s="18">
        <v>4467442.82</v>
      </c>
      <c r="G186" s="18">
        <v>0.01</v>
      </c>
      <c r="H186" s="13"/>
      <c r="I186" s="13"/>
    </row>
    <row r="187" spans="1:14">
      <c r="A187" s="13" t="s">
        <v>616</v>
      </c>
      <c r="B187" s="138" t="s">
        <v>483</v>
      </c>
      <c r="C187" s="138" t="s">
        <v>289</v>
      </c>
      <c r="D187" s="15">
        <v>4500000</v>
      </c>
      <c r="E187" s="92">
        <v>0.97265898029999998</v>
      </c>
      <c r="F187" s="18">
        <v>4376965.41</v>
      </c>
      <c r="G187" s="18">
        <v>0.01</v>
      </c>
      <c r="H187" s="13"/>
      <c r="I187" s="13"/>
    </row>
    <row r="188" spans="1:14">
      <c r="A188" s="13" t="s">
        <v>617</v>
      </c>
      <c r="B188" s="138" t="s">
        <v>480</v>
      </c>
      <c r="C188" s="138" t="s">
        <v>289</v>
      </c>
      <c r="D188" s="15">
        <v>4500000</v>
      </c>
      <c r="E188" s="92">
        <v>0.99895998880000003</v>
      </c>
      <c r="F188" s="18">
        <v>4495319.95</v>
      </c>
      <c r="G188" s="18">
        <v>0.01</v>
      </c>
      <c r="H188" s="13"/>
      <c r="I188" s="13"/>
    </row>
    <row r="189" spans="1:14">
      <c r="A189" s="13" t="s">
        <v>618</v>
      </c>
      <c r="B189" s="138" t="s">
        <v>475</v>
      </c>
      <c r="C189" s="138" t="s">
        <v>289</v>
      </c>
      <c r="D189" s="18">
        <v>7162509.1500000004</v>
      </c>
      <c r="E189" s="92">
        <v>0.98563408050000001</v>
      </c>
      <c r="F189" s="18">
        <v>7059613.1200000001</v>
      </c>
      <c r="G189" s="18">
        <v>0.01</v>
      </c>
      <c r="H189" s="13"/>
      <c r="I189" s="13"/>
    </row>
    <row r="190" spans="1:14">
      <c r="A190" s="13" t="s">
        <v>619</v>
      </c>
      <c r="B190" s="138" t="s">
        <v>553</v>
      </c>
      <c r="C190" s="138" t="s">
        <v>289</v>
      </c>
      <c r="D190" s="18">
        <v>6899161.7699999996</v>
      </c>
      <c r="E190" s="92">
        <v>0.94491047149999996</v>
      </c>
      <c r="F190" s="150">
        <v>6519090.2000000002</v>
      </c>
      <c r="G190" s="18">
        <v>0.01</v>
      </c>
      <c r="H190" s="13"/>
      <c r="I190" s="13"/>
    </row>
    <row r="191" spans="1:14">
      <c r="A191" s="13" t="s">
        <v>620</v>
      </c>
      <c r="B191" s="138" t="s">
        <v>560</v>
      </c>
      <c r="C191" s="138" t="s">
        <v>289</v>
      </c>
      <c r="D191" s="18">
        <v>6899161.7699999996</v>
      </c>
      <c r="E191" s="92">
        <v>0.96484272719999997</v>
      </c>
      <c r="F191" s="18">
        <v>6656606.0599999996</v>
      </c>
      <c r="G191" s="18">
        <v>0.01</v>
      </c>
      <c r="H191" s="13"/>
      <c r="I191" s="13"/>
      <c r="N191" s="68"/>
    </row>
    <row r="192" spans="1:14">
      <c r="A192" s="13" t="s">
        <v>621</v>
      </c>
      <c r="B192" s="138" t="s">
        <v>622</v>
      </c>
      <c r="C192" s="138" t="s">
        <v>289</v>
      </c>
      <c r="D192" s="18">
        <v>7133529.1399999997</v>
      </c>
      <c r="E192" s="92">
        <v>0.98462370880000005</v>
      </c>
      <c r="F192" s="18">
        <v>7023841.9199999999</v>
      </c>
      <c r="G192" s="18">
        <v>0.01</v>
      </c>
      <c r="H192" s="13"/>
      <c r="I192" s="13"/>
    </row>
    <row r="193" spans="1:17">
      <c r="A193" s="13" t="s">
        <v>623</v>
      </c>
      <c r="B193" s="138" t="s">
        <v>555</v>
      </c>
      <c r="C193" s="138" t="s">
        <v>289</v>
      </c>
      <c r="D193" s="18">
        <v>7133529.1399999997</v>
      </c>
      <c r="E193" s="92">
        <v>0.94398180809999999</v>
      </c>
      <c r="F193" s="18">
        <v>6733921.7400000002</v>
      </c>
      <c r="G193" s="18">
        <v>0.01</v>
      </c>
      <c r="H193" s="13"/>
      <c r="I193" s="13"/>
    </row>
    <row r="194" spans="1:17">
      <c r="A194" s="13" t="s">
        <v>624</v>
      </c>
      <c r="B194" s="138" t="s">
        <v>577</v>
      </c>
      <c r="C194" s="138" t="s">
        <v>289</v>
      </c>
      <c r="D194" s="18">
        <v>4500591.28</v>
      </c>
      <c r="E194" s="92">
        <v>0.96387458020000005</v>
      </c>
      <c r="F194" s="18">
        <v>4338005.53</v>
      </c>
      <c r="G194" s="18">
        <v>0.01</v>
      </c>
      <c r="H194" s="13"/>
      <c r="I194" s="13"/>
    </row>
    <row r="195" spans="1:17">
      <c r="A195" s="13" t="s">
        <v>628</v>
      </c>
      <c r="B195" s="138" t="s">
        <v>600</v>
      </c>
      <c r="C195" s="138" t="s">
        <v>352</v>
      </c>
      <c r="D195" s="15">
        <v>1500000</v>
      </c>
      <c r="E195" s="92">
        <v>0.94990249289999995</v>
      </c>
      <c r="F195" s="18">
        <v>1424853.74</v>
      </c>
      <c r="G195" s="15">
        <v>0</v>
      </c>
      <c r="H195" s="13"/>
      <c r="I195" s="13"/>
    </row>
    <row r="196" spans="1:17">
      <c r="A196" s="13" t="s">
        <v>629</v>
      </c>
      <c r="B196" s="138" t="s">
        <v>571</v>
      </c>
      <c r="C196" s="138" t="s">
        <v>352</v>
      </c>
      <c r="D196" s="15">
        <v>1500000</v>
      </c>
      <c r="E196" s="92">
        <v>0.92463593310000003</v>
      </c>
      <c r="F196" s="150">
        <v>1386953.9</v>
      </c>
      <c r="G196" s="15">
        <v>0</v>
      </c>
      <c r="H196" s="13"/>
      <c r="I196" s="13"/>
    </row>
    <row r="197" spans="1:17">
      <c r="A197" s="13" t="s">
        <v>630</v>
      </c>
      <c r="B197" s="138" t="s">
        <v>454</v>
      </c>
      <c r="C197" s="138" t="s">
        <v>352</v>
      </c>
      <c r="D197" s="15">
        <v>1500000</v>
      </c>
      <c r="E197" s="28">
        <v>0.97842116000000001</v>
      </c>
      <c r="F197" s="18">
        <v>1467631.74</v>
      </c>
      <c r="G197" s="15">
        <v>0</v>
      </c>
      <c r="H197" s="13"/>
      <c r="I197" s="13"/>
    </row>
    <row r="198" spans="1:17">
      <c r="A198" s="13" t="s">
        <v>631</v>
      </c>
      <c r="B198" s="138" t="s">
        <v>415</v>
      </c>
      <c r="C198" s="138" t="s">
        <v>352</v>
      </c>
      <c r="D198" s="15">
        <v>10000000</v>
      </c>
      <c r="E198" s="92">
        <v>0.99238718510000001</v>
      </c>
      <c r="F198" s="18">
        <v>9923871.8499999996</v>
      </c>
      <c r="G198" s="18">
        <v>0.02</v>
      </c>
      <c r="H198" s="13"/>
      <c r="I198" s="13"/>
    </row>
    <row r="199" spans="1:17">
      <c r="A199" s="13" t="s">
        <v>640</v>
      </c>
      <c r="B199" s="138" t="s">
        <v>487</v>
      </c>
      <c r="C199" s="138" t="s">
        <v>313</v>
      </c>
      <c r="D199" s="15">
        <v>5600000</v>
      </c>
      <c r="E199" s="92">
        <v>0.99460461950000001</v>
      </c>
      <c r="F199" s="18">
        <v>5569785.8700000001</v>
      </c>
      <c r="G199" s="18">
        <v>0.01</v>
      </c>
      <c r="H199" s="13"/>
      <c r="I199" s="13"/>
    </row>
    <row r="200" spans="1:17">
      <c r="A200" s="13" t="s">
        <v>641</v>
      </c>
      <c r="B200" s="138" t="s">
        <v>492</v>
      </c>
      <c r="C200" s="138" t="s">
        <v>313</v>
      </c>
      <c r="D200" s="18">
        <v>6500236.5700000003</v>
      </c>
      <c r="E200" s="92">
        <v>0.95906248979999997</v>
      </c>
      <c r="F200" s="18">
        <v>6234133.0700000003</v>
      </c>
      <c r="G200" s="18">
        <v>0.01</v>
      </c>
      <c r="H200" s="13"/>
      <c r="I200" s="13"/>
    </row>
    <row r="201" spans="1:17">
      <c r="A201" s="13" t="s">
        <v>642</v>
      </c>
      <c r="B201" s="138" t="s">
        <v>480</v>
      </c>
      <c r="C201" s="138" t="s">
        <v>313</v>
      </c>
      <c r="D201" s="150">
        <v>2398145.2000000002</v>
      </c>
      <c r="E201" s="92">
        <v>0.99895998789999996</v>
      </c>
      <c r="F201" s="150">
        <v>2395651.1</v>
      </c>
      <c r="G201" s="15">
        <v>0</v>
      </c>
      <c r="H201" s="13"/>
      <c r="I201" s="13"/>
    </row>
    <row r="202" spans="1:17">
      <c r="A202" s="13" t="s">
        <v>643</v>
      </c>
      <c r="B202" s="138" t="s">
        <v>591</v>
      </c>
      <c r="C202" s="138" t="s">
        <v>313</v>
      </c>
      <c r="D202" s="18">
        <v>3511491.25</v>
      </c>
      <c r="E202" s="153">
        <v>0.93753219200000004</v>
      </c>
      <c r="F202" s="18">
        <v>3292136.09</v>
      </c>
      <c r="G202" s="18">
        <v>0.01</v>
      </c>
      <c r="H202" s="13"/>
      <c r="I202" s="13"/>
    </row>
    <row r="203" spans="1:17">
      <c r="A203" s="13" t="s">
        <v>644</v>
      </c>
      <c r="B203" s="138" t="s">
        <v>645</v>
      </c>
      <c r="C203" s="138" t="s">
        <v>313</v>
      </c>
      <c r="D203" s="18">
        <v>4957711.8099999996</v>
      </c>
      <c r="E203" s="153">
        <v>0.986646511</v>
      </c>
      <c r="F203" s="18">
        <v>4891509.0599999996</v>
      </c>
      <c r="G203" s="18">
        <v>0.01</v>
      </c>
      <c r="H203" s="13"/>
      <c r="I203" s="13"/>
      <c r="Q203" s="9"/>
    </row>
    <row r="204" spans="1:17">
      <c r="A204" s="13" t="s">
        <v>646</v>
      </c>
      <c r="B204" s="138" t="s">
        <v>647</v>
      </c>
      <c r="C204" s="138" t="s">
        <v>313</v>
      </c>
      <c r="D204" s="18">
        <v>4957711.8099999996</v>
      </c>
      <c r="E204" s="92">
        <v>0.98260919489999998</v>
      </c>
      <c r="F204" s="18">
        <v>4871493.21</v>
      </c>
      <c r="G204" s="18">
        <v>0.01</v>
      </c>
      <c r="H204" s="13"/>
      <c r="I204" s="13"/>
    </row>
    <row r="205" spans="1:17">
      <c r="A205" s="13" t="s">
        <v>648</v>
      </c>
      <c r="B205" s="138" t="s">
        <v>647</v>
      </c>
      <c r="C205" s="138" t="s">
        <v>313</v>
      </c>
      <c r="D205" s="150">
        <v>100046704.59999999</v>
      </c>
      <c r="E205" s="92">
        <v>0.98803531860000005</v>
      </c>
      <c r="F205" s="18">
        <v>98849677.650000006</v>
      </c>
      <c r="G205" s="18">
        <v>0.16</v>
      </c>
      <c r="H205" s="13"/>
      <c r="I205" s="13"/>
    </row>
    <row r="206" spans="1:17">
      <c r="A206" s="13" t="s">
        <v>649</v>
      </c>
      <c r="B206" s="138" t="s">
        <v>551</v>
      </c>
      <c r="C206" s="138" t="s">
        <v>313</v>
      </c>
      <c r="D206" s="150">
        <v>215007207.40000001</v>
      </c>
      <c r="E206" s="92">
        <v>0.98319149630000002</v>
      </c>
      <c r="F206" s="18">
        <v>211393257.96000001</v>
      </c>
      <c r="G206" s="18">
        <v>0.35</v>
      </c>
      <c r="H206" s="13"/>
      <c r="I206" s="13"/>
    </row>
    <row r="207" spans="1:17">
      <c r="A207" s="13" t="s">
        <v>650</v>
      </c>
      <c r="B207" s="138" t="s">
        <v>551</v>
      </c>
      <c r="C207" s="138" t="s">
        <v>313</v>
      </c>
      <c r="D207" s="18">
        <v>29857329.09</v>
      </c>
      <c r="E207" s="92">
        <v>0.98319149630000002</v>
      </c>
      <c r="F207" s="18">
        <v>29355472.059999999</v>
      </c>
      <c r="G207" s="18">
        <v>0.05</v>
      </c>
      <c r="H207" s="13"/>
      <c r="I207" s="13"/>
    </row>
    <row r="208" spans="1:17">
      <c r="A208" s="13" t="s">
        <v>651</v>
      </c>
      <c r="B208" s="138" t="s">
        <v>551</v>
      </c>
      <c r="C208" s="138" t="s">
        <v>313</v>
      </c>
      <c r="D208" s="18">
        <v>92806889.260000005</v>
      </c>
      <c r="E208" s="92">
        <v>0.98319149630000002</v>
      </c>
      <c r="F208" s="18">
        <v>91246944.319999993</v>
      </c>
      <c r="G208" s="18">
        <v>0.15</v>
      </c>
      <c r="H208" s="13"/>
      <c r="I208" s="13"/>
    </row>
    <row r="209" spans="1:9">
      <c r="A209" s="13" t="s">
        <v>652</v>
      </c>
      <c r="B209" s="138" t="s">
        <v>551</v>
      </c>
      <c r="C209" s="138" t="s">
        <v>313</v>
      </c>
      <c r="D209" s="18">
        <v>20411147.440000001</v>
      </c>
      <c r="E209" s="92">
        <v>0.98319149630000002</v>
      </c>
      <c r="F209" s="18">
        <v>20068066.59</v>
      </c>
      <c r="G209" s="18">
        <v>0.03</v>
      </c>
      <c r="H209" s="13"/>
      <c r="I209" s="13"/>
    </row>
    <row r="210" spans="1:9">
      <c r="A210" s="13" t="s">
        <v>653</v>
      </c>
      <c r="B210" s="138" t="s">
        <v>551</v>
      </c>
      <c r="C210" s="138" t="s">
        <v>313</v>
      </c>
      <c r="D210" s="18">
        <v>68728608.280000001</v>
      </c>
      <c r="E210" s="92">
        <v>0.98319149630000002</v>
      </c>
      <c r="F210" s="18">
        <v>67573383.209999993</v>
      </c>
      <c r="G210" s="18">
        <v>0.11</v>
      </c>
      <c r="H210" s="13"/>
      <c r="I210" s="13"/>
    </row>
    <row r="211" spans="1:9">
      <c r="A211" s="13" t="s">
        <v>654</v>
      </c>
      <c r="B211" s="138" t="s">
        <v>551</v>
      </c>
      <c r="C211" s="138" t="s">
        <v>313</v>
      </c>
      <c r="D211" s="18">
        <v>6875275.0899999999</v>
      </c>
      <c r="E211" s="92">
        <v>0.98319149439999998</v>
      </c>
      <c r="F211" s="18">
        <v>6759711.9900000002</v>
      </c>
      <c r="G211" s="18">
        <v>0.01</v>
      </c>
      <c r="H211" s="13"/>
      <c r="I211" s="13"/>
    </row>
    <row r="212" spans="1:9">
      <c r="A212" s="13" t="s">
        <v>655</v>
      </c>
      <c r="B212" s="138" t="s">
        <v>551</v>
      </c>
      <c r="C212" s="138" t="s">
        <v>313</v>
      </c>
      <c r="D212" s="18">
        <v>6937722.3200000003</v>
      </c>
      <c r="E212" s="153">
        <v>0.98319149500000003</v>
      </c>
      <c r="F212" s="18">
        <v>6821109.5800000001</v>
      </c>
      <c r="G212" s="18">
        <v>0.01</v>
      </c>
      <c r="H212" s="13"/>
      <c r="I212" s="13"/>
    </row>
    <row r="213" spans="1:9">
      <c r="A213" s="13" t="s">
        <v>656</v>
      </c>
      <c r="B213" s="138" t="s">
        <v>551</v>
      </c>
      <c r="C213" s="138" t="s">
        <v>313</v>
      </c>
      <c r="D213" s="18">
        <v>3090146.07</v>
      </c>
      <c r="E213" s="92">
        <v>0.98319149380000004</v>
      </c>
      <c r="F213" s="18">
        <v>3038205.33</v>
      </c>
      <c r="G213" s="15">
        <v>0</v>
      </c>
      <c r="H213" s="13"/>
      <c r="I213" s="13"/>
    </row>
    <row r="214" spans="1:9">
      <c r="A214" s="13" t="s">
        <v>657</v>
      </c>
      <c r="B214" s="138" t="s">
        <v>551</v>
      </c>
      <c r="C214" s="138" t="s">
        <v>313</v>
      </c>
      <c r="D214" s="18">
        <v>7075968.3200000003</v>
      </c>
      <c r="E214" s="92">
        <v>0.98319149630000002</v>
      </c>
      <c r="F214" s="18">
        <v>6957031.8799999999</v>
      </c>
      <c r="G214" s="18">
        <v>0.01</v>
      </c>
      <c r="H214" s="13"/>
      <c r="I214" s="13"/>
    </row>
    <row r="215" spans="1:9">
      <c r="A215" s="13" t="s">
        <v>658</v>
      </c>
      <c r="B215" s="138" t="s">
        <v>551</v>
      </c>
      <c r="C215" s="138" t="s">
        <v>313</v>
      </c>
      <c r="D215" s="18">
        <v>11809132.970000001</v>
      </c>
      <c r="E215" s="92">
        <v>0.98319149569999997</v>
      </c>
      <c r="F215" s="18">
        <v>11610639.109999999</v>
      </c>
      <c r="G215" s="18">
        <v>0.02</v>
      </c>
      <c r="H215" s="13"/>
      <c r="I215" s="13"/>
    </row>
    <row r="216" spans="1:9">
      <c r="A216" s="13" t="s">
        <v>659</v>
      </c>
      <c r="B216" s="138" t="s">
        <v>551</v>
      </c>
      <c r="C216" s="138" t="s">
        <v>313</v>
      </c>
      <c r="D216" s="18">
        <v>31694713.280000001</v>
      </c>
      <c r="E216" s="92">
        <v>0.98319149630000002</v>
      </c>
      <c r="F216" s="18">
        <v>31161972.57</v>
      </c>
      <c r="G216" s="18">
        <v>0.05</v>
      </c>
      <c r="H216" s="13"/>
      <c r="I216" s="13"/>
    </row>
    <row r="217" spans="1:9">
      <c r="A217" s="13" t="s">
        <v>660</v>
      </c>
      <c r="B217" s="138" t="s">
        <v>551</v>
      </c>
      <c r="C217" s="138" t="s">
        <v>313</v>
      </c>
      <c r="D217" s="18">
        <v>20011620.16</v>
      </c>
      <c r="E217" s="92">
        <v>0.98319149630000002</v>
      </c>
      <c r="F217" s="18">
        <v>19675254.77</v>
      </c>
      <c r="G217" s="18">
        <v>0.03</v>
      </c>
      <c r="H217" s="13"/>
      <c r="I217" s="13"/>
    </row>
    <row r="218" spans="1:9">
      <c r="A218" s="13" t="s">
        <v>661</v>
      </c>
      <c r="B218" s="138" t="s">
        <v>551</v>
      </c>
      <c r="C218" s="138" t="s">
        <v>313</v>
      </c>
      <c r="D218" s="15">
        <v>34118781</v>
      </c>
      <c r="E218" s="92">
        <v>0.98319149630000002</v>
      </c>
      <c r="F218" s="18">
        <v>33545295.34</v>
      </c>
      <c r="G218" s="18">
        <v>0.05</v>
      </c>
      <c r="H218" s="13"/>
      <c r="I218" s="13"/>
    </row>
    <row r="219" spans="1:9">
      <c r="A219" s="13" t="s">
        <v>663</v>
      </c>
      <c r="B219" s="138" t="s">
        <v>454</v>
      </c>
      <c r="C219" s="138" t="s">
        <v>331</v>
      </c>
      <c r="D219" s="15">
        <v>16500000</v>
      </c>
      <c r="E219" s="92">
        <v>0.98084006840000004</v>
      </c>
      <c r="F219" s="18">
        <v>16183861.130000001</v>
      </c>
      <c r="G219" s="18">
        <v>0.03</v>
      </c>
      <c r="H219" s="13"/>
      <c r="I219" s="13"/>
    </row>
    <row r="220" spans="1:9">
      <c r="A220" s="13" t="s">
        <v>664</v>
      </c>
      <c r="B220" s="138" t="s">
        <v>531</v>
      </c>
      <c r="C220" s="138" t="s">
        <v>331</v>
      </c>
      <c r="D220" s="15">
        <v>16500000</v>
      </c>
      <c r="E220" s="92">
        <v>0.96873512070000001</v>
      </c>
      <c r="F220" s="18">
        <v>15984129.49</v>
      </c>
      <c r="G220" s="18">
        <v>0.03</v>
      </c>
      <c r="H220" s="13"/>
      <c r="I220" s="13"/>
    </row>
    <row r="221" spans="1:9">
      <c r="A221" s="13" t="s">
        <v>665</v>
      </c>
      <c r="B221" s="138" t="s">
        <v>600</v>
      </c>
      <c r="C221" s="138" t="s">
        <v>331</v>
      </c>
      <c r="D221" s="15">
        <v>16500000</v>
      </c>
      <c r="E221" s="153">
        <v>0.95537233899999996</v>
      </c>
      <c r="F221" s="18">
        <v>15763643.59</v>
      </c>
      <c r="G221" s="18">
        <v>0.03</v>
      </c>
      <c r="H221" s="13"/>
      <c r="I221" s="13"/>
    </row>
    <row r="222" spans="1:9">
      <c r="A222" s="13" t="s">
        <v>666</v>
      </c>
      <c r="B222" s="138" t="s">
        <v>172</v>
      </c>
      <c r="C222" s="138" t="s">
        <v>331</v>
      </c>
      <c r="D222" s="15">
        <v>10000000</v>
      </c>
      <c r="E222" s="92">
        <v>0.99446912210000005</v>
      </c>
      <c r="F222" s="18">
        <v>9944691.2200000007</v>
      </c>
      <c r="G222" s="18">
        <v>0.02</v>
      </c>
      <c r="H222" s="13"/>
      <c r="I222" s="13"/>
    </row>
    <row r="223" spans="1:9">
      <c r="A223" s="13" t="s">
        <v>667</v>
      </c>
      <c r="B223" s="138" t="s">
        <v>487</v>
      </c>
      <c r="C223" s="138" t="s">
        <v>331</v>
      </c>
      <c r="D223" s="15">
        <v>10000000</v>
      </c>
      <c r="E223" s="153">
        <v>0.99525550200000001</v>
      </c>
      <c r="F223" s="18">
        <v>9952555.0199999996</v>
      </c>
      <c r="G223" s="18">
        <v>0.02</v>
      </c>
      <c r="H223" s="13"/>
      <c r="I223" s="13"/>
    </row>
    <row r="224" spans="1:9">
      <c r="A224" s="13" t="s">
        <v>669</v>
      </c>
      <c r="B224" s="138" t="s">
        <v>610</v>
      </c>
      <c r="C224" s="138" t="s">
        <v>331</v>
      </c>
      <c r="D224" s="15">
        <v>10000000</v>
      </c>
      <c r="E224" s="153">
        <v>0.99841348299999999</v>
      </c>
      <c r="F224" s="18">
        <v>9984134.8300000001</v>
      </c>
      <c r="G224" s="18">
        <v>0.02</v>
      </c>
      <c r="H224" s="13"/>
      <c r="I224" s="13"/>
    </row>
    <row r="225" spans="1:9">
      <c r="A225" s="13" t="s">
        <v>670</v>
      </c>
      <c r="B225" s="138" t="s">
        <v>480</v>
      </c>
      <c r="C225" s="138" t="s">
        <v>331</v>
      </c>
      <c r="D225" s="15">
        <v>10000000</v>
      </c>
      <c r="E225" s="153">
        <v>0.99920611199999998</v>
      </c>
      <c r="F225" s="18">
        <v>9992061.1199999992</v>
      </c>
      <c r="G225" s="18">
        <v>0.02</v>
      </c>
      <c r="H225" s="13"/>
      <c r="I225" s="13"/>
    </row>
    <row r="226" spans="1:9">
      <c r="A226" s="13" t="s">
        <v>671</v>
      </c>
      <c r="B226" s="138" t="s">
        <v>370</v>
      </c>
      <c r="C226" s="138" t="s">
        <v>331</v>
      </c>
      <c r="D226" s="15">
        <v>10000000</v>
      </c>
      <c r="E226" s="153">
        <v>0.99762210799999995</v>
      </c>
      <c r="F226" s="18">
        <v>9976221.0800000001</v>
      </c>
      <c r="G226" s="18">
        <v>0.02</v>
      </c>
      <c r="H226" s="13"/>
      <c r="I226" s="13"/>
    </row>
    <row r="227" spans="1:9">
      <c r="A227" s="13" t="s">
        <v>672</v>
      </c>
      <c r="B227" s="138" t="s">
        <v>533</v>
      </c>
      <c r="C227" s="138" t="s">
        <v>155</v>
      </c>
      <c r="D227" s="15">
        <v>5500000</v>
      </c>
      <c r="E227" s="92">
        <v>0.98744724549999996</v>
      </c>
      <c r="F227" s="18">
        <v>5430959.8499999996</v>
      </c>
      <c r="G227" s="18">
        <v>0.01</v>
      </c>
      <c r="H227" s="13"/>
      <c r="I227" s="13"/>
    </row>
    <row r="228" spans="1:9">
      <c r="A228" s="13" t="s">
        <v>675</v>
      </c>
      <c r="B228" s="138" t="s">
        <v>568</v>
      </c>
      <c r="C228" s="138" t="s">
        <v>303</v>
      </c>
      <c r="D228" s="15">
        <v>17118303</v>
      </c>
      <c r="E228" s="92">
        <v>0.94093993939999998</v>
      </c>
      <c r="F228" s="18">
        <v>16107294.99</v>
      </c>
      <c r="G228" s="18">
        <v>0.03</v>
      </c>
      <c r="H228" s="13"/>
      <c r="I228" s="13"/>
    </row>
    <row r="229" spans="1:9">
      <c r="A229" s="13" t="s">
        <v>676</v>
      </c>
      <c r="B229" s="138" t="s">
        <v>480</v>
      </c>
      <c r="C229" s="138" t="s">
        <v>303</v>
      </c>
      <c r="D229" s="15">
        <v>1040000</v>
      </c>
      <c r="E229" s="92">
        <v>0.99917875960000002</v>
      </c>
      <c r="F229" s="18">
        <v>1039145.91</v>
      </c>
      <c r="G229" s="15">
        <v>0</v>
      </c>
      <c r="H229" s="13"/>
      <c r="I229" s="13"/>
    </row>
    <row r="230" spans="1:9">
      <c r="A230" s="13" t="s">
        <v>677</v>
      </c>
      <c r="B230" s="138" t="s">
        <v>444</v>
      </c>
      <c r="C230" s="138" t="s">
        <v>303</v>
      </c>
      <c r="D230" s="15">
        <v>5000000</v>
      </c>
      <c r="E230" s="153">
        <v>0.99184783200000004</v>
      </c>
      <c r="F230" s="18">
        <v>4959239.16</v>
      </c>
      <c r="G230" s="18">
        <v>0.01</v>
      </c>
      <c r="H230" s="13"/>
      <c r="I230" s="13"/>
    </row>
    <row r="231" spans="1:9">
      <c r="A231" s="13" t="s">
        <v>678</v>
      </c>
      <c r="B231" s="138" t="s">
        <v>370</v>
      </c>
      <c r="C231" s="138" t="s">
        <v>303</v>
      </c>
      <c r="D231" s="15">
        <v>40000000</v>
      </c>
      <c r="E231" s="92">
        <v>0.99762210689999997</v>
      </c>
      <c r="F231" s="18">
        <v>39904884.280000001</v>
      </c>
      <c r="G231" s="18">
        <v>7.0000000000000007E-2</v>
      </c>
      <c r="H231" s="13"/>
      <c r="I231" s="13"/>
    </row>
    <row r="232" spans="1:9">
      <c r="A232" s="13" t="s">
        <v>679</v>
      </c>
      <c r="B232" s="138" t="s">
        <v>610</v>
      </c>
      <c r="C232" s="138" t="s">
        <v>303</v>
      </c>
      <c r="D232" s="15">
        <v>40000000</v>
      </c>
      <c r="E232" s="92">
        <v>0.99841348169999999</v>
      </c>
      <c r="F232" s="18">
        <v>39936539.270000003</v>
      </c>
      <c r="G232" s="18">
        <v>7.0000000000000007E-2</v>
      </c>
      <c r="H232" s="13"/>
      <c r="I232" s="13"/>
    </row>
    <row r="233" spans="1:9">
      <c r="A233" s="13" t="s">
        <v>680</v>
      </c>
      <c r="B233" s="138" t="s">
        <v>475</v>
      </c>
      <c r="C233" s="138" t="s">
        <v>303</v>
      </c>
      <c r="D233" s="18">
        <v>11923076.92</v>
      </c>
      <c r="E233" s="92">
        <v>0.98899908059999997</v>
      </c>
      <c r="F233" s="18">
        <v>11791912.109999999</v>
      </c>
      <c r="G233" s="18">
        <v>0.02</v>
      </c>
      <c r="H233" s="13"/>
      <c r="I233" s="13"/>
    </row>
    <row r="234" spans="1:9">
      <c r="A234" s="13" t="s">
        <v>682</v>
      </c>
      <c r="B234" s="138" t="s">
        <v>487</v>
      </c>
      <c r="C234" s="138" t="s">
        <v>303</v>
      </c>
      <c r="D234" s="15">
        <v>35000000</v>
      </c>
      <c r="E234" s="92">
        <v>0.99541835270000001</v>
      </c>
      <c r="F234" s="18">
        <v>34839642.340000004</v>
      </c>
      <c r="G234" s="18">
        <v>0.06</v>
      </c>
      <c r="H234" s="13"/>
      <c r="I234" s="13"/>
    </row>
    <row r="235" spans="1:9">
      <c r="A235" s="13" t="s">
        <v>683</v>
      </c>
      <c r="B235" s="138" t="s">
        <v>577</v>
      </c>
      <c r="C235" s="138" t="s">
        <v>303</v>
      </c>
      <c r="D235" s="15">
        <v>35000000</v>
      </c>
      <c r="E235" s="92">
        <v>0.9731257378</v>
      </c>
      <c r="F235" s="18">
        <v>34059400.82</v>
      </c>
      <c r="G235" s="18">
        <v>0.06</v>
      </c>
      <c r="H235" s="13"/>
      <c r="I235" s="13"/>
    </row>
    <row r="236" spans="1:9">
      <c r="A236" s="13" t="s">
        <v>684</v>
      </c>
      <c r="B236" s="138" t="s">
        <v>591</v>
      </c>
      <c r="C236" s="138" t="s">
        <v>303</v>
      </c>
      <c r="D236" s="15">
        <v>30000000</v>
      </c>
      <c r="E236" s="92">
        <v>0.95320174980000005</v>
      </c>
      <c r="F236" s="18">
        <v>28596052.489999998</v>
      </c>
      <c r="G236" s="18">
        <v>0.05</v>
      </c>
      <c r="H236" s="13"/>
      <c r="I236" s="13"/>
    </row>
    <row r="237" spans="1:9">
      <c r="A237" s="13" t="s">
        <v>685</v>
      </c>
      <c r="B237" s="138" t="s">
        <v>444</v>
      </c>
      <c r="C237" s="138" t="s">
        <v>303</v>
      </c>
      <c r="D237" s="15">
        <v>10000000</v>
      </c>
      <c r="E237" s="92">
        <v>0.99211742889999999</v>
      </c>
      <c r="F237" s="18">
        <v>9921174.2899999991</v>
      </c>
      <c r="G237" s="18">
        <v>0.02</v>
      </c>
      <c r="H237" s="13"/>
      <c r="I237" s="13"/>
    </row>
    <row r="238" spans="1:9">
      <c r="A238" s="13" t="s">
        <v>686</v>
      </c>
      <c r="B238" s="138" t="s">
        <v>475</v>
      </c>
      <c r="C238" s="138" t="s">
        <v>303</v>
      </c>
      <c r="D238" s="15">
        <v>10000000</v>
      </c>
      <c r="E238" s="92">
        <v>0.98899908290000005</v>
      </c>
      <c r="F238" s="18">
        <v>9889990.8300000001</v>
      </c>
      <c r="G238" s="18">
        <v>0.02</v>
      </c>
      <c r="H238" s="13"/>
      <c r="I238" s="13"/>
    </row>
    <row r="239" spans="1:9">
      <c r="A239" s="13" t="s">
        <v>687</v>
      </c>
      <c r="B239" s="138" t="s">
        <v>622</v>
      </c>
      <c r="C239" s="138" t="s">
        <v>303</v>
      </c>
      <c r="D239" s="15">
        <v>10000000</v>
      </c>
      <c r="E239" s="28">
        <v>0.98822257999999996</v>
      </c>
      <c r="F239" s="150">
        <v>9882225.8000000007</v>
      </c>
      <c r="G239" s="18">
        <v>0.02</v>
      </c>
      <c r="H239" s="13"/>
      <c r="I239" s="13"/>
    </row>
    <row r="240" spans="1:9">
      <c r="A240" s="13" t="s">
        <v>688</v>
      </c>
      <c r="B240" s="138" t="s">
        <v>487</v>
      </c>
      <c r="C240" s="138" t="s">
        <v>303</v>
      </c>
      <c r="D240" s="15">
        <v>10000000</v>
      </c>
      <c r="E240" s="92">
        <v>0.99427949289999995</v>
      </c>
      <c r="F240" s="18">
        <v>9942794.9299999997</v>
      </c>
      <c r="G240" s="18">
        <v>0.02</v>
      </c>
      <c r="H240" s="13"/>
      <c r="I240" s="13"/>
    </row>
    <row r="241" spans="1:18">
      <c r="A241" s="13" t="s">
        <v>689</v>
      </c>
      <c r="B241" s="138" t="s">
        <v>591</v>
      </c>
      <c r="C241" s="138" t="s">
        <v>317</v>
      </c>
      <c r="D241" s="15">
        <v>100000000</v>
      </c>
      <c r="E241" s="92">
        <v>0.95320175939999996</v>
      </c>
      <c r="F241" s="18">
        <v>95320175.939999998</v>
      </c>
      <c r="G241" s="18">
        <v>0.16</v>
      </c>
      <c r="H241" s="13"/>
      <c r="I241" s="13"/>
    </row>
    <row r="242" spans="1:18">
      <c r="A242" s="13" t="s">
        <v>690</v>
      </c>
      <c r="B242" s="138" t="s">
        <v>480</v>
      </c>
      <c r="C242" s="138" t="s">
        <v>317</v>
      </c>
      <c r="D242" s="15">
        <v>5000000</v>
      </c>
      <c r="E242" s="153">
        <v>0.99923346599999996</v>
      </c>
      <c r="F242" s="18">
        <v>4996167.33</v>
      </c>
      <c r="G242" s="18">
        <v>0.01</v>
      </c>
      <c r="H242" s="13"/>
      <c r="I242" s="13"/>
    </row>
    <row r="243" spans="1:18">
      <c r="A243" s="13" t="s">
        <v>691</v>
      </c>
      <c r="B243" s="138" t="s">
        <v>610</v>
      </c>
      <c r="C243" s="138" t="s">
        <v>317</v>
      </c>
      <c r="D243" s="15">
        <v>5000000</v>
      </c>
      <c r="E243" s="153">
        <v>0.99846810600000002</v>
      </c>
      <c r="F243" s="18">
        <v>4992340.53</v>
      </c>
      <c r="G243" s="18">
        <v>0.01</v>
      </c>
      <c r="H243" s="13"/>
      <c r="I243" s="13"/>
    </row>
    <row r="244" spans="1:18">
      <c r="A244" s="13" t="s">
        <v>692</v>
      </c>
      <c r="B244" s="138" t="s">
        <v>415</v>
      </c>
      <c r="C244" s="138" t="s">
        <v>317</v>
      </c>
      <c r="D244" s="15">
        <v>50000000</v>
      </c>
      <c r="E244" s="92">
        <v>0.99346762690000001</v>
      </c>
      <c r="F244" s="18">
        <v>49673381.350000001</v>
      </c>
      <c r="G244" s="18">
        <v>0.08</v>
      </c>
      <c r="H244" s="13"/>
      <c r="I244" s="13"/>
    </row>
    <row r="245" spans="1:18">
      <c r="A245" s="13" t="s">
        <v>693</v>
      </c>
      <c r="B245" s="138" t="s">
        <v>415</v>
      </c>
      <c r="C245" s="138" t="s">
        <v>317</v>
      </c>
      <c r="D245" s="15">
        <v>50000000</v>
      </c>
      <c r="E245" s="92">
        <v>0.99346762690000001</v>
      </c>
      <c r="F245" s="18">
        <v>49673381.350000001</v>
      </c>
      <c r="G245" s="18">
        <v>0.08</v>
      </c>
      <c r="H245" s="13"/>
      <c r="I245" s="13"/>
    </row>
    <row r="246" spans="1:18">
      <c r="A246" s="13" t="s">
        <v>696</v>
      </c>
      <c r="B246" s="138" t="s">
        <v>450</v>
      </c>
      <c r="C246" s="138" t="s">
        <v>288</v>
      </c>
      <c r="D246" s="15">
        <v>10000000</v>
      </c>
      <c r="E246" s="92">
        <v>0.9834033968</v>
      </c>
      <c r="F246" s="18">
        <v>9834033.9700000007</v>
      </c>
      <c r="G246" s="18">
        <v>0.02</v>
      </c>
      <c r="H246" s="13"/>
      <c r="I246" s="13"/>
    </row>
    <row r="247" spans="1:18">
      <c r="A247" s="13" t="s">
        <v>697</v>
      </c>
      <c r="B247" s="138" t="s">
        <v>527</v>
      </c>
      <c r="C247" s="138" t="s">
        <v>288</v>
      </c>
      <c r="D247" s="15">
        <v>10000000</v>
      </c>
      <c r="E247" s="92">
        <v>0.97823758490000001</v>
      </c>
      <c r="F247" s="18">
        <v>9782375.8499999996</v>
      </c>
      <c r="G247" s="18">
        <v>0.02</v>
      </c>
      <c r="H247" s="13"/>
      <c r="I247" s="13"/>
    </row>
    <row r="248" spans="1:18">
      <c r="A248" s="13" t="s">
        <v>698</v>
      </c>
      <c r="B248" s="138" t="s">
        <v>577</v>
      </c>
      <c r="C248" s="138" t="s">
        <v>288</v>
      </c>
      <c r="D248" s="15">
        <v>10000000</v>
      </c>
      <c r="E248" s="92">
        <v>0.97219265710000002</v>
      </c>
      <c r="F248" s="18">
        <v>9721926.5700000003</v>
      </c>
      <c r="G248" s="18">
        <v>0.02</v>
      </c>
      <c r="H248" s="13"/>
      <c r="I248" s="13"/>
      <c r="R248" s="9"/>
    </row>
    <row r="249" spans="1:18">
      <c r="A249" s="13" t="s">
        <v>699</v>
      </c>
      <c r="B249" s="138" t="s">
        <v>531</v>
      </c>
      <c r="C249" s="138" t="s">
        <v>288</v>
      </c>
      <c r="D249" s="15">
        <v>10000000</v>
      </c>
      <c r="E249" s="153">
        <v>0.970693111</v>
      </c>
      <c r="F249" s="18">
        <v>9706931.1099999994</v>
      </c>
      <c r="G249" s="18">
        <v>0.02</v>
      </c>
      <c r="H249" s="13"/>
      <c r="I249" s="13"/>
    </row>
    <row r="250" spans="1:18">
      <c r="A250" s="13" t="s">
        <v>700</v>
      </c>
      <c r="B250" s="138" t="s">
        <v>475</v>
      </c>
      <c r="C250" s="138" t="s">
        <v>288</v>
      </c>
      <c r="D250" s="15">
        <v>60000000</v>
      </c>
      <c r="E250" s="92">
        <v>0.9886240677</v>
      </c>
      <c r="F250" s="18">
        <v>59317444.060000002</v>
      </c>
      <c r="G250" s="150">
        <v>0.1</v>
      </c>
      <c r="H250" s="13"/>
      <c r="I250" s="13"/>
    </row>
    <row r="251" spans="1:18">
      <c r="A251" s="13" t="s">
        <v>705</v>
      </c>
      <c r="B251" s="138" t="s">
        <v>622</v>
      </c>
      <c r="C251" s="138" t="s">
        <v>319</v>
      </c>
      <c r="D251" s="15">
        <v>25000000</v>
      </c>
      <c r="E251" s="153">
        <v>0.987020012</v>
      </c>
      <c r="F251" s="150">
        <v>24675500.300000001</v>
      </c>
      <c r="G251" s="18">
        <v>0.04</v>
      </c>
      <c r="H251" s="13"/>
      <c r="I251" s="13"/>
    </row>
    <row r="252" spans="1:18">
      <c r="A252" s="13" t="s">
        <v>711</v>
      </c>
      <c r="B252" s="138" t="s">
        <v>712</v>
      </c>
      <c r="C252" s="138" t="s">
        <v>315</v>
      </c>
      <c r="D252" s="18">
        <v>11923076.92</v>
      </c>
      <c r="E252" s="92">
        <v>0.94412832260000001</v>
      </c>
      <c r="F252" s="18">
        <v>11256914.609999999</v>
      </c>
      <c r="G252" s="18">
        <v>0.02</v>
      </c>
      <c r="H252" s="13"/>
      <c r="I252" s="13"/>
    </row>
    <row r="253" spans="1:18">
      <c r="A253" s="13" t="s">
        <v>713</v>
      </c>
      <c r="B253" s="138" t="s">
        <v>555</v>
      </c>
      <c r="C253" s="138" t="s">
        <v>315</v>
      </c>
      <c r="D253" s="18">
        <v>11923076.92</v>
      </c>
      <c r="E253" s="92">
        <v>0.95524735019999996</v>
      </c>
      <c r="F253" s="18">
        <v>11389487.630000001</v>
      </c>
      <c r="G253" s="18">
        <v>0.02</v>
      </c>
      <c r="H253" s="13"/>
      <c r="I253" s="13"/>
    </row>
    <row r="254" spans="1:18">
      <c r="A254" s="13" t="s">
        <v>714</v>
      </c>
      <c r="B254" s="138" t="s">
        <v>533</v>
      </c>
      <c r="C254" s="138" t="s">
        <v>315</v>
      </c>
      <c r="D254" s="15">
        <v>10000000</v>
      </c>
      <c r="E254" s="92">
        <v>0.98702003390000004</v>
      </c>
      <c r="F254" s="18">
        <v>9870200.3399999999</v>
      </c>
      <c r="G254" s="18">
        <v>0.02</v>
      </c>
      <c r="H254" s="13"/>
      <c r="I254" s="13"/>
    </row>
    <row r="255" spans="1:18">
      <c r="A255" s="13" t="s">
        <v>715</v>
      </c>
      <c r="B255" s="138" t="s">
        <v>456</v>
      </c>
      <c r="C255" s="138" t="s">
        <v>309</v>
      </c>
      <c r="D255" s="15">
        <v>150000000</v>
      </c>
      <c r="E255" s="92">
        <v>0.98470339559999998</v>
      </c>
      <c r="F255" s="18">
        <v>147705509.34</v>
      </c>
      <c r="G255" s="18">
        <v>0.24</v>
      </c>
      <c r="H255" s="13"/>
      <c r="I255" s="13"/>
    </row>
    <row r="256" spans="1:18">
      <c r="A256" s="13" t="s">
        <v>716</v>
      </c>
      <c r="B256" s="138" t="s">
        <v>475</v>
      </c>
      <c r="C256" s="138" t="s">
        <v>309</v>
      </c>
      <c r="D256" s="15">
        <v>12166667</v>
      </c>
      <c r="E256" s="92">
        <v>0.9848893876</v>
      </c>
      <c r="F256" s="18">
        <v>11982821.210000001</v>
      </c>
      <c r="G256" s="18">
        <v>0.02</v>
      </c>
      <c r="H256" s="13"/>
      <c r="I256" s="13"/>
    </row>
    <row r="257" spans="1:18">
      <c r="A257" s="13" t="s">
        <v>717</v>
      </c>
      <c r="B257" s="138" t="s">
        <v>622</v>
      </c>
      <c r="C257" s="138" t="s">
        <v>309</v>
      </c>
      <c r="D257" s="15">
        <v>15166667</v>
      </c>
      <c r="E257" s="92">
        <v>0.98382749960000004</v>
      </c>
      <c r="F257" s="18">
        <v>14921384.07</v>
      </c>
      <c r="G257" s="18">
        <v>0.02</v>
      </c>
      <c r="H257" s="13"/>
      <c r="I257" s="13"/>
    </row>
    <row r="258" spans="1:18">
      <c r="A258" s="13" t="s">
        <v>718</v>
      </c>
      <c r="B258" s="138" t="s">
        <v>452</v>
      </c>
      <c r="C258" s="138" t="s">
        <v>309</v>
      </c>
      <c r="D258" s="15">
        <v>12166667</v>
      </c>
      <c r="E258" s="92">
        <v>0.99023333849999995</v>
      </c>
      <c r="F258" s="18">
        <v>12047839.279999999</v>
      </c>
      <c r="G258" s="18">
        <v>0.02</v>
      </c>
      <c r="H258" s="13"/>
      <c r="I258" s="13"/>
    </row>
    <row r="259" spans="1:18">
      <c r="A259" s="13" t="s">
        <v>719</v>
      </c>
      <c r="B259" s="138" t="s">
        <v>444</v>
      </c>
      <c r="C259" s="138" t="s">
        <v>309</v>
      </c>
      <c r="D259" s="15">
        <v>15166667</v>
      </c>
      <c r="E259" s="153">
        <v>0.98915990899999995</v>
      </c>
      <c r="F259" s="18">
        <v>15002258.949999999</v>
      </c>
      <c r="G259" s="18">
        <v>0.02</v>
      </c>
      <c r="H259" s="13"/>
      <c r="I259" s="13"/>
    </row>
    <row r="260" spans="1:18">
      <c r="A260" s="13" t="s">
        <v>720</v>
      </c>
      <c r="B260" s="138" t="s">
        <v>480</v>
      </c>
      <c r="C260" s="138" t="s">
        <v>309</v>
      </c>
      <c r="D260" s="15">
        <v>10000000</v>
      </c>
      <c r="E260" s="28">
        <v>0.99917876000000005</v>
      </c>
      <c r="F260" s="150">
        <v>9991787.5999999996</v>
      </c>
      <c r="G260" s="18">
        <v>0.02</v>
      </c>
      <c r="H260" s="13"/>
      <c r="I260" s="13"/>
    </row>
    <row r="261" spans="1:18">
      <c r="A261" s="13" t="s">
        <v>724</v>
      </c>
      <c r="B261" s="138" t="s">
        <v>415</v>
      </c>
      <c r="C261" s="138" t="s">
        <v>322</v>
      </c>
      <c r="D261" s="15">
        <v>10000000</v>
      </c>
      <c r="E261" s="92">
        <v>0.99346761689999996</v>
      </c>
      <c r="F261" s="18">
        <v>9934676.1699999999</v>
      </c>
      <c r="G261" s="18">
        <v>0.02</v>
      </c>
      <c r="H261" s="13"/>
      <c r="I261" s="13"/>
    </row>
    <row r="262" spans="1:18">
      <c r="A262" s="13" t="s">
        <v>725</v>
      </c>
      <c r="B262" s="138" t="s">
        <v>489</v>
      </c>
      <c r="C262" s="138" t="s">
        <v>322</v>
      </c>
      <c r="D262" s="15">
        <v>3750000</v>
      </c>
      <c r="E262" s="92">
        <v>0.95509738649999998</v>
      </c>
      <c r="F262" s="150">
        <v>3581615.2</v>
      </c>
      <c r="G262" s="18">
        <v>0.01</v>
      </c>
      <c r="H262" s="13"/>
      <c r="I262" s="13"/>
    </row>
    <row r="263" spans="1:18">
      <c r="A263" s="13" t="s">
        <v>726</v>
      </c>
      <c r="B263" s="138" t="s">
        <v>727</v>
      </c>
      <c r="C263" s="138" t="s">
        <v>322</v>
      </c>
      <c r="D263" s="15">
        <v>3750000</v>
      </c>
      <c r="E263" s="28">
        <v>0.95024863999999998</v>
      </c>
      <c r="F263" s="150">
        <v>3563432.4</v>
      </c>
      <c r="G263" s="18">
        <v>0.01</v>
      </c>
      <c r="H263" s="13"/>
      <c r="I263" s="13"/>
    </row>
    <row r="264" spans="1:18">
      <c r="A264" s="13" t="s">
        <v>728</v>
      </c>
      <c r="B264" s="138" t="s">
        <v>499</v>
      </c>
      <c r="C264" s="138" t="s">
        <v>322</v>
      </c>
      <c r="D264" s="15">
        <v>3750000</v>
      </c>
      <c r="E264" s="92">
        <v>0.94736298109999995</v>
      </c>
      <c r="F264" s="18">
        <v>3552611.18</v>
      </c>
      <c r="G264" s="18">
        <v>0.01</v>
      </c>
      <c r="H264" s="13"/>
      <c r="I264" s="13"/>
    </row>
    <row r="265" spans="1:18">
      <c r="A265" s="13" t="s">
        <v>729</v>
      </c>
      <c r="B265" s="138" t="s">
        <v>730</v>
      </c>
      <c r="C265" s="138" t="s">
        <v>322</v>
      </c>
      <c r="D265" s="15">
        <v>3750000</v>
      </c>
      <c r="E265" s="92">
        <v>0.91584296470000004</v>
      </c>
      <c r="F265" s="18">
        <v>3434411.12</v>
      </c>
      <c r="G265" s="18">
        <v>0.01</v>
      </c>
      <c r="H265" s="13"/>
      <c r="I265" s="13"/>
    </row>
    <row r="266" spans="1:18">
      <c r="A266" s="13" t="s">
        <v>731</v>
      </c>
      <c r="B266" s="138" t="s">
        <v>600</v>
      </c>
      <c r="C266" s="138" t="s">
        <v>322</v>
      </c>
      <c r="D266" s="15">
        <v>3750000</v>
      </c>
      <c r="E266" s="92">
        <v>0.9444948165</v>
      </c>
      <c r="F266" s="18">
        <v>3541855.56</v>
      </c>
      <c r="G266" s="18">
        <v>0.01</v>
      </c>
      <c r="H266" s="13"/>
      <c r="I266" s="13"/>
    </row>
    <row r="267" spans="1:18">
      <c r="A267" s="13" t="s">
        <v>732</v>
      </c>
      <c r="B267" s="138" t="s">
        <v>568</v>
      </c>
      <c r="C267" s="138" t="s">
        <v>322</v>
      </c>
      <c r="D267" s="15">
        <v>3750000</v>
      </c>
      <c r="E267" s="153">
        <v>0.92215974899999997</v>
      </c>
      <c r="F267" s="18">
        <v>3458099.06</v>
      </c>
      <c r="G267" s="18">
        <v>0.01</v>
      </c>
      <c r="H267" s="13"/>
      <c r="I267" s="13"/>
    </row>
    <row r="268" spans="1:18">
      <c r="A268" s="13" t="s">
        <v>733</v>
      </c>
      <c r="B268" s="138" t="s">
        <v>734</v>
      </c>
      <c r="C268" s="138" t="s">
        <v>322</v>
      </c>
      <c r="D268" s="15">
        <v>3750000</v>
      </c>
      <c r="E268" s="92">
        <v>0.91853951550000001</v>
      </c>
      <c r="F268" s="18">
        <v>3444523.18</v>
      </c>
      <c r="G268" s="18">
        <v>0.01</v>
      </c>
      <c r="H268" s="13"/>
      <c r="I268" s="13"/>
      <c r="O268" s="68"/>
      <c r="P268" s="9"/>
      <c r="Q268" s="9"/>
      <c r="R268" s="9"/>
    </row>
    <row r="269" spans="1:18">
      <c r="A269" s="13" t="s">
        <v>735</v>
      </c>
      <c r="B269" s="138" t="s">
        <v>585</v>
      </c>
      <c r="C269" s="138" t="s">
        <v>322</v>
      </c>
      <c r="D269" s="15">
        <v>3750000</v>
      </c>
      <c r="E269" s="92">
        <v>0.9416439513</v>
      </c>
      <c r="F269" s="18">
        <v>3531164.82</v>
      </c>
      <c r="G269" s="18">
        <v>0.01</v>
      </c>
      <c r="H269" s="13"/>
      <c r="I269" s="13"/>
      <c r="N269" s="68"/>
    </row>
    <row r="270" spans="1:18">
      <c r="A270" s="13" t="s">
        <v>736</v>
      </c>
      <c r="B270" s="138" t="s">
        <v>589</v>
      </c>
      <c r="C270" s="138" t="s">
        <v>322</v>
      </c>
      <c r="D270" s="15">
        <v>3750000</v>
      </c>
      <c r="E270" s="92">
        <v>0.93786944260000005</v>
      </c>
      <c r="F270" s="18">
        <v>3517010.41</v>
      </c>
      <c r="G270" s="18">
        <v>0.01</v>
      </c>
      <c r="H270" s="13"/>
      <c r="I270" s="13"/>
    </row>
    <row r="271" spans="1:18">
      <c r="A271" s="13" t="s">
        <v>737</v>
      </c>
      <c r="B271" s="138" t="s">
        <v>595</v>
      </c>
      <c r="C271" s="138" t="s">
        <v>322</v>
      </c>
      <c r="D271" s="15">
        <v>3750000</v>
      </c>
      <c r="E271" s="92">
        <v>0.9313363549</v>
      </c>
      <c r="F271" s="18">
        <v>3492511.33</v>
      </c>
      <c r="G271" s="18">
        <v>0.01</v>
      </c>
      <c r="H271" s="13"/>
      <c r="I271" s="13"/>
    </row>
    <row r="272" spans="1:18">
      <c r="A272" s="13" t="s">
        <v>738</v>
      </c>
      <c r="B272" s="138" t="s">
        <v>712</v>
      </c>
      <c r="C272" s="138" t="s">
        <v>322</v>
      </c>
      <c r="D272" s="15">
        <v>3750000</v>
      </c>
      <c r="E272" s="92">
        <v>0.92856426709999995</v>
      </c>
      <c r="F272" s="15">
        <v>3482116</v>
      </c>
      <c r="G272" s="18">
        <v>0.01</v>
      </c>
      <c r="H272" s="13"/>
      <c r="I272" s="13"/>
    </row>
    <row r="273" spans="1:18">
      <c r="A273" s="13" t="s">
        <v>739</v>
      </c>
      <c r="B273" s="138" t="s">
        <v>740</v>
      </c>
      <c r="C273" s="138" t="s">
        <v>322</v>
      </c>
      <c r="D273" s="15">
        <v>3750000</v>
      </c>
      <c r="E273" s="92">
        <v>0.92398051120000002</v>
      </c>
      <c r="F273" s="18">
        <v>3464926.92</v>
      </c>
      <c r="G273" s="18">
        <v>0.01</v>
      </c>
      <c r="H273" s="13"/>
      <c r="I273" s="13"/>
    </row>
    <row r="274" spans="1:18">
      <c r="A274" s="13" t="s">
        <v>741</v>
      </c>
      <c r="B274" s="138" t="s">
        <v>593</v>
      </c>
      <c r="C274" s="138" t="s">
        <v>322</v>
      </c>
      <c r="D274" s="15">
        <v>3750000</v>
      </c>
      <c r="E274" s="92">
        <v>0.9350583791</v>
      </c>
      <c r="F274" s="18">
        <v>3506468.92</v>
      </c>
      <c r="G274" s="18">
        <v>0.01</v>
      </c>
      <c r="H274" s="13"/>
      <c r="I274" s="13"/>
    </row>
    <row r="275" spans="1:18">
      <c r="A275" s="13" t="s">
        <v>745</v>
      </c>
      <c r="B275" s="138" t="s">
        <v>647</v>
      </c>
      <c r="C275" s="138" t="s">
        <v>321</v>
      </c>
      <c r="D275" s="15">
        <v>10000000</v>
      </c>
      <c r="E275" s="153">
        <v>0.98621994599999996</v>
      </c>
      <c r="F275" s="18">
        <v>9862199.4600000009</v>
      </c>
      <c r="G275" s="18">
        <v>0.02</v>
      </c>
      <c r="H275" s="13"/>
      <c r="I275" s="13"/>
    </row>
    <row r="276" spans="1:18">
      <c r="A276" s="13" t="s">
        <v>746</v>
      </c>
      <c r="B276" s="138" t="s">
        <v>415</v>
      </c>
      <c r="C276" s="138" t="s">
        <v>321</v>
      </c>
      <c r="D276" s="15">
        <v>10000000</v>
      </c>
      <c r="E276" s="153">
        <v>0.99346762300000002</v>
      </c>
      <c r="F276" s="18">
        <v>9934676.2300000004</v>
      </c>
      <c r="G276" s="18">
        <v>0.02</v>
      </c>
      <c r="H276" s="13"/>
      <c r="I276" s="13"/>
      <c r="N276" s="68"/>
    </row>
    <row r="277" spans="1:18">
      <c r="A277" s="13" t="s">
        <v>747</v>
      </c>
      <c r="B277" s="138" t="s">
        <v>480</v>
      </c>
      <c r="C277" s="138" t="s">
        <v>321</v>
      </c>
      <c r="D277" s="15">
        <v>10000000</v>
      </c>
      <c r="E277" s="153">
        <v>0.99917875899999997</v>
      </c>
      <c r="F277" s="18">
        <v>9991787.5899999999</v>
      </c>
      <c r="G277" s="18">
        <v>0.02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748</v>
      </c>
      <c r="B278" s="138" t="s">
        <v>533</v>
      </c>
      <c r="C278" s="138" t="s">
        <v>321</v>
      </c>
      <c r="D278" s="15">
        <v>10000000</v>
      </c>
      <c r="E278" s="153">
        <v>0.98574053900000003</v>
      </c>
      <c r="F278" s="18">
        <v>9857405.3900000006</v>
      </c>
      <c r="G278" s="18">
        <v>0.02</v>
      </c>
      <c r="H278" s="13"/>
      <c r="I278" s="13"/>
      <c r="N278" s="68"/>
    </row>
    <row r="279" spans="1:18">
      <c r="A279" s="13" t="s">
        <v>749</v>
      </c>
      <c r="B279" s="138" t="s">
        <v>454</v>
      </c>
      <c r="C279" s="138" t="s">
        <v>321</v>
      </c>
      <c r="D279" s="15">
        <v>10000000</v>
      </c>
      <c r="E279" s="92">
        <v>0.97962911070000003</v>
      </c>
      <c r="F279" s="18">
        <v>9796291.1099999994</v>
      </c>
      <c r="G279" s="18">
        <v>0.02</v>
      </c>
      <c r="H279" s="13"/>
      <c r="I279" s="13"/>
    </row>
    <row r="280" spans="1:18">
      <c r="A280" s="13" t="s">
        <v>751</v>
      </c>
      <c r="B280" s="138" t="s">
        <v>450</v>
      </c>
      <c r="C280" s="138" t="s">
        <v>372</v>
      </c>
      <c r="D280" s="18">
        <v>12825509.390000001</v>
      </c>
      <c r="E280" s="153">
        <v>0.97703303399999997</v>
      </c>
      <c r="F280" s="18">
        <v>12530946.35</v>
      </c>
      <c r="G280" s="18">
        <v>0.02</v>
      </c>
      <c r="H280" s="13"/>
      <c r="I280" s="13"/>
    </row>
    <row r="281" spans="1:18">
      <c r="A281" s="13" t="s">
        <v>752</v>
      </c>
      <c r="B281" s="138" t="s">
        <v>454</v>
      </c>
      <c r="C281" s="138" t="s">
        <v>372</v>
      </c>
      <c r="D281" s="18">
        <v>12825509.390000001</v>
      </c>
      <c r="E281" s="92">
        <v>0.9760141698</v>
      </c>
      <c r="F281" s="150">
        <v>12517878.9</v>
      </c>
      <c r="G281" s="18">
        <v>0.02</v>
      </c>
      <c r="H281" s="13"/>
      <c r="I281" s="13"/>
    </row>
    <row r="282" spans="1:18">
      <c r="A282" s="13" t="s">
        <v>753</v>
      </c>
      <c r="B282" s="138" t="s">
        <v>480</v>
      </c>
      <c r="C282" s="138" t="s">
        <v>372</v>
      </c>
      <c r="D282" s="18">
        <v>10800428.970000001</v>
      </c>
      <c r="E282" s="92">
        <v>0.99893264969999995</v>
      </c>
      <c r="F282" s="18">
        <v>10788901.130000001</v>
      </c>
      <c r="G282" s="18">
        <v>0.02</v>
      </c>
      <c r="H282" s="13"/>
      <c r="I282" s="13"/>
    </row>
    <row r="283" spans="1:18">
      <c r="A283" s="13" t="s">
        <v>754</v>
      </c>
      <c r="B283" s="138" t="s">
        <v>454</v>
      </c>
      <c r="C283" s="138" t="s">
        <v>372</v>
      </c>
      <c r="D283" s="15">
        <v>25000000</v>
      </c>
      <c r="E283" s="92">
        <v>0.98023422439999996</v>
      </c>
      <c r="F283" s="18">
        <v>24505855.609999999</v>
      </c>
      <c r="G283" s="18">
        <v>0.04</v>
      </c>
      <c r="H283" s="13"/>
      <c r="I283" s="13"/>
    </row>
    <row r="284" spans="1:18">
      <c r="A284" s="13" t="s">
        <v>758</v>
      </c>
      <c r="B284" s="138" t="s">
        <v>454</v>
      </c>
      <c r="C284" s="138" t="s">
        <v>326</v>
      </c>
      <c r="D284" s="15">
        <v>100000000</v>
      </c>
      <c r="E284" s="153">
        <v>0.981446657</v>
      </c>
      <c r="F284" s="150">
        <v>98144665.700000003</v>
      </c>
      <c r="G284" s="18">
        <v>0.16</v>
      </c>
      <c r="H284" s="13"/>
      <c r="I284" s="13"/>
    </row>
    <row r="285" spans="1:18">
      <c r="A285" s="13" t="s">
        <v>759</v>
      </c>
      <c r="B285" s="138" t="s">
        <v>450</v>
      </c>
      <c r="C285" s="138" t="s">
        <v>326</v>
      </c>
      <c r="D285" s="15">
        <v>7500000</v>
      </c>
      <c r="E285" s="153">
        <v>0.98223901199999997</v>
      </c>
      <c r="F285" s="18">
        <v>7366792.5899999999</v>
      </c>
      <c r="G285" s="18">
        <v>0.01</v>
      </c>
      <c r="H285" s="13"/>
      <c r="I285" s="13"/>
    </row>
    <row r="286" spans="1:18">
      <c r="A286" s="13" t="s">
        <v>760</v>
      </c>
      <c r="B286" s="138" t="s">
        <v>527</v>
      </c>
      <c r="C286" s="138" t="s">
        <v>326</v>
      </c>
      <c r="D286" s="15">
        <v>7500000</v>
      </c>
      <c r="E286" s="92">
        <v>0.97671935489999995</v>
      </c>
      <c r="F286" s="18">
        <v>7325395.1600000001</v>
      </c>
      <c r="G286" s="18">
        <v>0.01</v>
      </c>
      <c r="H286" s="13"/>
      <c r="I286" s="13"/>
    </row>
    <row r="287" spans="1:18">
      <c r="A287" s="13" t="s">
        <v>761</v>
      </c>
      <c r="B287" s="138" t="s">
        <v>577</v>
      </c>
      <c r="C287" s="138" t="s">
        <v>326</v>
      </c>
      <c r="D287" s="15">
        <v>10000000</v>
      </c>
      <c r="E287" s="92">
        <v>0.97126131010000005</v>
      </c>
      <c r="F287" s="150">
        <v>9712613.0999999996</v>
      </c>
      <c r="G287" s="18">
        <v>0.02</v>
      </c>
      <c r="H287" s="13"/>
      <c r="I287" s="13"/>
    </row>
    <row r="288" spans="1:18">
      <c r="A288" s="13" t="s">
        <v>762</v>
      </c>
      <c r="B288" s="138" t="s">
        <v>487</v>
      </c>
      <c r="C288" s="138" t="s">
        <v>326</v>
      </c>
      <c r="D288" s="15">
        <v>7500000</v>
      </c>
      <c r="E288" s="92">
        <v>0.99509269730000005</v>
      </c>
      <c r="F288" s="18">
        <v>7463195.2300000004</v>
      </c>
      <c r="G288" s="18">
        <v>0.01</v>
      </c>
      <c r="H288" s="13"/>
      <c r="I288" s="13"/>
    </row>
    <row r="289" spans="1:9">
      <c r="A289" s="13" t="s">
        <v>764</v>
      </c>
      <c r="B289" s="138" t="s">
        <v>551</v>
      </c>
      <c r="C289" s="138" t="s">
        <v>156</v>
      </c>
      <c r="D289" s="15">
        <v>2500000</v>
      </c>
      <c r="E289" s="92">
        <v>0.97876224010000001</v>
      </c>
      <c r="F289" s="150">
        <v>2446905.6</v>
      </c>
      <c r="G289" s="15">
        <v>0</v>
      </c>
      <c r="H289" s="13"/>
      <c r="I289" s="13"/>
    </row>
    <row r="290" spans="1:9">
      <c r="A290" s="13" t="s">
        <v>765</v>
      </c>
      <c r="B290" s="138" t="s">
        <v>527</v>
      </c>
      <c r="C290" s="138" t="s">
        <v>156</v>
      </c>
      <c r="D290" s="15">
        <v>2500000</v>
      </c>
      <c r="E290" s="92">
        <v>0.97445071630000002</v>
      </c>
      <c r="F290" s="18">
        <v>2436126.79</v>
      </c>
      <c r="G290" s="15">
        <v>0</v>
      </c>
      <c r="H290" s="13"/>
      <c r="I290" s="13"/>
    </row>
    <row r="291" spans="1:9">
      <c r="A291" s="13" t="s">
        <v>766</v>
      </c>
      <c r="B291" s="138" t="s">
        <v>480</v>
      </c>
      <c r="C291" s="138" t="s">
        <v>156</v>
      </c>
      <c r="D291" s="15">
        <v>2500000</v>
      </c>
      <c r="E291" s="153">
        <v>0.99909671200000005</v>
      </c>
      <c r="F291" s="18">
        <v>2497741.7799999998</v>
      </c>
      <c r="G291" s="15">
        <v>0</v>
      </c>
      <c r="H291" s="13"/>
      <c r="I291" s="13"/>
    </row>
    <row r="292" spans="1:9">
      <c r="A292" s="13" t="s">
        <v>767</v>
      </c>
      <c r="B292" s="138" t="s">
        <v>577</v>
      </c>
      <c r="C292" s="138" t="s">
        <v>156</v>
      </c>
      <c r="D292" s="15">
        <v>2500000</v>
      </c>
      <c r="E292" s="153">
        <v>0.96847805600000003</v>
      </c>
      <c r="F292" s="18">
        <v>2421195.14</v>
      </c>
      <c r="G292" s="15">
        <v>0</v>
      </c>
      <c r="H292" s="13"/>
      <c r="I292" s="13"/>
    </row>
    <row r="293" spans="1:9">
      <c r="A293" s="13" t="s">
        <v>768</v>
      </c>
      <c r="B293" s="138" t="s">
        <v>415</v>
      </c>
      <c r="C293" s="138" t="s">
        <v>156</v>
      </c>
      <c r="D293" s="15">
        <v>2500000</v>
      </c>
      <c r="E293" s="92">
        <v>0.99281908809999997</v>
      </c>
      <c r="F293" s="18">
        <v>2482047.7200000002</v>
      </c>
      <c r="G293" s="15">
        <v>0</v>
      </c>
      <c r="H293" s="13"/>
      <c r="I293" s="13"/>
    </row>
    <row r="294" spans="1:9">
      <c r="A294" s="13" t="s">
        <v>771</v>
      </c>
      <c r="B294" s="138" t="s">
        <v>450</v>
      </c>
      <c r="C294" s="138" t="s">
        <v>320</v>
      </c>
      <c r="D294" s="15">
        <v>22500000</v>
      </c>
      <c r="E294" s="92">
        <v>0.97991840860000001</v>
      </c>
      <c r="F294" s="18">
        <v>22048164.190000001</v>
      </c>
      <c r="G294" s="18">
        <v>0.04</v>
      </c>
      <c r="H294" s="13"/>
      <c r="I294" s="13"/>
    </row>
    <row r="295" spans="1:9">
      <c r="A295" s="13" t="s">
        <v>774</v>
      </c>
      <c r="B295" s="138" t="s">
        <v>452</v>
      </c>
      <c r="C295" s="138" t="s">
        <v>373</v>
      </c>
      <c r="D295" s="15">
        <v>12500000</v>
      </c>
      <c r="E295" s="92">
        <v>0.99192869760000002</v>
      </c>
      <c r="F295" s="18">
        <v>12399108.720000001</v>
      </c>
      <c r="G295" s="18">
        <v>0.02</v>
      </c>
      <c r="H295" s="13"/>
      <c r="I295" s="13"/>
    </row>
    <row r="296" spans="1:9">
      <c r="A296" s="13" t="s">
        <v>775</v>
      </c>
      <c r="B296" s="138" t="s">
        <v>533</v>
      </c>
      <c r="C296" s="138" t="s">
        <v>373</v>
      </c>
      <c r="D296" s="15">
        <v>12500000</v>
      </c>
      <c r="E296" s="92">
        <v>0.98574053429999997</v>
      </c>
      <c r="F296" s="18">
        <v>12321756.68</v>
      </c>
      <c r="G296" s="18">
        <v>0.02</v>
      </c>
      <c r="H296" s="13"/>
      <c r="I296" s="13"/>
    </row>
    <row r="297" spans="1:9">
      <c r="A297" s="13" t="s">
        <v>776</v>
      </c>
      <c r="B297" s="138" t="s">
        <v>454</v>
      </c>
      <c r="C297" s="138" t="s">
        <v>373</v>
      </c>
      <c r="D297" s="15">
        <v>12500000</v>
      </c>
      <c r="E297" s="92">
        <v>0.97962910709999995</v>
      </c>
      <c r="F297" s="18">
        <v>12245363.84</v>
      </c>
      <c r="G297" s="18">
        <v>0.02</v>
      </c>
      <c r="H297" s="13"/>
      <c r="I297" s="13"/>
    </row>
    <row r="298" spans="1:9">
      <c r="A298" s="13" t="s">
        <v>777</v>
      </c>
      <c r="B298" s="138" t="s">
        <v>610</v>
      </c>
      <c r="C298" s="138" t="s">
        <v>373</v>
      </c>
      <c r="D298" s="15">
        <v>12500000</v>
      </c>
      <c r="E298" s="92">
        <v>0.99819504560000005</v>
      </c>
      <c r="F298" s="18">
        <v>12477438.07</v>
      </c>
      <c r="G298" s="18">
        <v>0.02</v>
      </c>
      <c r="H298" s="13"/>
      <c r="I298" s="13"/>
    </row>
    <row r="299" spans="1:9">
      <c r="A299" s="13" t="s">
        <v>778</v>
      </c>
      <c r="B299" s="138" t="s">
        <v>541</v>
      </c>
      <c r="C299" s="138" t="s">
        <v>373</v>
      </c>
      <c r="D299" s="15">
        <v>12500000</v>
      </c>
      <c r="E299" s="92">
        <v>0.96341658360000004</v>
      </c>
      <c r="F299" s="150">
        <v>12042707.300000001</v>
      </c>
      <c r="G299" s="18">
        <v>0.02</v>
      </c>
      <c r="H299" s="13"/>
      <c r="I299" s="13"/>
    </row>
    <row r="300" spans="1:9">
      <c r="A300" s="13" t="s">
        <v>779</v>
      </c>
      <c r="B300" s="138" t="s">
        <v>544</v>
      </c>
      <c r="C300" s="138" t="s">
        <v>373</v>
      </c>
      <c r="D300" s="15">
        <v>12500000</v>
      </c>
      <c r="E300" s="92">
        <v>0.95674967229999996</v>
      </c>
      <c r="F300" s="150">
        <v>11959370.9</v>
      </c>
      <c r="G300" s="18">
        <v>0.02</v>
      </c>
      <c r="H300" s="13"/>
      <c r="I300" s="13"/>
    </row>
    <row r="301" spans="1:9">
      <c r="A301" s="13" t="s">
        <v>780</v>
      </c>
      <c r="B301" s="138" t="s">
        <v>607</v>
      </c>
      <c r="C301" s="138" t="s">
        <v>373</v>
      </c>
      <c r="D301" s="15">
        <v>12500000</v>
      </c>
      <c r="E301" s="92">
        <v>0.9753099637</v>
      </c>
      <c r="F301" s="18">
        <v>12191374.550000001</v>
      </c>
      <c r="G301" s="18">
        <v>0.02</v>
      </c>
      <c r="H301" s="13"/>
      <c r="I301" s="13"/>
    </row>
    <row r="302" spans="1:9">
      <c r="A302" s="13" t="s">
        <v>781</v>
      </c>
      <c r="B302" s="138" t="s">
        <v>560</v>
      </c>
      <c r="C302" s="138" t="s">
        <v>373</v>
      </c>
      <c r="D302" s="15">
        <v>12500000</v>
      </c>
      <c r="E302" s="92">
        <v>0.96932679160000002</v>
      </c>
      <c r="F302" s="150">
        <v>12116584.9</v>
      </c>
      <c r="G302" s="18">
        <v>0.02</v>
      </c>
      <c r="H302" s="13"/>
      <c r="I302" s="13"/>
    </row>
    <row r="303" spans="1:9">
      <c r="A303" s="13" t="s">
        <v>784</v>
      </c>
      <c r="B303" s="138" t="s">
        <v>475</v>
      </c>
      <c r="C303" s="138" t="s">
        <v>327</v>
      </c>
      <c r="D303" s="15">
        <v>25000000</v>
      </c>
      <c r="E303" s="92">
        <v>0.9875006865</v>
      </c>
      <c r="F303" s="18">
        <v>24687517.16</v>
      </c>
      <c r="G303" s="18">
        <v>0.04</v>
      </c>
      <c r="H303" s="13"/>
      <c r="I303" s="13"/>
    </row>
    <row r="304" spans="1:9">
      <c r="A304" s="13" t="s">
        <v>792</v>
      </c>
      <c r="B304" s="138" t="s">
        <v>452</v>
      </c>
      <c r="C304" s="138" t="s">
        <v>391</v>
      </c>
      <c r="D304" s="18">
        <v>16005575.67</v>
      </c>
      <c r="E304" s="92">
        <v>0.99192871530000004</v>
      </c>
      <c r="F304" s="18">
        <v>15876390.109999999</v>
      </c>
      <c r="G304" s="18">
        <v>0.03</v>
      </c>
      <c r="H304" s="13"/>
      <c r="I304" s="13"/>
    </row>
    <row r="305" spans="1:9">
      <c r="A305" s="13" t="s">
        <v>793</v>
      </c>
      <c r="B305" s="138" t="s">
        <v>452</v>
      </c>
      <c r="C305" s="138" t="s">
        <v>391</v>
      </c>
      <c r="D305" s="18">
        <v>12080215.710000001</v>
      </c>
      <c r="E305" s="153">
        <v>0.99192871599999999</v>
      </c>
      <c r="F305" s="18">
        <v>11982712.859999999</v>
      </c>
      <c r="G305" s="18">
        <v>0.02</v>
      </c>
      <c r="H305" s="13"/>
      <c r="I305" s="13"/>
    </row>
    <row r="306" spans="1:9">
      <c r="A306" s="13" t="s">
        <v>794</v>
      </c>
      <c r="B306" s="138" t="s">
        <v>622</v>
      </c>
      <c r="C306" s="138" t="s">
        <v>391</v>
      </c>
      <c r="D306" s="18">
        <v>16005575.68</v>
      </c>
      <c r="E306" s="92">
        <v>0.98661982390000003</v>
      </c>
      <c r="F306" s="18">
        <v>15791418.26</v>
      </c>
      <c r="G306" s="18">
        <v>0.03</v>
      </c>
      <c r="H306" s="13"/>
      <c r="I306" s="13"/>
    </row>
    <row r="307" spans="1:9">
      <c r="A307" s="13" t="s">
        <v>795</v>
      </c>
      <c r="B307" s="138" t="s">
        <v>475</v>
      </c>
      <c r="C307" s="138" t="s">
        <v>391</v>
      </c>
      <c r="D307" s="18">
        <v>16005575.68</v>
      </c>
      <c r="E307" s="92">
        <v>0.98750069809999996</v>
      </c>
      <c r="F307" s="18">
        <v>15805517.16</v>
      </c>
      <c r="G307" s="18">
        <v>0.03</v>
      </c>
      <c r="H307" s="13"/>
      <c r="I307" s="13"/>
    </row>
    <row r="308" spans="1:9">
      <c r="A308" s="13" t="s">
        <v>796</v>
      </c>
      <c r="B308" s="138" t="s">
        <v>645</v>
      </c>
      <c r="C308" s="138" t="s">
        <v>391</v>
      </c>
      <c r="D308" s="18">
        <v>16005575.68</v>
      </c>
      <c r="E308" s="92">
        <v>0.98838314520000004</v>
      </c>
      <c r="F308" s="18">
        <v>15819641.23</v>
      </c>
      <c r="G308" s="18">
        <v>0.03</v>
      </c>
      <c r="H308" s="13"/>
      <c r="I308" s="13"/>
    </row>
    <row r="309" spans="1:9">
      <c r="A309" s="13" t="s">
        <v>797</v>
      </c>
      <c r="B309" s="138" t="s">
        <v>444</v>
      </c>
      <c r="C309" s="138" t="s">
        <v>391</v>
      </c>
      <c r="D309" s="18">
        <v>16005575.68</v>
      </c>
      <c r="E309" s="153">
        <v>0.99103993300000004</v>
      </c>
      <c r="F309" s="18">
        <v>15862164.65</v>
      </c>
      <c r="G309" s="18">
        <v>0.03</v>
      </c>
      <c r="H309" s="13"/>
      <c r="I309" s="13"/>
    </row>
    <row r="310" spans="1:9">
      <c r="A310" s="13" t="s">
        <v>785</v>
      </c>
      <c r="B310" s="138" t="s">
        <v>454</v>
      </c>
      <c r="C310" s="138" t="s">
        <v>391</v>
      </c>
      <c r="D310" s="18">
        <v>16005575.68</v>
      </c>
      <c r="E310" s="92">
        <v>0.97962908530000004</v>
      </c>
      <c r="F310" s="18">
        <v>15679527.460000001</v>
      </c>
      <c r="G310" s="18">
        <v>0.03</v>
      </c>
      <c r="H310" s="13"/>
      <c r="I310" s="13"/>
    </row>
    <row r="311" spans="1:9">
      <c r="A311" s="13" t="s">
        <v>786</v>
      </c>
      <c r="B311" s="138" t="s">
        <v>450</v>
      </c>
      <c r="C311" s="138" t="s">
        <v>391</v>
      </c>
      <c r="D311" s="18">
        <v>16005575.68</v>
      </c>
      <c r="E311" s="92">
        <v>0.98049752140000002</v>
      </c>
      <c r="F311" s="18">
        <v>15693427.279999999</v>
      </c>
      <c r="G311" s="18">
        <v>0.03</v>
      </c>
      <c r="H311" s="13"/>
      <c r="I311" s="13"/>
    </row>
    <row r="312" spans="1:9">
      <c r="A312" s="13" t="s">
        <v>787</v>
      </c>
      <c r="B312" s="138" t="s">
        <v>456</v>
      </c>
      <c r="C312" s="138" t="s">
        <v>391</v>
      </c>
      <c r="D312" s="18">
        <v>16005575.68</v>
      </c>
      <c r="E312" s="92">
        <v>0.98136749710000004</v>
      </c>
      <c r="F312" s="18">
        <v>15707351.74</v>
      </c>
      <c r="G312" s="18">
        <v>0.03</v>
      </c>
      <c r="H312" s="13"/>
      <c r="I312" s="13"/>
    </row>
    <row r="313" spans="1:9">
      <c r="A313" s="13" t="s">
        <v>788</v>
      </c>
      <c r="B313" s="138" t="s">
        <v>546</v>
      </c>
      <c r="C313" s="138" t="s">
        <v>391</v>
      </c>
      <c r="D313" s="18">
        <v>16005575.68</v>
      </c>
      <c r="E313" s="92">
        <v>0.98223901629999999</v>
      </c>
      <c r="F313" s="18">
        <v>15721300.91</v>
      </c>
      <c r="G313" s="18">
        <v>0.03</v>
      </c>
      <c r="H313" s="13"/>
      <c r="I313" s="13"/>
    </row>
    <row r="314" spans="1:9">
      <c r="A314" s="13" t="s">
        <v>789</v>
      </c>
      <c r="B314" s="138" t="s">
        <v>647</v>
      </c>
      <c r="C314" s="138" t="s">
        <v>391</v>
      </c>
      <c r="D314" s="18">
        <v>16005575.68</v>
      </c>
      <c r="E314" s="92">
        <v>0.98486282859999996</v>
      </c>
      <c r="F314" s="18">
        <v>15763296.539999999</v>
      </c>
      <c r="G314" s="18">
        <v>0.03</v>
      </c>
      <c r="H314" s="13"/>
      <c r="I314" s="13"/>
    </row>
    <row r="315" spans="1:9">
      <c r="A315" s="13" t="s">
        <v>790</v>
      </c>
      <c r="B315" s="138" t="s">
        <v>533</v>
      </c>
      <c r="C315" s="138" t="s">
        <v>391</v>
      </c>
      <c r="D315" s="18">
        <v>16005575.68</v>
      </c>
      <c r="E315" s="92">
        <v>0.98574056710000002</v>
      </c>
      <c r="F315" s="18">
        <v>15777345.25</v>
      </c>
      <c r="G315" s="18">
        <v>0.03</v>
      </c>
      <c r="H315" s="13"/>
      <c r="I315" s="13"/>
    </row>
    <row r="316" spans="1:9">
      <c r="A316" s="13" t="s">
        <v>791</v>
      </c>
      <c r="B316" s="138" t="s">
        <v>452</v>
      </c>
      <c r="C316" s="138" t="s">
        <v>391</v>
      </c>
      <c r="D316" s="18">
        <v>15230335.939999999</v>
      </c>
      <c r="E316" s="92">
        <v>0.99192871579999997</v>
      </c>
      <c r="F316" s="18">
        <v>15107407.57</v>
      </c>
      <c r="G316" s="18">
        <v>0.02</v>
      </c>
      <c r="H316" s="13"/>
      <c r="I316" s="13"/>
    </row>
    <row r="317" spans="1:9">
      <c r="A317" s="13" t="s">
        <v>799</v>
      </c>
      <c r="B317" s="138" t="s">
        <v>480</v>
      </c>
      <c r="C317" s="138" t="s">
        <v>391</v>
      </c>
      <c r="D317" s="15">
        <v>3900000</v>
      </c>
      <c r="E317" s="92">
        <v>0.99909670770000003</v>
      </c>
      <c r="F317" s="18">
        <v>3896477.16</v>
      </c>
      <c r="G317" s="18">
        <v>0.01</v>
      </c>
      <c r="H317" s="13"/>
      <c r="I317" s="13"/>
    </row>
    <row r="318" spans="1:9">
      <c r="A318" s="13" t="s">
        <v>800</v>
      </c>
      <c r="B318" s="138" t="s">
        <v>415</v>
      </c>
      <c r="C318" s="138" t="s">
        <v>391</v>
      </c>
      <c r="D318" s="150">
        <v>3812810.4</v>
      </c>
      <c r="E318" s="92">
        <v>0.99281906340000003</v>
      </c>
      <c r="F318" s="18">
        <v>3785430.85</v>
      </c>
      <c r="G318" s="18">
        <v>0.01</v>
      </c>
      <c r="H318" s="13"/>
      <c r="I318" s="13"/>
    </row>
    <row r="319" spans="1:9">
      <c r="A319" s="13" t="s">
        <v>802</v>
      </c>
      <c r="B319" s="138" t="s">
        <v>450</v>
      </c>
      <c r="C319" s="138" t="s">
        <v>391</v>
      </c>
      <c r="D319" s="15">
        <v>3424300</v>
      </c>
      <c r="E319" s="92">
        <v>0.98049752089999997</v>
      </c>
      <c r="F319" s="18">
        <v>3357517.66</v>
      </c>
      <c r="G319" s="18">
        <v>0.01</v>
      </c>
      <c r="H319" s="13"/>
      <c r="I319" s="13"/>
    </row>
    <row r="320" spans="1:9">
      <c r="A320" s="13" t="s">
        <v>804</v>
      </c>
      <c r="B320" s="138" t="s">
        <v>546</v>
      </c>
      <c r="C320" s="138" t="s">
        <v>391</v>
      </c>
      <c r="D320" s="15">
        <v>1524900</v>
      </c>
      <c r="E320" s="92">
        <v>0.98223901260000002</v>
      </c>
      <c r="F320" s="18">
        <v>1497816.27</v>
      </c>
      <c r="G320" s="15">
        <v>0</v>
      </c>
      <c r="H320" s="13"/>
      <c r="I320" s="13"/>
    </row>
    <row r="321" spans="1:9">
      <c r="A321" s="13" t="s">
        <v>810</v>
      </c>
      <c r="B321" s="138" t="s">
        <v>546</v>
      </c>
      <c r="C321" s="138" t="s">
        <v>391</v>
      </c>
      <c r="D321" s="18">
        <v>2333401.2200000002</v>
      </c>
      <c r="E321" s="28">
        <v>0.98065561999999995</v>
      </c>
      <c r="F321" s="18">
        <v>2288263.02</v>
      </c>
      <c r="G321" s="15">
        <v>0</v>
      </c>
      <c r="H321" s="13"/>
      <c r="I321" s="13"/>
    </row>
    <row r="322" spans="1:9">
      <c r="A322" s="13" t="s">
        <v>811</v>
      </c>
      <c r="B322" s="138" t="s">
        <v>475</v>
      </c>
      <c r="C322" s="138" t="s">
        <v>391</v>
      </c>
      <c r="D322" s="18">
        <v>2333401.2200000002</v>
      </c>
      <c r="E322" s="92">
        <v>0.98637987319999998</v>
      </c>
      <c r="F322" s="15">
        <v>2301620</v>
      </c>
      <c r="G322" s="15">
        <v>0</v>
      </c>
      <c r="H322" s="13"/>
      <c r="I322" s="13"/>
    </row>
    <row r="323" spans="1:9">
      <c r="A323" s="13" t="s">
        <v>812</v>
      </c>
      <c r="B323" s="138" t="s">
        <v>622</v>
      </c>
      <c r="C323" s="138" t="s">
        <v>391</v>
      </c>
      <c r="D323" s="18">
        <v>2333401.2200000002</v>
      </c>
      <c r="E323" s="92">
        <v>0.98542116989999995</v>
      </c>
      <c r="F323" s="18">
        <v>2299382.96</v>
      </c>
      <c r="G323" s="15">
        <v>0</v>
      </c>
      <c r="H323" s="13"/>
      <c r="I323" s="13"/>
    </row>
    <row r="324" spans="1:9">
      <c r="A324" s="13" t="s">
        <v>813</v>
      </c>
      <c r="B324" s="138" t="s">
        <v>533</v>
      </c>
      <c r="C324" s="138" t="s">
        <v>391</v>
      </c>
      <c r="D324" s="18">
        <v>2333401.2200000002</v>
      </c>
      <c r="E324" s="92">
        <v>0.98446439490000004</v>
      </c>
      <c r="F324" s="18">
        <v>2297150.42</v>
      </c>
      <c r="G324" s="15">
        <v>0</v>
      </c>
      <c r="H324" s="13"/>
      <c r="I324" s="13"/>
    </row>
    <row r="325" spans="1:9">
      <c r="A325" s="13" t="s">
        <v>814</v>
      </c>
      <c r="B325" s="138" t="s">
        <v>647</v>
      </c>
      <c r="C325" s="138" t="s">
        <v>391</v>
      </c>
      <c r="D325" s="18">
        <v>2333401.2200000002</v>
      </c>
      <c r="E325" s="92">
        <v>0.98350941130000002</v>
      </c>
      <c r="F325" s="18">
        <v>2294922.06</v>
      </c>
      <c r="G325" s="15">
        <v>0</v>
      </c>
      <c r="H325" s="13"/>
      <c r="I325" s="13"/>
    </row>
    <row r="326" spans="1:9">
      <c r="A326" s="13" t="s">
        <v>815</v>
      </c>
      <c r="B326" s="138" t="s">
        <v>645</v>
      </c>
      <c r="C326" s="138" t="s">
        <v>391</v>
      </c>
      <c r="D326" s="18">
        <v>2333401.2200000002</v>
      </c>
      <c r="E326" s="153">
        <v>0.98734044099999996</v>
      </c>
      <c r="F326" s="18">
        <v>2303861.39</v>
      </c>
      <c r="G326" s="15">
        <v>0</v>
      </c>
      <c r="H326" s="13"/>
      <c r="I326" s="13"/>
    </row>
    <row r="327" spans="1:9">
      <c r="A327" s="13" t="s">
        <v>806</v>
      </c>
      <c r="B327" s="138" t="s">
        <v>452</v>
      </c>
      <c r="C327" s="138" t="s">
        <v>391</v>
      </c>
      <c r="D327" s="18">
        <v>2067824.35</v>
      </c>
      <c r="E327" s="153">
        <v>0.99120141900000003</v>
      </c>
      <c r="F327" s="18">
        <v>2049630.43</v>
      </c>
      <c r="G327" s="15">
        <v>0</v>
      </c>
      <c r="H327" s="13"/>
      <c r="I327" s="13"/>
    </row>
    <row r="328" spans="1:9">
      <c r="A328" s="13" t="s">
        <v>807</v>
      </c>
      <c r="B328" s="138" t="s">
        <v>444</v>
      </c>
      <c r="C328" s="138" t="s">
        <v>391</v>
      </c>
      <c r="D328" s="18">
        <v>2067824.35</v>
      </c>
      <c r="E328" s="92">
        <v>0.99023333859999996</v>
      </c>
      <c r="F328" s="18">
        <v>2047628.61</v>
      </c>
      <c r="G328" s="15">
        <v>0</v>
      </c>
      <c r="H328" s="13"/>
      <c r="I328" s="13"/>
    </row>
    <row r="329" spans="1:9">
      <c r="A329" s="13" t="s">
        <v>808</v>
      </c>
      <c r="B329" s="138" t="s">
        <v>645</v>
      </c>
      <c r="C329" s="138" t="s">
        <v>391</v>
      </c>
      <c r="D329" s="18">
        <v>2067824.35</v>
      </c>
      <c r="E329" s="92">
        <v>0.98734043339999999</v>
      </c>
      <c r="F329" s="18">
        <v>2041646.59</v>
      </c>
      <c r="G329" s="15">
        <v>0</v>
      </c>
      <c r="H329" s="13"/>
      <c r="I329" s="13"/>
    </row>
    <row r="330" spans="1:9">
      <c r="A330" s="13" t="s">
        <v>809</v>
      </c>
      <c r="B330" s="138" t="s">
        <v>475</v>
      </c>
      <c r="C330" s="138" t="s">
        <v>391</v>
      </c>
      <c r="D330" s="18">
        <v>2067824.35</v>
      </c>
      <c r="E330" s="92">
        <v>0.98637987810000005</v>
      </c>
      <c r="F330" s="18">
        <v>2039660.33</v>
      </c>
      <c r="G330" s="15">
        <v>0</v>
      </c>
      <c r="H330" s="13"/>
      <c r="I330" s="13"/>
    </row>
    <row r="331" spans="1:9">
      <c r="A331" s="13" t="s">
        <v>816</v>
      </c>
      <c r="B331" s="138" t="s">
        <v>645</v>
      </c>
      <c r="C331" s="138" t="s">
        <v>351</v>
      </c>
      <c r="D331" s="15">
        <v>30000000</v>
      </c>
      <c r="E331" s="92">
        <v>0.98768773080000005</v>
      </c>
      <c r="F331" s="18">
        <v>29630631.920000002</v>
      </c>
      <c r="G331" s="18">
        <v>0.05</v>
      </c>
      <c r="H331" s="13"/>
      <c r="I331" s="13"/>
    </row>
    <row r="332" spans="1:9">
      <c r="A332" s="13" t="s">
        <v>817</v>
      </c>
      <c r="B332" s="138" t="s">
        <v>573</v>
      </c>
      <c r="C332" s="138" t="s">
        <v>282</v>
      </c>
      <c r="D332" s="18">
        <v>9478811.3499999996</v>
      </c>
      <c r="E332" s="92">
        <v>0.92969953110000003</v>
      </c>
      <c r="F332" s="18">
        <v>8812446.4700000007</v>
      </c>
      <c r="G332" s="18">
        <v>0.01</v>
      </c>
      <c r="H332" s="13"/>
      <c r="I332" s="13"/>
    </row>
    <row r="333" spans="1:9">
      <c r="A333" s="13" t="s">
        <v>818</v>
      </c>
      <c r="B333" s="138" t="s">
        <v>585</v>
      </c>
      <c r="C333" s="138" t="s">
        <v>282</v>
      </c>
      <c r="D333" s="15">
        <v>20000000</v>
      </c>
      <c r="E333" s="92">
        <v>0.95740216140000001</v>
      </c>
      <c r="F333" s="18">
        <v>19148043.23</v>
      </c>
      <c r="G333" s="18">
        <v>0.03</v>
      </c>
      <c r="H333" s="13"/>
      <c r="I333" s="13"/>
    </row>
    <row r="334" spans="1:9">
      <c r="A334" s="13" t="s">
        <v>819</v>
      </c>
      <c r="B334" s="138" t="s">
        <v>527</v>
      </c>
      <c r="C334" s="138" t="s">
        <v>282</v>
      </c>
      <c r="D334" s="15">
        <v>9000000</v>
      </c>
      <c r="E334" s="92">
        <v>0.97976062210000003</v>
      </c>
      <c r="F334" s="150">
        <v>8817845.5999999996</v>
      </c>
      <c r="G334" s="18">
        <v>0.01</v>
      </c>
      <c r="H334" s="13"/>
      <c r="I334" s="13"/>
    </row>
    <row r="335" spans="1:9">
      <c r="A335" s="13" t="s">
        <v>820</v>
      </c>
      <c r="B335" s="138" t="s">
        <v>531</v>
      </c>
      <c r="C335" s="138" t="s">
        <v>282</v>
      </c>
      <c r="D335" s="15">
        <v>9000000</v>
      </c>
      <c r="E335" s="92">
        <v>0.97364493519999995</v>
      </c>
      <c r="F335" s="18">
        <v>8762804.4199999999</v>
      </c>
      <c r="G335" s="18">
        <v>0.01</v>
      </c>
      <c r="H335" s="13"/>
      <c r="I335" s="13"/>
    </row>
    <row r="336" spans="1:9">
      <c r="A336" s="13" t="s">
        <v>821</v>
      </c>
      <c r="B336" s="138" t="s">
        <v>450</v>
      </c>
      <c r="C336" s="138" t="s">
        <v>282</v>
      </c>
      <c r="D336" s="15">
        <v>9000000</v>
      </c>
      <c r="E336" s="153">
        <v>0.98457060799999996</v>
      </c>
      <c r="F336" s="18">
        <v>8861135.4700000007</v>
      </c>
      <c r="G336" s="18">
        <v>0.01</v>
      </c>
      <c r="H336" s="13"/>
      <c r="I336" s="13"/>
    </row>
    <row r="337" spans="1:9">
      <c r="A337" s="13" t="s">
        <v>822</v>
      </c>
      <c r="B337" s="138" t="s">
        <v>531</v>
      </c>
      <c r="C337" s="138" t="s">
        <v>282</v>
      </c>
      <c r="D337" s="15">
        <v>9000000</v>
      </c>
      <c r="E337" s="92">
        <v>0.97364493519999995</v>
      </c>
      <c r="F337" s="18">
        <v>8762804.4199999999</v>
      </c>
      <c r="G337" s="18">
        <v>0.01</v>
      </c>
      <c r="H337" s="13"/>
      <c r="I337" s="13"/>
    </row>
    <row r="338" spans="1:9">
      <c r="A338" s="13" t="s">
        <v>823</v>
      </c>
      <c r="B338" s="138" t="s">
        <v>549</v>
      </c>
      <c r="C338" s="138" t="s">
        <v>282</v>
      </c>
      <c r="D338" s="15">
        <v>2000000</v>
      </c>
      <c r="E338" s="28">
        <v>0.95976868999999998</v>
      </c>
      <c r="F338" s="18">
        <v>1919537.38</v>
      </c>
      <c r="G338" s="15">
        <v>0</v>
      </c>
      <c r="H338" s="13"/>
      <c r="I338" s="13"/>
    </row>
    <row r="339" spans="1:9">
      <c r="A339" s="13" t="s">
        <v>824</v>
      </c>
      <c r="B339" s="138" t="s">
        <v>553</v>
      </c>
      <c r="C339" s="138" t="s">
        <v>282</v>
      </c>
      <c r="D339" s="15">
        <v>2000000</v>
      </c>
      <c r="E339" s="92">
        <v>0.95599795929999998</v>
      </c>
      <c r="F339" s="18">
        <v>1911995.92</v>
      </c>
      <c r="G339" s="15">
        <v>0</v>
      </c>
      <c r="H339" s="13"/>
      <c r="I339" s="13"/>
    </row>
    <row r="340" spans="1:9">
      <c r="A340" s="13" t="s">
        <v>825</v>
      </c>
      <c r="B340" s="138" t="s">
        <v>575</v>
      </c>
      <c r="C340" s="138" t="s">
        <v>282</v>
      </c>
      <c r="D340" s="15">
        <v>35000000</v>
      </c>
      <c r="E340" s="92">
        <v>0.94164394060000001</v>
      </c>
      <c r="F340" s="18">
        <v>32957537.920000002</v>
      </c>
      <c r="G340" s="18">
        <v>0.05</v>
      </c>
      <c r="H340" s="13"/>
      <c r="I340" s="13"/>
    </row>
    <row r="341" spans="1:9">
      <c r="A341" s="13" t="s">
        <v>826</v>
      </c>
      <c r="B341" s="138" t="s">
        <v>497</v>
      </c>
      <c r="C341" s="138" t="s">
        <v>282</v>
      </c>
      <c r="D341" s="15">
        <v>35000000</v>
      </c>
      <c r="E341" s="92">
        <v>0.93743590129999999</v>
      </c>
      <c r="F341" s="18">
        <v>32810256.550000001</v>
      </c>
      <c r="G341" s="18">
        <v>0.05</v>
      </c>
      <c r="H341" s="13"/>
      <c r="I341" s="13"/>
    </row>
    <row r="342" spans="1:9">
      <c r="A342" s="13" t="s">
        <v>827</v>
      </c>
      <c r="B342" s="138" t="s">
        <v>573</v>
      </c>
      <c r="C342" s="138" t="s">
        <v>282</v>
      </c>
      <c r="D342" s="15">
        <v>30000000</v>
      </c>
      <c r="E342" s="92">
        <v>0.93188325750000001</v>
      </c>
      <c r="F342" s="18">
        <v>27956497.73</v>
      </c>
      <c r="G342" s="18">
        <v>0.05</v>
      </c>
      <c r="H342" s="13"/>
      <c r="I342" s="13"/>
    </row>
    <row r="343" spans="1:9">
      <c r="A343" s="13" t="s">
        <v>829</v>
      </c>
      <c r="B343" s="138" t="s">
        <v>480</v>
      </c>
      <c r="C343" s="138" t="s">
        <v>282</v>
      </c>
      <c r="D343" s="15">
        <v>2500000</v>
      </c>
      <c r="E343" s="153">
        <v>0.99945235600000004</v>
      </c>
      <c r="F343" s="18">
        <v>2498630.89</v>
      </c>
      <c r="G343" s="15">
        <v>0</v>
      </c>
      <c r="H343" s="13"/>
      <c r="I343" s="13"/>
    </row>
    <row r="344" spans="1:9">
      <c r="A344" s="13" t="s">
        <v>830</v>
      </c>
      <c r="B344" s="138" t="s">
        <v>172</v>
      </c>
      <c r="C344" s="138" t="s">
        <v>282</v>
      </c>
      <c r="D344" s="15">
        <v>2500000</v>
      </c>
      <c r="E344" s="92">
        <v>0.99617905210000002</v>
      </c>
      <c r="F344" s="18">
        <v>2490447.63</v>
      </c>
      <c r="G344" s="15">
        <v>0</v>
      </c>
      <c r="H344" s="13"/>
      <c r="I344" s="13"/>
    </row>
    <row r="345" spans="1:9">
      <c r="A345" s="13" t="s">
        <v>831</v>
      </c>
      <c r="B345" s="138" t="s">
        <v>480</v>
      </c>
      <c r="C345" s="138" t="s">
        <v>282</v>
      </c>
      <c r="D345" s="150">
        <v>169949.7</v>
      </c>
      <c r="E345" s="92">
        <v>0.99934292319999996</v>
      </c>
      <c r="F345" s="18">
        <v>169838.03</v>
      </c>
      <c r="G345" s="15">
        <v>0</v>
      </c>
      <c r="H345" s="13"/>
      <c r="I345" s="13"/>
    </row>
    <row r="346" spans="1:9">
      <c r="A346" s="13" t="s">
        <v>832</v>
      </c>
      <c r="B346" s="138" t="s">
        <v>527</v>
      </c>
      <c r="C346" s="138" t="s">
        <v>282</v>
      </c>
      <c r="D346" s="18">
        <v>685765.71</v>
      </c>
      <c r="E346" s="92">
        <v>0.9812883764</v>
      </c>
      <c r="F346" s="18">
        <v>672933.92</v>
      </c>
      <c r="G346" s="15">
        <v>0</v>
      </c>
      <c r="H346" s="13"/>
      <c r="I346" s="13"/>
    </row>
    <row r="347" spans="1:9">
      <c r="A347" s="13" t="s">
        <v>833</v>
      </c>
      <c r="B347" s="138" t="s">
        <v>480</v>
      </c>
      <c r="C347" s="138" t="s">
        <v>282</v>
      </c>
      <c r="D347" s="150">
        <v>169949.7</v>
      </c>
      <c r="E347" s="92">
        <v>0.99934292319999996</v>
      </c>
      <c r="F347" s="18">
        <v>169838.03</v>
      </c>
      <c r="G347" s="15">
        <v>0</v>
      </c>
      <c r="H347" s="13"/>
      <c r="I347" s="13"/>
    </row>
    <row r="348" spans="1:9">
      <c r="A348" s="13" t="s">
        <v>834</v>
      </c>
      <c r="B348" s="138" t="s">
        <v>527</v>
      </c>
      <c r="C348" s="138" t="s">
        <v>282</v>
      </c>
      <c r="D348" s="18">
        <v>535280.22</v>
      </c>
      <c r="E348" s="92">
        <v>0.98128838019999998</v>
      </c>
      <c r="F348" s="18">
        <v>525264.26</v>
      </c>
      <c r="G348" s="15">
        <v>0</v>
      </c>
      <c r="H348" s="13"/>
      <c r="I348" s="13"/>
    </row>
    <row r="349" spans="1:9">
      <c r="A349" s="13" t="s">
        <v>835</v>
      </c>
      <c r="B349" s="138" t="s">
        <v>527</v>
      </c>
      <c r="C349" s="138" t="s">
        <v>282</v>
      </c>
      <c r="D349" s="18">
        <v>535280.22</v>
      </c>
      <c r="E349" s="92">
        <v>0.98128838019999998</v>
      </c>
      <c r="F349" s="18">
        <v>525264.26</v>
      </c>
      <c r="G349" s="15">
        <v>0</v>
      </c>
      <c r="H349" s="13"/>
      <c r="I349" s="13"/>
    </row>
    <row r="350" spans="1:9">
      <c r="A350" s="13" t="s">
        <v>836</v>
      </c>
      <c r="B350" s="138" t="s">
        <v>527</v>
      </c>
      <c r="C350" s="138" t="s">
        <v>282</v>
      </c>
      <c r="D350" s="18">
        <v>689115.82</v>
      </c>
      <c r="E350" s="92">
        <v>0.98128837020000004</v>
      </c>
      <c r="F350" s="18">
        <v>676221.34</v>
      </c>
      <c r="G350" s="15">
        <v>0</v>
      </c>
      <c r="H350" s="13"/>
      <c r="I350" s="13"/>
    </row>
    <row r="351" spans="1:9">
      <c r="A351" s="13" t="s">
        <v>837</v>
      </c>
      <c r="B351" s="138" t="s">
        <v>527</v>
      </c>
      <c r="C351" s="138" t="s">
        <v>282</v>
      </c>
      <c r="D351" s="18">
        <v>2688265.68</v>
      </c>
      <c r="E351" s="92">
        <v>0.98128835950000004</v>
      </c>
      <c r="F351" s="18">
        <v>2637963.8199999998</v>
      </c>
      <c r="G351" s="15">
        <v>0</v>
      </c>
      <c r="H351" s="13"/>
      <c r="I351" s="13"/>
    </row>
    <row r="352" spans="1:9">
      <c r="A352" s="13" t="s">
        <v>838</v>
      </c>
      <c r="B352" s="138" t="s">
        <v>480</v>
      </c>
      <c r="C352" s="138" t="s">
        <v>282</v>
      </c>
      <c r="D352" s="18">
        <v>2382065.5699999998</v>
      </c>
      <c r="E352" s="92">
        <v>0.99934289809999999</v>
      </c>
      <c r="F352" s="18">
        <v>2380500.31</v>
      </c>
      <c r="G352" s="15">
        <v>0</v>
      </c>
      <c r="H352" s="13"/>
      <c r="I352" s="13"/>
    </row>
    <row r="353" spans="1:9">
      <c r="A353" s="13" t="s">
        <v>840</v>
      </c>
      <c r="B353" s="138" t="s">
        <v>172</v>
      </c>
      <c r="C353" s="138" t="s">
        <v>282</v>
      </c>
      <c r="D353" s="15">
        <v>3000000</v>
      </c>
      <c r="E353" s="92">
        <v>0.99371105660000003</v>
      </c>
      <c r="F353" s="18">
        <v>2981133.17</v>
      </c>
      <c r="G353" s="15">
        <v>0</v>
      </c>
      <c r="H353" s="13"/>
      <c r="I353" s="13"/>
    </row>
    <row r="354" spans="1:9">
      <c r="A354" s="13" t="s">
        <v>841</v>
      </c>
      <c r="B354" s="138" t="s">
        <v>450</v>
      </c>
      <c r="C354" s="138" t="s">
        <v>282</v>
      </c>
      <c r="D354" s="15">
        <v>40000000</v>
      </c>
      <c r="E354" s="92">
        <v>0.98049755679999995</v>
      </c>
      <c r="F354" s="18">
        <v>39219902.270000003</v>
      </c>
      <c r="G354" s="18">
        <v>0.06</v>
      </c>
      <c r="H354" s="13"/>
      <c r="I354" s="13"/>
    </row>
    <row r="355" spans="1:9">
      <c r="A355" s="13" t="s">
        <v>842</v>
      </c>
      <c r="B355" s="138" t="s">
        <v>454</v>
      </c>
      <c r="C355" s="138" t="s">
        <v>282</v>
      </c>
      <c r="D355" s="15">
        <v>40000000</v>
      </c>
      <c r="E355" s="92">
        <v>0.97962912160000004</v>
      </c>
      <c r="F355" s="18">
        <v>39185164.859999999</v>
      </c>
      <c r="G355" s="18">
        <v>0.06</v>
      </c>
      <c r="H355" s="13"/>
      <c r="I355" s="13"/>
    </row>
    <row r="356" spans="1:9">
      <c r="A356" s="13" t="s">
        <v>844</v>
      </c>
      <c r="B356" s="138" t="s">
        <v>551</v>
      </c>
      <c r="C356" s="138" t="s">
        <v>325</v>
      </c>
      <c r="D356" s="15">
        <v>10000000</v>
      </c>
      <c r="E356" s="92">
        <v>0.98065556909999996</v>
      </c>
      <c r="F356" s="18">
        <v>9806555.6899999995</v>
      </c>
      <c r="G356" s="18">
        <v>0.02</v>
      </c>
      <c r="H356" s="13"/>
      <c r="I356" s="13"/>
    </row>
    <row r="357" spans="1:9">
      <c r="A357" s="13" t="s">
        <v>845</v>
      </c>
      <c r="B357" s="138" t="s">
        <v>603</v>
      </c>
      <c r="C357" s="138" t="s">
        <v>325</v>
      </c>
      <c r="D357" s="15">
        <v>10000000</v>
      </c>
      <c r="E357" s="92">
        <v>0.97515363710000003</v>
      </c>
      <c r="F357" s="18">
        <v>9751536.3699999992</v>
      </c>
      <c r="G357" s="18">
        <v>0.02</v>
      </c>
      <c r="H357" s="13"/>
      <c r="I357" s="13"/>
    </row>
    <row r="358" spans="1:9">
      <c r="A358" s="13" t="s">
        <v>846</v>
      </c>
      <c r="B358" s="138" t="s">
        <v>480</v>
      </c>
      <c r="C358" s="138" t="s">
        <v>325</v>
      </c>
      <c r="D358" s="15">
        <v>10000000</v>
      </c>
      <c r="E358" s="153">
        <v>0.99917875899999997</v>
      </c>
      <c r="F358" s="18">
        <v>9991787.5899999999</v>
      </c>
      <c r="G358" s="18">
        <v>0.02</v>
      </c>
      <c r="H358" s="13"/>
      <c r="I358" s="13"/>
    </row>
    <row r="359" spans="1:9">
      <c r="A359" s="13" t="s">
        <v>847</v>
      </c>
      <c r="B359" s="138" t="s">
        <v>531</v>
      </c>
      <c r="C359" s="138" t="s">
        <v>325</v>
      </c>
      <c r="D359" s="15">
        <v>10000000</v>
      </c>
      <c r="E359" s="92">
        <v>0.96971309760000002</v>
      </c>
      <c r="F359" s="18">
        <v>9697130.9800000004</v>
      </c>
      <c r="G359" s="18">
        <v>0.02</v>
      </c>
      <c r="H359" s="13"/>
      <c r="I359" s="13"/>
    </row>
    <row r="360" spans="1:9">
      <c r="A360" s="13" t="s">
        <v>848</v>
      </c>
      <c r="B360" s="138" t="s">
        <v>494</v>
      </c>
      <c r="C360" s="138" t="s">
        <v>325</v>
      </c>
      <c r="D360" s="15">
        <v>25000000</v>
      </c>
      <c r="E360" s="92">
        <v>0.96257822309999996</v>
      </c>
      <c r="F360" s="18">
        <v>24064455.579999998</v>
      </c>
      <c r="G360" s="18">
        <v>0.04</v>
      </c>
      <c r="H360" s="13"/>
      <c r="I360" s="13"/>
    </row>
    <row r="361" spans="1:9">
      <c r="A361" s="13" t="s">
        <v>869</v>
      </c>
      <c r="B361" s="138" t="s">
        <v>450</v>
      </c>
      <c r="C361" s="138" t="s">
        <v>164</v>
      </c>
      <c r="D361" s="15">
        <v>10000000</v>
      </c>
      <c r="E361" s="92">
        <v>0.98223902480000003</v>
      </c>
      <c r="F361" s="18">
        <v>9822390.25</v>
      </c>
      <c r="G361" s="18">
        <v>0.02</v>
      </c>
      <c r="H361" s="13"/>
      <c r="I361" s="13"/>
    </row>
    <row r="362" spans="1:9">
      <c r="A362" s="13" t="s">
        <v>870</v>
      </c>
      <c r="B362" s="138" t="s">
        <v>527</v>
      </c>
      <c r="C362" s="138" t="s">
        <v>164</v>
      </c>
      <c r="D362" s="15">
        <v>10000000</v>
      </c>
      <c r="E362" s="92">
        <v>0.97671929729999996</v>
      </c>
      <c r="F362" s="18">
        <v>9767192.9700000007</v>
      </c>
      <c r="G362" s="18">
        <v>0.02</v>
      </c>
      <c r="H362" s="13"/>
      <c r="I362" s="13"/>
    </row>
    <row r="363" spans="1:9">
      <c r="A363" s="13" t="s">
        <v>871</v>
      </c>
      <c r="B363" s="138" t="s">
        <v>370</v>
      </c>
      <c r="C363" s="138" t="s">
        <v>164</v>
      </c>
      <c r="D363" s="15">
        <v>10000000</v>
      </c>
      <c r="E363" s="92">
        <v>0.99754031389999998</v>
      </c>
      <c r="F363" s="18">
        <v>9975403.1400000006</v>
      </c>
      <c r="G363" s="18">
        <v>0.02</v>
      </c>
      <c r="H363" s="13"/>
      <c r="I363" s="13"/>
    </row>
    <row r="364" spans="1:9">
      <c r="A364" s="13" t="s">
        <v>872</v>
      </c>
      <c r="B364" s="138" t="s">
        <v>577</v>
      </c>
      <c r="C364" s="138" t="s">
        <v>164</v>
      </c>
      <c r="D364" s="15">
        <v>10000000</v>
      </c>
      <c r="E364" s="92">
        <v>0.97126131940000004</v>
      </c>
      <c r="F364" s="18">
        <v>9712613.1899999995</v>
      </c>
      <c r="G364" s="18">
        <v>0.02</v>
      </c>
      <c r="H364" s="13"/>
      <c r="I364" s="13"/>
    </row>
    <row r="365" spans="1:9">
      <c r="A365" s="13" t="s">
        <v>873</v>
      </c>
      <c r="B365" s="138" t="s">
        <v>415</v>
      </c>
      <c r="C365" s="138" t="s">
        <v>164</v>
      </c>
      <c r="D365" s="15">
        <v>10000000</v>
      </c>
      <c r="E365" s="153">
        <v>0.99346763100000002</v>
      </c>
      <c r="F365" s="18">
        <v>9934676.3100000005</v>
      </c>
      <c r="G365" s="18">
        <v>0.02</v>
      </c>
      <c r="H365" s="13"/>
      <c r="I365" s="13"/>
    </row>
    <row r="366" spans="1:9">
      <c r="A366" s="13" t="s">
        <v>874</v>
      </c>
      <c r="B366" s="138" t="s">
        <v>875</v>
      </c>
      <c r="C366" s="138" t="s">
        <v>164</v>
      </c>
      <c r="D366" s="15">
        <v>15000000</v>
      </c>
      <c r="E366" s="92">
        <v>0.90297378689999996</v>
      </c>
      <c r="F366" s="150">
        <v>13544606.800000001</v>
      </c>
      <c r="G366" s="18">
        <v>0.02</v>
      </c>
      <c r="H366" s="13"/>
      <c r="I366" s="13"/>
    </row>
    <row r="367" spans="1:9">
      <c r="A367" s="13" t="s">
        <v>876</v>
      </c>
      <c r="B367" s="138" t="s">
        <v>875</v>
      </c>
      <c r="C367" s="138" t="s">
        <v>164</v>
      </c>
      <c r="D367" s="15">
        <v>15000000</v>
      </c>
      <c r="E367" s="92">
        <v>0.90297378689999996</v>
      </c>
      <c r="F367" s="150">
        <v>13544606.800000001</v>
      </c>
      <c r="G367" s="18">
        <v>0.02</v>
      </c>
      <c r="H367" s="13"/>
      <c r="I367" s="13"/>
    </row>
    <row r="368" spans="1:9">
      <c r="A368" s="13" t="s">
        <v>877</v>
      </c>
      <c r="B368" s="138" t="s">
        <v>281</v>
      </c>
      <c r="C368" s="138" t="s">
        <v>164</v>
      </c>
      <c r="D368" s="15">
        <v>15000000</v>
      </c>
      <c r="E368" s="92">
        <v>0.90214796549999998</v>
      </c>
      <c r="F368" s="18">
        <v>13532219.48</v>
      </c>
      <c r="G368" s="18">
        <v>0.02</v>
      </c>
      <c r="H368" s="13"/>
      <c r="I368" s="13"/>
    </row>
    <row r="369" spans="1:9">
      <c r="A369" s="13" t="s">
        <v>878</v>
      </c>
      <c r="B369" s="138" t="s">
        <v>879</v>
      </c>
      <c r="C369" s="138" t="s">
        <v>164</v>
      </c>
      <c r="D369" s="15">
        <v>15000000</v>
      </c>
      <c r="E369" s="92">
        <v>0.90132365479999998</v>
      </c>
      <c r="F369" s="18">
        <v>13519854.82</v>
      </c>
      <c r="G369" s="18">
        <v>0.02</v>
      </c>
      <c r="H369" s="13"/>
      <c r="I369" s="13"/>
    </row>
    <row r="370" spans="1:9">
      <c r="A370" s="13" t="s">
        <v>880</v>
      </c>
      <c r="B370" s="138" t="s">
        <v>607</v>
      </c>
      <c r="C370" s="138" t="s">
        <v>164</v>
      </c>
      <c r="D370" s="18">
        <v>17106704.170000002</v>
      </c>
      <c r="E370" s="92">
        <v>0.97530998629999999</v>
      </c>
      <c r="F370" s="18">
        <v>16684339.41</v>
      </c>
      <c r="G370" s="18">
        <v>0.03</v>
      </c>
      <c r="H370" s="13"/>
      <c r="I370" s="13"/>
    </row>
    <row r="371" spans="1:9">
      <c r="A371" s="13" t="s">
        <v>881</v>
      </c>
      <c r="B371" s="138" t="s">
        <v>575</v>
      </c>
      <c r="C371" s="138" t="s">
        <v>164</v>
      </c>
      <c r="D371" s="18">
        <v>5448062.4299999997</v>
      </c>
      <c r="E371" s="92">
        <v>0.9341250794</v>
      </c>
      <c r="F371" s="18">
        <v>5089171.75</v>
      </c>
      <c r="G371" s="18">
        <v>0.01</v>
      </c>
      <c r="H371" s="13"/>
      <c r="I371" s="13"/>
    </row>
    <row r="372" spans="1:9">
      <c r="A372" s="13" t="s">
        <v>882</v>
      </c>
      <c r="B372" s="138" t="s">
        <v>589</v>
      </c>
      <c r="C372" s="138" t="s">
        <v>164</v>
      </c>
      <c r="D372" s="18">
        <v>6500236.5700000003</v>
      </c>
      <c r="E372" s="92">
        <v>0.9469205624</v>
      </c>
      <c r="F372" s="18">
        <v>6155207.6699999999</v>
      </c>
      <c r="G372" s="18">
        <v>0.01</v>
      </c>
      <c r="H372" s="13"/>
      <c r="I372" s="13"/>
    </row>
    <row r="373" spans="1:9">
      <c r="A373" s="13" t="s">
        <v>883</v>
      </c>
      <c r="B373" s="138" t="s">
        <v>884</v>
      </c>
      <c r="C373" s="138" t="s">
        <v>164</v>
      </c>
      <c r="D373" s="18">
        <v>5448062.4299999997</v>
      </c>
      <c r="E373" s="92">
        <v>0.92243935919999998</v>
      </c>
      <c r="F373" s="18">
        <v>5025507.22</v>
      </c>
      <c r="G373" s="18">
        <v>0.01</v>
      </c>
      <c r="H373" s="13"/>
      <c r="I373" s="13"/>
    </row>
    <row r="374" spans="1:9">
      <c r="A374" s="13" t="s">
        <v>885</v>
      </c>
      <c r="B374" s="138" t="s">
        <v>499</v>
      </c>
      <c r="C374" s="138" t="s">
        <v>164</v>
      </c>
      <c r="D374" s="150">
        <v>7261808.2000000002</v>
      </c>
      <c r="E374" s="92">
        <v>0.95509742590000002</v>
      </c>
      <c r="F374" s="18">
        <v>6935734.3200000003</v>
      </c>
      <c r="G374" s="18">
        <v>0.01</v>
      </c>
      <c r="H374" s="13"/>
      <c r="I374" s="13"/>
    </row>
    <row r="375" spans="1:9">
      <c r="A375" s="13" t="s">
        <v>886</v>
      </c>
      <c r="B375" s="138" t="s">
        <v>607</v>
      </c>
      <c r="C375" s="138" t="s">
        <v>164</v>
      </c>
      <c r="D375" s="18">
        <v>5134985.93</v>
      </c>
      <c r="E375" s="92">
        <v>0.97530998120000001</v>
      </c>
      <c r="F375" s="18">
        <v>5008203.03</v>
      </c>
      <c r="G375" s="18">
        <v>0.01</v>
      </c>
      <c r="H375" s="13"/>
      <c r="I375" s="13"/>
    </row>
    <row r="376" spans="1:9">
      <c r="A376" s="13" t="s">
        <v>887</v>
      </c>
      <c r="B376" s="138" t="s">
        <v>549</v>
      </c>
      <c r="C376" s="138" t="s">
        <v>164</v>
      </c>
      <c r="D376" s="18">
        <v>5134985.93</v>
      </c>
      <c r="E376" s="92">
        <v>0.95592279410000003</v>
      </c>
      <c r="F376" s="150">
        <v>4908650.0999999996</v>
      </c>
      <c r="G376" s="18">
        <v>0.01</v>
      </c>
      <c r="H376" s="13"/>
      <c r="I376" s="13"/>
    </row>
    <row r="377" spans="1:9">
      <c r="A377" s="13" t="s">
        <v>888</v>
      </c>
      <c r="B377" s="138" t="s">
        <v>531</v>
      </c>
      <c r="C377" s="138" t="s">
        <v>164</v>
      </c>
      <c r="D377" s="18">
        <v>3772034.12</v>
      </c>
      <c r="E377" s="92">
        <v>0.96678502990000004</v>
      </c>
      <c r="F377" s="18">
        <v>3646746.12</v>
      </c>
      <c r="G377" s="18">
        <v>0.01</v>
      </c>
      <c r="H377" s="13"/>
      <c r="I377" s="13"/>
    </row>
    <row r="378" spans="1:9">
      <c r="A378" s="13" t="s">
        <v>889</v>
      </c>
      <c r="B378" s="138" t="s">
        <v>890</v>
      </c>
      <c r="C378" s="138" t="s">
        <v>164</v>
      </c>
      <c r="D378" s="150">
        <v>1655023.2</v>
      </c>
      <c r="E378" s="92">
        <v>0.94047937159999995</v>
      </c>
      <c r="F378" s="18">
        <v>1556515.18</v>
      </c>
      <c r="G378" s="15">
        <v>0</v>
      </c>
      <c r="H378" s="13"/>
      <c r="I378" s="13"/>
    </row>
    <row r="379" spans="1:9">
      <c r="A379" s="13" t="s">
        <v>891</v>
      </c>
      <c r="B379" s="138" t="s">
        <v>890</v>
      </c>
      <c r="C379" s="138" t="s">
        <v>164</v>
      </c>
      <c r="D379" s="18">
        <v>3772034.12</v>
      </c>
      <c r="E379" s="153">
        <v>0.94047935800000004</v>
      </c>
      <c r="F379" s="18">
        <v>3547520.23</v>
      </c>
      <c r="G379" s="18">
        <v>0.01</v>
      </c>
      <c r="H379" s="13"/>
      <c r="I379" s="13"/>
    </row>
    <row r="380" spans="1:9">
      <c r="A380" s="13" t="s">
        <v>892</v>
      </c>
      <c r="B380" s="138" t="s">
        <v>499</v>
      </c>
      <c r="C380" s="138" t="s">
        <v>164</v>
      </c>
      <c r="D380" s="15">
        <v>7190687</v>
      </c>
      <c r="E380" s="92">
        <v>0.95509742720000002</v>
      </c>
      <c r="F380" s="18">
        <v>6867806.6500000004</v>
      </c>
      <c r="G380" s="18">
        <v>0.01</v>
      </c>
      <c r="H380" s="13"/>
      <c r="I380" s="13"/>
    </row>
    <row r="381" spans="1:9">
      <c r="A381" s="13" t="s">
        <v>893</v>
      </c>
      <c r="B381" s="138" t="s">
        <v>527</v>
      </c>
      <c r="C381" s="138" t="s">
        <v>164</v>
      </c>
      <c r="D381" s="18">
        <v>6625114.5199999996</v>
      </c>
      <c r="E381" s="92">
        <v>0.97445070720000004</v>
      </c>
      <c r="F381" s="18">
        <v>6455847.5300000003</v>
      </c>
      <c r="G381" s="18">
        <v>0.01</v>
      </c>
      <c r="H381" s="13"/>
      <c r="I381" s="13"/>
    </row>
    <row r="382" spans="1:9">
      <c r="A382" s="13" t="s">
        <v>904</v>
      </c>
      <c r="B382" s="138" t="s">
        <v>487</v>
      </c>
      <c r="C382" s="138" t="s">
        <v>311</v>
      </c>
      <c r="D382" s="15">
        <v>10000000</v>
      </c>
      <c r="E382" s="92">
        <v>0.99460462390000004</v>
      </c>
      <c r="F382" s="18">
        <v>9946046.2400000002</v>
      </c>
      <c r="G382" s="18">
        <v>0.02</v>
      </c>
      <c r="H382" s="13"/>
      <c r="I382" s="13"/>
    </row>
    <row r="383" spans="1:9">
      <c r="A383" s="13" t="s">
        <v>905</v>
      </c>
      <c r="B383" s="138" t="s">
        <v>906</v>
      </c>
      <c r="C383" s="138" t="s">
        <v>311</v>
      </c>
      <c r="D383" s="15">
        <v>15000000</v>
      </c>
      <c r="E383" s="92">
        <v>0.89235519819999998</v>
      </c>
      <c r="F383" s="18">
        <v>13385327.970000001</v>
      </c>
      <c r="G383" s="18">
        <v>0.02</v>
      </c>
      <c r="H383" s="13"/>
      <c r="I383" s="13"/>
    </row>
    <row r="384" spans="1:9">
      <c r="A384" s="13" t="s">
        <v>907</v>
      </c>
      <c r="B384" s="138" t="s">
        <v>415</v>
      </c>
      <c r="C384" s="138" t="s">
        <v>311</v>
      </c>
      <c r="D384" s="15">
        <v>50000000</v>
      </c>
      <c r="E384" s="92">
        <v>0.9928190643</v>
      </c>
      <c r="F384" s="18">
        <v>49640953.219999999</v>
      </c>
      <c r="G384" s="18">
        <v>0.08</v>
      </c>
      <c r="H384" s="13"/>
      <c r="I384" s="13"/>
    </row>
    <row r="385" spans="1:10">
      <c r="A385" s="13" t="s">
        <v>908</v>
      </c>
      <c r="B385" s="138" t="s">
        <v>452</v>
      </c>
      <c r="C385" s="138" t="s">
        <v>311</v>
      </c>
      <c r="D385" s="15">
        <v>2200000</v>
      </c>
      <c r="E385" s="92">
        <v>0.99192871360000001</v>
      </c>
      <c r="F385" s="18">
        <v>2182243.17</v>
      </c>
      <c r="G385" s="15">
        <v>0</v>
      </c>
      <c r="H385" s="13"/>
      <c r="I385" s="13"/>
    </row>
    <row r="386" spans="1:10">
      <c r="A386" s="13" t="s">
        <v>909</v>
      </c>
      <c r="B386" s="138" t="s">
        <v>480</v>
      </c>
      <c r="C386" s="138" t="s">
        <v>311</v>
      </c>
      <c r="D386" s="15">
        <v>2200000</v>
      </c>
      <c r="E386" s="92">
        <v>0.99909671369999997</v>
      </c>
      <c r="F386" s="18">
        <v>2198012.77</v>
      </c>
      <c r="G386" s="15">
        <v>0</v>
      </c>
      <c r="H386" s="13"/>
      <c r="I386" s="13"/>
    </row>
    <row r="387" spans="1:10">
      <c r="A387" s="13" t="s">
        <v>910</v>
      </c>
      <c r="B387" s="138" t="s">
        <v>610</v>
      </c>
      <c r="C387" s="138" t="s">
        <v>311</v>
      </c>
      <c r="D387" s="15">
        <v>2200000</v>
      </c>
      <c r="E387" s="28">
        <v>0.99819504999999997</v>
      </c>
      <c r="F387" s="18">
        <v>2196029.11</v>
      </c>
      <c r="G387" s="15">
        <v>0</v>
      </c>
      <c r="H387" s="13"/>
      <c r="I387" s="13"/>
    </row>
    <row r="388" spans="1:10">
      <c r="A388" s="13" t="s">
        <v>911</v>
      </c>
      <c r="B388" s="138" t="s">
        <v>370</v>
      </c>
      <c r="C388" s="138" t="s">
        <v>311</v>
      </c>
      <c r="D388" s="15">
        <v>2200000</v>
      </c>
      <c r="E388" s="92">
        <v>0.99729501350000005</v>
      </c>
      <c r="F388" s="18">
        <v>2194049.0299999998</v>
      </c>
      <c r="G388" s="15">
        <v>0</v>
      </c>
      <c r="H388" s="13"/>
      <c r="I388" s="13"/>
    </row>
    <row r="389" spans="1:10">
      <c r="A389" s="13" t="s">
        <v>912</v>
      </c>
      <c r="B389" s="138" t="s">
        <v>487</v>
      </c>
      <c r="C389" s="138" t="s">
        <v>311</v>
      </c>
      <c r="D389" s="15">
        <v>2200000</v>
      </c>
      <c r="E389" s="92">
        <v>0.9946046181</v>
      </c>
      <c r="F389" s="18">
        <v>2188130.16</v>
      </c>
      <c r="G389" s="15">
        <v>0</v>
      </c>
      <c r="H389" s="13"/>
      <c r="I389" s="13"/>
    </row>
    <row r="390" spans="1:10">
      <c r="A390" s="13" t="s">
        <v>913</v>
      </c>
      <c r="B390" s="138" t="s">
        <v>172</v>
      </c>
      <c r="C390" s="138" t="s">
        <v>311</v>
      </c>
      <c r="D390" s="15">
        <v>2200000</v>
      </c>
      <c r="E390" s="92">
        <v>0.99371104089999995</v>
      </c>
      <c r="F390" s="18">
        <v>2186164.29</v>
      </c>
      <c r="G390" s="15">
        <v>0</v>
      </c>
      <c r="H390" s="13"/>
      <c r="I390" s="13"/>
    </row>
    <row r="391" spans="1:10">
      <c r="A391" s="13" t="s">
        <v>914</v>
      </c>
      <c r="B391" s="138" t="s">
        <v>415</v>
      </c>
      <c r="C391" s="138" t="s">
        <v>311</v>
      </c>
      <c r="D391" s="15">
        <v>2200000</v>
      </c>
      <c r="E391" s="92">
        <v>0.99281906360000005</v>
      </c>
      <c r="F391" s="18">
        <v>2184201.94</v>
      </c>
      <c r="G391" s="15">
        <v>0</v>
      </c>
      <c r="H391" s="13"/>
      <c r="I391" s="13"/>
      <c r="J391" s="68"/>
    </row>
    <row r="392" spans="1:10">
      <c r="A392" s="13" t="s">
        <v>918</v>
      </c>
      <c r="B392" s="138" t="s">
        <v>483</v>
      </c>
      <c r="C392" s="138" t="s">
        <v>330</v>
      </c>
      <c r="D392" s="15">
        <v>10000000</v>
      </c>
      <c r="E392" s="92">
        <v>0.98041850019999999</v>
      </c>
      <c r="F392" s="15">
        <v>9804185</v>
      </c>
      <c r="G392" s="18">
        <v>0.02</v>
      </c>
      <c r="H392" s="13"/>
      <c r="I392" s="13"/>
    </row>
    <row r="393" spans="1:10">
      <c r="A393" s="13" t="s">
        <v>919</v>
      </c>
      <c r="B393" s="138" t="s">
        <v>527</v>
      </c>
      <c r="C393" s="138" t="s">
        <v>330</v>
      </c>
      <c r="D393" s="15">
        <v>10000000</v>
      </c>
      <c r="E393" s="92">
        <v>0.97899851230000001</v>
      </c>
      <c r="F393" s="18">
        <v>9789985.1199999992</v>
      </c>
      <c r="G393" s="18">
        <v>0.02</v>
      </c>
      <c r="H393" s="13"/>
      <c r="I393" s="13"/>
    </row>
    <row r="394" spans="1:10">
      <c r="A394" s="13" t="s">
        <v>921</v>
      </c>
      <c r="B394" s="138" t="s">
        <v>920</v>
      </c>
      <c r="C394" s="138" t="s">
        <v>330</v>
      </c>
      <c r="D394" s="15">
        <v>8000000</v>
      </c>
      <c r="E394" s="92">
        <v>0.97829002470000004</v>
      </c>
      <c r="F394" s="150">
        <v>7826320.2000000002</v>
      </c>
      <c r="G394" s="18">
        <v>0.01</v>
      </c>
      <c r="H394" s="13"/>
      <c r="I394" s="13"/>
    </row>
    <row r="395" spans="1:10">
      <c r="A395" s="13" t="s">
        <v>922</v>
      </c>
      <c r="B395" s="138" t="s">
        <v>527</v>
      </c>
      <c r="C395" s="138" t="s">
        <v>330</v>
      </c>
      <c r="D395" s="15">
        <v>10000000</v>
      </c>
      <c r="E395" s="92">
        <v>0.97899851230000001</v>
      </c>
      <c r="F395" s="18">
        <v>9789985.1199999992</v>
      </c>
      <c r="G395" s="18">
        <v>0.02</v>
      </c>
      <c r="H395" s="13"/>
      <c r="I395" s="13"/>
    </row>
    <row r="396" spans="1:10">
      <c r="A396" s="13" t="s">
        <v>923</v>
      </c>
      <c r="B396" s="138" t="s">
        <v>483</v>
      </c>
      <c r="C396" s="138" t="s">
        <v>330</v>
      </c>
      <c r="D396" s="15">
        <v>10000000</v>
      </c>
      <c r="E396" s="92">
        <v>0.98041850019999999</v>
      </c>
      <c r="F396" s="15">
        <v>9804185</v>
      </c>
      <c r="G396" s="18">
        <v>0.02</v>
      </c>
      <c r="H396" s="13"/>
      <c r="I396" s="13"/>
    </row>
    <row r="397" spans="1:10">
      <c r="A397" s="13" t="s">
        <v>924</v>
      </c>
      <c r="B397" s="138" t="s">
        <v>607</v>
      </c>
      <c r="C397" s="138" t="s">
        <v>330</v>
      </c>
      <c r="D397" s="15">
        <v>5000000</v>
      </c>
      <c r="E397" s="92">
        <v>0.97970802759999998</v>
      </c>
      <c r="F397" s="18">
        <v>4898540.1399999997</v>
      </c>
      <c r="G397" s="18">
        <v>0.01</v>
      </c>
      <c r="H397" s="13"/>
      <c r="I397" s="13"/>
    </row>
    <row r="398" spans="1:10">
      <c r="A398" s="13" t="s">
        <v>925</v>
      </c>
      <c r="B398" s="138" t="s">
        <v>527</v>
      </c>
      <c r="C398" s="138" t="s">
        <v>330</v>
      </c>
      <c r="D398" s="15">
        <v>5000000</v>
      </c>
      <c r="E398" s="92">
        <v>0.97899851230000001</v>
      </c>
      <c r="F398" s="18">
        <v>4894992.5599999996</v>
      </c>
      <c r="G398" s="18">
        <v>0.01</v>
      </c>
      <c r="H398" s="13"/>
      <c r="I398" s="13"/>
    </row>
    <row r="399" spans="1:10">
      <c r="A399" s="13" t="s">
        <v>926</v>
      </c>
      <c r="B399" s="138" t="s">
        <v>920</v>
      </c>
      <c r="C399" s="138" t="s">
        <v>330</v>
      </c>
      <c r="D399" s="15">
        <v>5000000</v>
      </c>
      <c r="E399" s="92">
        <v>0.97829002789999997</v>
      </c>
      <c r="F399" s="18">
        <v>4891450.1399999997</v>
      </c>
      <c r="G399" s="18">
        <v>0.01</v>
      </c>
      <c r="H399" s="13"/>
      <c r="I399" s="13"/>
    </row>
    <row r="400" spans="1:10">
      <c r="A400" s="13" t="s">
        <v>927</v>
      </c>
      <c r="B400" s="138" t="s">
        <v>527</v>
      </c>
      <c r="C400" s="138" t="s">
        <v>330</v>
      </c>
      <c r="D400" s="15">
        <v>5000000</v>
      </c>
      <c r="E400" s="92">
        <v>0.97899851230000001</v>
      </c>
      <c r="F400" s="18">
        <v>4894992.5599999996</v>
      </c>
      <c r="G400" s="18">
        <v>0.01</v>
      </c>
      <c r="H400" s="13"/>
      <c r="I400" s="13"/>
    </row>
    <row r="401" spans="1:9">
      <c r="A401" s="13" t="s">
        <v>928</v>
      </c>
      <c r="B401" s="138" t="s">
        <v>480</v>
      </c>
      <c r="C401" s="138" t="s">
        <v>330</v>
      </c>
      <c r="D401" s="15">
        <v>100000000</v>
      </c>
      <c r="E401" s="92">
        <v>0.99928817910000001</v>
      </c>
      <c r="F401" s="18">
        <v>99928817.909999996</v>
      </c>
      <c r="G401" s="18">
        <v>0.16</v>
      </c>
      <c r="H401" s="13"/>
      <c r="I401" s="13"/>
    </row>
    <row r="402" spans="1:9">
      <c r="A402" s="13" t="s">
        <v>929</v>
      </c>
      <c r="B402" s="138" t="s">
        <v>603</v>
      </c>
      <c r="C402" s="138" t="s">
        <v>330</v>
      </c>
      <c r="D402" s="15">
        <v>5000000</v>
      </c>
      <c r="E402" s="92">
        <v>0.97758256210000005</v>
      </c>
      <c r="F402" s="18">
        <v>4887912.8099999996</v>
      </c>
      <c r="G402" s="18">
        <v>0.01</v>
      </c>
      <c r="H402" s="13"/>
      <c r="I402" s="13"/>
    </row>
    <row r="403" spans="1:9">
      <c r="A403" s="13" t="s">
        <v>931</v>
      </c>
      <c r="B403" s="138" t="s">
        <v>930</v>
      </c>
      <c r="C403" s="138" t="s">
        <v>330</v>
      </c>
      <c r="D403" s="15">
        <v>5000000</v>
      </c>
      <c r="E403" s="92">
        <v>0.97546637439999995</v>
      </c>
      <c r="F403" s="18">
        <v>4877331.87</v>
      </c>
      <c r="G403" s="18">
        <v>0.01</v>
      </c>
      <c r="H403" s="13"/>
      <c r="I403" s="13"/>
    </row>
    <row r="404" spans="1:9">
      <c r="A404" s="13" t="s">
        <v>932</v>
      </c>
      <c r="B404" s="138" t="s">
        <v>483</v>
      </c>
      <c r="C404" s="138" t="s">
        <v>330</v>
      </c>
      <c r="D404" s="15">
        <v>5000000</v>
      </c>
      <c r="E404" s="92">
        <v>0.98041850159999999</v>
      </c>
      <c r="F404" s="18">
        <v>4902092.51</v>
      </c>
      <c r="G404" s="18">
        <v>0.01</v>
      </c>
      <c r="H404" s="13"/>
      <c r="I404" s="13"/>
    </row>
    <row r="405" spans="1:9">
      <c r="A405" s="13" t="s">
        <v>933</v>
      </c>
      <c r="B405" s="138" t="s">
        <v>560</v>
      </c>
      <c r="C405" s="138" t="s">
        <v>330</v>
      </c>
      <c r="D405" s="15">
        <v>5000000</v>
      </c>
      <c r="E405" s="92">
        <v>0.97476306219999997</v>
      </c>
      <c r="F405" s="18">
        <v>4873815.3099999996</v>
      </c>
      <c r="G405" s="18">
        <v>0.01</v>
      </c>
      <c r="H405" s="13"/>
      <c r="I405" s="13"/>
    </row>
    <row r="406" spans="1:9">
      <c r="A406" s="13" t="s">
        <v>934</v>
      </c>
      <c r="B406" s="138" t="s">
        <v>172</v>
      </c>
      <c r="C406" s="138" t="s">
        <v>330</v>
      </c>
      <c r="D406" s="15">
        <v>120000000</v>
      </c>
      <c r="E406" s="153">
        <v>0.99503845099999999</v>
      </c>
      <c r="F406" s="18">
        <v>119404614.12</v>
      </c>
      <c r="G406" s="150">
        <v>0.2</v>
      </c>
      <c r="H406" s="13"/>
      <c r="I406" s="13"/>
    </row>
    <row r="407" spans="1:9">
      <c r="A407" s="13" t="s">
        <v>935</v>
      </c>
      <c r="B407" s="138" t="s">
        <v>487</v>
      </c>
      <c r="C407" s="138" t="s">
        <v>330</v>
      </c>
      <c r="D407" s="15">
        <v>27000000</v>
      </c>
      <c r="E407" s="92">
        <v>0.99574423249999999</v>
      </c>
      <c r="F407" s="18">
        <v>26885094.280000001</v>
      </c>
      <c r="G407" s="18">
        <v>0.04</v>
      </c>
      <c r="H407" s="13"/>
      <c r="I407" s="13"/>
    </row>
    <row r="408" spans="1:9">
      <c r="A408" s="13" t="s">
        <v>943</v>
      </c>
      <c r="B408" s="138" t="s">
        <v>450</v>
      </c>
      <c r="C408" s="138" t="s">
        <v>330</v>
      </c>
      <c r="D408" s="15">
        <v>10000000</v>
      </c>
      <c r="E408" s="153">
        <v>0.98107733600000002</v>
      </c>
      <c r="F408" s="18">
        <v>9810773.3599999994</v>
      </c>
      <c r="G408" s="18">
        <v>0.02</v>
      </c>
      <c r="H408" s="13"/>
      <c r="I408" s="13"/>
    </row>
    <row r="409" spans="1:9">
      <c r="A409" s="13" t="s">
        <v>944</v>
      </c>
      <c r="B409" s="138" t="s">
        <v>454</v>
      </c>
      <c r="C409" s="138" t="s">
        <v>330</v>
      </c>
      <c r="D409" s="15">
        <v>10000000</v>
      </c>
      <c r="E409" s="92">
        <v>0.98023419889999996</v>
      </c>
      <c r="F409" s="18">
        <v>9802341.9900000002</v>
      </c>
      <c r="G409" s="18">
        <v>0.02</v>
      </c>
      <c r="H409" s="13"/>
      <c r="I409" s="13"/>
    </row>
    <row r="410" spans="1:9">
      <c r="A410" s="13" t="s">
        <v>945</v>
      </c>
      <c r="B410" s="138" t="s">
        <v>551</v>
      </c>
      <c r="C410" s="138" t="s">
        <v>330</v>
      </c>
      <c r="D410" s="15">
        <v>10000000</v>
      </c>
      <c r="E410" s="92">
        <v>0.9793925752</v>
      </c>
      <c r="F410" s="18">
        <v>9793925.75</v>
      </c>
      <c r="G410" s="18">
        <v>0.02</v>
      </c>
      <c r="H410" s="13"/>
      <c r="I410" s="13"/>
    </row>
    <row r="411" spans="1:9">
      <c r="A411" s="13" t="s">
        <v>946</v>
      </c>
      <c r="B411" s="138" t="s">
        <v>483</v>
      </c>
      <c r="C411" s="138" t="s">
        <v>330</v>
      </c>
      <c r="D411" s="15">
        <v>10000000</v>
      </c>
      <c r="E411" s="153">
        <v>0.976876148</v>
      </c>
      <c r="F411" s="18">
        <v>9768761.4800000004</v>
      </c>
      <c r="G411" s="18">
        <v>0.02</v>
      </c>
      <c r="H411" s="13"/>
      <c r="I411" s="13"/>
    </row>
    <row r="412" spans="1:9">
      <c r="A412" s="13" t="s">
        <v>947</v>
      </c>
      <c r="B412" s="138" t="s">
        <v>483</v>
      </c>
      <c r="C412" s="138" t="s">
        <v>330</v>
      </c>
      <c r="D412" s="15">
        <v>10000000</v>
      </c>
      <c r="E412" s="153">
        <v>0.976876148</v>
      </c>
      <c r="F412" s="18">
        <v>9768761.4800000004</v>
      </c>
      <c r="G412" s="18">
        <v>0.02</v>
      </c>
      <c r="H412" s="13"/>
      <c r="I412" s="13"/>
    </row>
    <row r="413" spans="1:9">
      <c r="A413" s="13" t="s">
        <v>948</v>
      </c>
      <c r="B413" s="138" t="s">
        <v>483</v>
      </c>
      <c r="C413" s="138" t="s">
        <v>330</v>
      </c>
      <c r="D413" s="15">
        <v>40000000</v>
      </c>
      <c r="E413" s="153">
        <v>0.976876148</v>
      </c>
      <c r="F413" s="18">
        <v>39075045.920000002</v>
      </c>
      <c r="G413" s="18">
        <v>0.06</v>
      </c>
      <c r="H413" s="13"/>
      <c r="I413" s="13"/>
    </row>
    <row r="414" spans="1:9">
      <c r="A414" s="13" t="s">
        <v>949</v>
      </c>
      <c r="B414" s="138" t="s">
        <v>607</v>
      </c>
      <c r="C414" s="138" t="s">
        <v>330</v>
      </c>
      <c r="D414" s="15">
        <v>40000000</v>
      </c>
      <c r="E414" s="92">
        <v>0.97604028539999999</v>
      </c>
      <c r="F414" s="18">
        <v>39041611.420000002</v>
      </c>
      <c r="G414" s="18">
        <v>0.06</v>
      </c>
      <c r="H414" s="13"/>
      <c r="I414" s="13"/>
    </row>
    <row r="415" spans="1:9">
      <c r="A415" s="13" t="s">
        <v>958</v>
      </c>
      <c r="B415" s="138" t="s">
        <v>450</v>
      </c>
      <c r="C415" s="138" t="s">
        <v>330</v>
      </c>
      <c r="D415" s="15">
        <v>13000000</v>
      </c>
      <c r="E415" s="153">
        <v>0.98107733600000002</v>
      </c>
      <c r="F415" s="18">
        <v>12754005.369999999</v>
      </c>
      <c r="G415" s="18">
        <v>0.02</v>
      </c>
      <c r="H415" s="13"/>
      <c r="I415" s="13"/>
    </row>
    <row r="416" spans="1:9">
      <c r="A416" s="13" t="s">
        <v>959</v>
      </c>
      <c r="B416" s="138" t="s">
        <v>415</v>
      </c>
      <c r="C416" s="138" t="s">
        <v>330</v>
      </c>
      <c r="D416" s="15">
        <v>13000000</v>
      </c>
      <c r="E416" s="28">
        <v>0.99303516000000003</v>
      </c>
      <c r="F416" s="18">
        <v>12909457.08</v>
      </c>
      <c r="G416" s="18">
        <v>0.02</v>
      </c>
      <c r="H416" s="13"/>
      <c r="I416" s="13"/>
    </row>
    <row r="417" spans="1:9">
      <c r="A417" s="13" t="s">
        <v>961</v>
      </c>
      <c r="B417" s="138" t="s">
        <v>456</v>
      </c>
      <c r="C417" s="138" t="s">
        <v>330</v>
      </c>
      <c r="D417" s="15">
        <v>1000000</v>
      </c>
      <c r="E417" s="92">
        <v>0.98192192990000005</v>
      </c>
      <c r="F417" s="18">
        <v>981921.93</v>
      </c>
      <c r="G417" s="15">
        <v>0</v>
      </c>
      <c r="H417" s="13"/>
      <c r="I417" s="13"/>
    </row>
    <row r="418" spans="1:9">
      <c r="A418" s="13" t="s">
        <v>962</v>
      </c>
      <c r="B418" s="138" t="s">
        <v>607</v>
      </c>
      <c r="C418" s="138" t="s">
        <v>330</v>
      </c>
      <c r="D418" s="15">
        <v>1000000</v>
      </c>
      <c r="E418" s="92">
        <v>0.97604028980000002</v>
      </c>
      <c r="F418" s="18">
        <v>976040.29</v>
      </c>
      <c r="G418" s="15">
        <v>0</v>
      </c>
      <c r="H418" s="13"/>
      <c r="I418" s="13"/>
    </row>
    <row r="419" spans="1:9">
      <c r="A419" s="13" t="s">
        <v>964</v>
      </c>
      <c r="B419" s="138" t="s">
        <v>480</v>
      </c>
      <c r="C419" s="138" t="s">
        <v>330</v>
      </c>
      <c r="D419" s="15">
        <v>1000000</v>
      </c>
      <c r="E419" s="28">
        <v>0.99912405000000004</v>
      </c>
      <c r="F419" s="18">
        <v>999124.05</v>
      </c>
      <c r="G419" s="15">
        <v>0</v>
      </c>
      <c r="H419" s="13"/>
      <c r="I419" s="13"/>
    </row>
    <row r="420" spans="1:9">
      <c r="A420" s="13" t="s">
        <v>965</v>
      </c>
      <c r="B420" s="138" t="s">
        <v>560</v>
      </c>
      <c r="C420" s="138" t="s">
        <v>330</v>
      </c>
      <c r="D420" s="150">
        <v>1008513.5</v>
      </c>
      <c r="E420" s="92">
        <v>0.97022866860000001</v>
      </c>
      <c r="F420" s="18">
        <v>978488.71</v>
      </c>
      <c r="G420" s="15">
        <v>0</v>
      </c>
      <c r="H420" s="13"/>
      <c r="I420" s="13"/>
    </row>
    <row r="421" spans="1:9">
      <c r="A421" s="13" t="s">
        <v>966</v>
      </c>
      <c r="B421" s="138" t="s">
        <v>415</v>
      </c>
      <c r="C421" s="138" t="s">
        <v>330</v>
      </c>
      <c r="D421" s="15">
        <v>1000000</v>
      </c>
      <c r="E421" s="28">
        <v>0.99303516000000003</v>
      </c>
      <c r="F421" s="18">
        <v>993035.16</v>
      </c>
      <c r="G421" s="15">
        <v>0</v>
      </c>
      <c r="H421" s="13"/>
      <c r="I421" s="13"/>
    </row>
    <row r="422" spans="1:9">
      <c r="A422" s="13" t="s">
        <v>967</v>
      </c>
      <c r="B422" s="138" t="s">
        <v>480</v>
      </c>
      <c r="C422" s="138" t="s">
        <v>330</v>
      </c>
      <c r="D422" s="15">
        <v>1000000</v>
      </c>
      <c r="E422" s="28">
        <v>0.99912405000000004</v>
      </c>
      <c r="F422" s="18">
        <v>999124.05</v>
      </c>
      <c r="G422" s="15">
        <v>0</v>
      </c>
      <c r="H422" s="13"/>
      <c r="I422" s="13"/>
    </row>
    <row r="423" spans="1:9">
      <c r="A423" s="13" t="s">
        <v>968</v>
      </c>
      <c r="B423" s="138" t="s">
        <v>647</v>
      </c>
      <c r="C423" s="138" t="s">
        <v>330</v>
      </c>
      <c r="D423" s="15">
        <v>1000000</v>
      </c>
      <c r="E423" s="92">
        <v>0.98531480019999995</v>
      </c>
      <c r="F423" s="150">
        <v>985314.8</v>
      </c>
      <c r="G423" s="15">
        <v>0</v>
      </c>
      <c r="H423" s="13"/>
      <c r="I423" s="13"/>
    </row>
    <row r="424" spans="1:9">
      <c r="A424" s="13" t="s">
        <v>969</v>
      </c>
      <c r="B424" s="138" t="s">
        <v>454</v>
      </c>
      <c r="C424" s="138" t="s">
        <v>330</v>
      </c>
      <c r="D424" s="15">
        <v>1000000</v>
      </c>
      <c r="E424" s="92">
        <v>0.98023420979999998</v>
      </c>
      <c r="F424" s="18">
        <v>980234.21</v>
      </c>
      <c r="G424" s="15">
        <v>0</v>
      </c>
      <c r="H424" s="13"/>
      <c r="I424" s="13"/>
    </row>
    <row r="425" spans="1:9">
      <c r="A425" s="13" t="s">
        <v>970</v>
      </c>
      <c r="B425" s="138" t="s">
        <v>920</v>
      </c>
      <c r="C425" s="138" t="s">
        <v>330</v>
      </c>
      <c r="D425" s="15">
        <v>1000000</v>
      </c>
      <c r="E425" s="92">
        <v>0.97437270009999999</v>
      </c>
      <c r="F425" s="150">
        <v>974372.7</v>
      </c>
      <c r="G425" s="15">
        <v>0</v>
      </c>
      <c r="H425" s="13"/>
      <c r="I425" s="13"/>
    </row>
    <row r="426" spans="1:9">
      <c r="A426" s="13" t="s">
        <v>971</v>
      </c>
      <c r="B426" s="138" t="s">
        <v>172</v>
      </c>
      <c r="C426" s="138" t="s">
        <v>330</v>
      </c>
      <c r="D426" s="15">
        <v>1000000</v>
      </c>
      <c r="E426" s="28">
        <v>0.99390045999999999</v>
      </c>
      <c r="F426" s="18">
        <v>993900.46</v>
      </c>
      <c r="G426" s="15">
        <v>0</v>
      </c>
      <c r="H426" s="13"/>
      <c r="I426" s="13"/>
    </row>
    <row r="427" spans="1:9">
      <c r="A427" s="13" t="s">
        <v>952</v>
      </c>
      <c r="B427" s="138" t="s">
        <v>450</v>
      </c>
      <c r="C427" s="138" t="s">
        <v>330</v>
      </c>
      <c r="D427" s="18">
        <v>15355310.449999999</v>
      </c>
      <c r="E427" s="92">
        <v>0.98107733659999996</v>
      </c>
      <c r="F427" s="18">
        <v>15064747.08</v>
      </c>
      <c r="G427" s="18">
        <v>0.02</v>
      </c>
      <c r="H427" s="13"/>
      <c r="I427" s="13"/>
    </row>
    <row r="428" spans="1:9">
      <c r="A428" s="13" t="s">
        <v>953</v>
      </c>
      <c r="B428" s="138" t="s">
        <v>454</v>
      </c>
      <c r="C428" s="138" t="s">
        <v>330</v>
      </c>
      <c r="D428" s="18">
        <v>15355310.449999999</v>
      </c>
      <c r="E428" s="92">
        <v>0.98023419769999998</v>
      </c>
      <c r="F428" s="18">
        <v>15051800.42</v>
      </c>
      <c r="G428" s="18">
        <v>0.02</v>
      </c>
      <c r="H428" s="13"/>
      <c r="I428" s="13"/>
    </row>
    <row r="429" spans="1:9">
      <c r="A429" s="13" t="s">
        <v>954</v>
      </c>
      <c r="B429" s="138" t="s">
        <v>551</v>
      </c>
      <c r="C429" s="138" t="s">
        <v>330</v>
      </c>
      <c r="D429" s="18">
        <v>15355310.449999999</v>
      </c>
      <c r="E429" s="92">
        <v>0.9793925752</v>
      </c>
      <c r="F429" s="18">
        <v>15038877.039999999</v>
      </c>
      <c r="G429" s="18">
        <v>0.02</v>
      </c>
      <c r="H429" s="13"/>
      <c r="I429" s="13"/>
    </row>
    <row r="430" spans="1:9">
      <c r="A430" s="13" t="s">
        <v>936</v>
      </c>
      <c r="B430" s="138" t="s">
        <v>483</v>
      </c>
      <c r="C430" s="138" t="s">
        <v>330</v>
      </c>
      <c r="D430" s="18">
        <v>15355310.449999999</v>
      </c>
      <c r="E430" s="153">
        <v>0.976876148</v>
      </c>
      <c r="F430" s="18">
        <v>15000236.52</v>
      </c>
      <c r="G430" s="18">
        <v>0.02</v>
      </c>
      <c r="H430" s="13"/>
      <c r="I430" s="13"/>
    </row>
    <row r="431" spans="1:9">
      <c r="A431" s="13" t="s">
        <v>937</v>
      </c>
      <c r="B431" s="138" t="s">
        <v>607</v>
      </c>
      <c r="C431" s="138" t="s">
        <v>330</v>
      </c>
      <c r="D431" s="18">
        <v>15355310.449999999</v>
      </c>
      <c r="E431" s="92">
        <v>0.97604028539999999</v>
      </c>
      <c r="F431" s="18">
        <v>14987401.59</v>
      </c>
      <c r="G431" s="18">
        <v>0.02</v>
      </c>
      <c r="H431" s="13"/>
      <c r="I431" s="13"/>
    </row>
    <row r="432" spans="1:9">
      <c r="A432" s="13" t="s">
        <v>938</v>
      </c>
      <c r="B432" s="138" t="s">
        <v>527</v>
      </c>
      <c r="C432" s="138" t="s">
        <v>330</v>
      </c>
      <c r="D432" s="18">
        <v>15355310.449999999</v>
      </c>
      <c r="E432" s="92">
        <v>0.97520577519999996</v>
      </c>
      <c r="F432" s="18">
        <v>14974587.43</v>
      </c>
      <c r="G432" s="18">
        <v>0.02</v>
      </c>
      <c r="H432" s="13"/>
      <c r="I432" s="13"/>
    </row>
    <row r="433" spans="1:9">
      <c r="A433" s="13" t="s">
        <v>939</v>
      </c>
      <c r="B433" s="138" t="s">
        <v>920</v>
      </c>
      <c r="C433" s="138" t="s">
        <v>330</v>
      </c>
      <c r="D433" s="18">
        <v>15355310.449999999</v>
      </c>
      <c r="E433" s="92">
        <v>0.97437268990000003</v>
      </c>
      <c r="F433" s="18">
        <v>14961795.15</v>
      </c>
      <c r="G433" s="18">
        <v>0.02</v>
      </c>
      <c r="H433" s="13"/>
      <c r="I433" s="13"/>
    </row>
    <row r="434" spans="1:9">
      <c r="A434" s="13" t="s">
        <v>940</v>
      </c>
      <c r="B434" s="138" t="s">
        <v>546</v>
      </c>
      <c r="C434" s="138" t="s">
        <v>330</v>
      </c>
      <c r="D434" s="18">
        <v>15355310.449999999</v>
      </c>
      <c r="E434" s="92">
        <v>0.98276790889999999</v>
      </c>
      <c r="F434" s="18">
        <v>15090706.34</v>
      </c>
      <c r="G434" s="18">
        <v>0.02</v>
      </c>
      <c r="H434" s="13"/>
      <c r="I434" s="13"/>
    </row>
    <row r="435" spans="1:9">
      <c r="A435" s="13" t="s">
        <v>941</v>
      </c>
      <c r="B435" s="138" t="s">
        <v>456</v>
      </c>
      <c r="C435" s="138" t="s">
        <v>330</v>
      </c>
      <c r="D435" s="18">
        <v>15355310.449999999</v>
      </c>
      <c r="E435" s="92">
        <v>0.98192192609999995</v>
      </c>
      <c r="F435" s="18">
        <v>15077716.01</v>
      </c>
      <c r="G435" s="18">
        <v>0.02</v>
      </c>
      <c r="H435" s="13"/>
      <c r="I435" s="13"/>
    </row>
    <row r="436" spans="1:9">
      <c r="A436" s="13" t="s">
        <v>942</v>
      </c>
      <c r="B436" s="138" t="s">
        <v>647</v>
      </c>
      <c r="C436" s="138" t="s">
        <v>330</v>
      </c>
      <c r="D436" s="18">
        <v>15355310.449999999</v>
      </c>
      <c r="E436" s="92">
        <v>0.98531480739999999</v>
      </c>
      <c r="F436" s="18">
        <v>15129814.76</v>
      </c>
      <c r="G436" s="18">
        <v>0.02</v>
      </c>
      <c r="H436" s="13"/>
      <c r="I436" s="13"/>
    </row>
    <row r="437" spans="1:9">
      <c r="A437" s="13" t="s">
        <v>955</v>
      </c>
      <c r="B437" s="138" t="s">
        <v>533</v>
      </c>
      <c r="C437" s="138" t="s">
        <v>330</v>
      </c>
      <c r="D437" s="15">
        <v>50000000</v>
      </c>
      <c r="E437" s="92">
        <v>0.9861666563</v>
      </c>
      <c r="F437" s="18">
        <v>49308332.82</v>
      </c>
      <c r="G437" s="18">
        <v>0.08</v>
      </c>
      <c r="H437" s="13"/>
      <c r="I437" s="13"/>
    </row>
    <row r="438" spans="1:9">
      <c r="A438" s="13" t="s">
        <v>956</v>
      </c>
      <c r="B438" s="138" t="s">
        <v>454</v>
      </c>
      <c r="C438" s="138" t="s">
        <v>330</v>
      </c>
      <c r="D438" s="15">
        <v>50000000</v>
      </c>
      <c r="E438" s="92">
        <v>0.98023419769999998</v>
      </c>
      <c r="F438" s="18">
        <v>49011709.890000001</v>
      </c>
      <c r="G438" s="18">
        <v>0.08</v>
      </c>
      <c r="H438" s="13"/>
      <c r="I438" s="13"/>
    </row>
    <row r="439" spans="1:9">
      <c r="A439" s="13" t="s">
        <v>972</v>
      </c>
      <c r="B439" s="138" t="s">
        <v>480</v>
      </c>
      <c r="C439" s="138" t="s">
        <v>304</v>
      </c>
      <c r="D439" s="18">
        <v>16545572.09</v>
      </c>
      <c r="E439" s="92">
        <v>0.99923346680000003</v>
      </c>
      <c r="F439" s="18">
        <v>16532889.359999999</v>
      </c>
      <c r="G439" s="18">
        <v>0.03</v>
      </c>
      <c r="H439" s="13"/>
      <c r="I439" s="13"/>
    </row>
    <row r="440" spans="1:9">
      <c r="A440" s="13" t="s">
        <v>973</v>
      </c>
      <c r="B440" s="138" t="s">
        <v>607</v>
      </c>
      <c r="C440" s="138" t="s">
        <v>304</v>
      </c>
      <c r="D440" s="15">
        <v>10000000</v>
      </c>
      <c r="E440" s="92">
        <v>0.97897222279999996</v>
      </c>
      <c r="F440" s="18">
        <v>9789722.2300000004</v>
      </c>
      <c r="G440" s="18">
        <v>0.02</v>
      </c>
      <c r="H440" s="13"/>
      <c r="I440" s="13"/>
    </row>
    <row r="441" spans="1:9">
      <c r="A441" s="13" t="s">
        <v>974</v>
      </c>
      <c r="B441" s="138" t="s">
        <v>370</v>
      </c>
      <c r="C441" s="138" t="s">
        <v>304</v>
      </c>
      <c r="D441" s="15">
        <v>10000000</v>
      </c>
      <c r="E441" s="153">
        <v>0.99754032199999998</v>
      </c>
      <c r="F441" s="18">
        <v>9975403.2200000007</v>
      </c>
      <c r="G441" s="18">
        <v>0.02</v>
      </c>
      <c r="H441" s="13"/>
      <c r="I441" s="13"/>
    </row>
    <row r="442" spans="1:9">
      <c r="A442" s="13" t="s">
        <v>975</v>
      </c>
      <c r="B442" s="138" t="s">
        <v>527</v>
      </c>
      <c r="C442" s="138" t="s">
        <v>304</v>
      </c>
      <c r="D442" s="15">
        <v>10000000</v>
      </c>
      <c r="E442" s="92">
        <v>0.97520579780000005</v>
      </c>
      <c r="F442" s="18">
        <v>9752057.9800000004</v>
      </c>
      <c r="G442" s="18">
        <v>0.02</v>
      </c>
      <c r="H442" s="13"/>
      <c r="I442" s="13"/>
    </row>
    <row r="443" spans="1:9">
      <c r="A443" s="13" t="s">
        <v>976</v>
      </c>
      <c r="B443" s="138" t="s">
        <v>497</v>
      </c>
      <c r="C443" s="138" t="s">
        <v>304</v>
      </c>
      <c r="D443" s="15">
        <v>15000000</v>
      </c>
      <c r="E443" s="92">
        <v>0.93140768559999998</v>
      </c>
      <c r="F443" s="18">
        <v>13971115.279999999</v>
      </c>
      <c r="G443" s="18">
        <v>0.02</v>
      </c>
      <c r="H443" s="13"/>
      <c r="I443" s="13"/>
    </row>
    <row r="444" spans="1:9">
      <c r="A444" s="13" t="s">
        <v>977</v>
      </c>
      <c r="B444" s="138" t="s">
        <v>607</v>
      </c>
      <c r="C444" s="138" t="s">
        <v>304</v>
      </c>
      <c r="D444" s="15">
        <v>10000000</v>
      </c>
      <c r="E444" s="92">
        <v>0.9760402292</v>
      </c>
      <c r="F444" s="18">
        <v>9760402.2899999991</v>
      </c>
      <c r="G444" s="18">
        <v>0.02</v>
      </c>
      <c r="H444" s="13"/>
      <c r="I444" s="13"/>
    </row>
    <row r="445" spans="1:9">
      <c r="A445" s="13" t="s">
        <v>978</v>
      </c>
      <c r="B445" s="138" t="s">
        <v>593</v>
      </c>
      <c r="C445" s="138" t="s">
        <v>304</v>
      </c>
      <c r="D445" s="15">
        <v>15000000</v>
      </c>
      <c r="E445" s="153">
        <v>0.94608605499999998</v>
      </c>
      <c r="F445" s="18">
        <v>14191290.83</v>
      </c>
      <c r="G445" s="18">
        <v>0.02</v>
      </c>
      <c r="H445" s="13"/>
      <c r="I445" s="13"/>
    </row>
    <row r="446" spans="1:9">
      <c r="A446" s="13" t="s">
        <v>980</v>
      </c>
      <c r="B446" s="138" t="s">
        <v>549</v>
      </c>
      <c r="C446" s="138" t="s">
        <v>392</v>
      </c>
      <c r="D446" s="15">
        <v>25000000</v>
      </c>
      <c r="E446" s="92">
        <v>0.95592287080000005</v>
      </c>
      <c r="F446" s="18">
        <v>23898071.77</v>
      </c>
      <c r="G446" s="18">
        <v>0.04</v>
      </c>
      <c r="H446" s="13"/>
      <c r="I446" s="13"/>
    </row>
    <row r="447" spans="1:9">
      <c r="A447" s="13" t="s">
        <v>986</v>
      </c>
      <c r="B447" s="138" t="s">
        <v>544</v>
      </c>
      <c r="C447" s="138" t="s">
        <v>412</v>
      </c>
      <c r="D447" s="15">
        <v>800000000</v>
      </c>
      <c r="E447" s="92">
        <v>0.95674969620000005</v>
      </c>
      <c r="F447" s="18">
        <v>765399756.96000004</v>
      </c>
      <c r="G447" s="18">
        <v>1.25</v>
      </c>
      <c r="H447" s="13"/>
      <c r="I447" s="13"/>
    </row>
    <row r="448" spans="1:9">
      <c r="A448" s="13" t="s">
        <v>982</v>
      </c>
      <c r="B448" s="138" t="s">
        <v>544</v>
      </c>
      <c r="C448" s="138" t="s">
        <v>412</v>
      </c>
      <c r="D448" s="15">
        <v>650000000</v>
      </c>
      <c r="E448" s="92">
        <v>0.95674969620000005</v>
      </c>
      <c r="F448" s="18">
        <v>621887302.52999997</v>
      </c>
      <c r="G448" s="18">
        <v>1.02</v>
      </c>
      <c r="H448" s="13"/>
      <c r="I448" s="13"/>
    </row>
    <row r="449" spans="1:9">
      <c r="A449" s="13" t="s">
        <v>984</v>
      </c>
      <c r="B449" s="138" t="s">
        <v>610</v>
      </c>
      <c r="C449" s="138" t="s">
        <v>412</v>
      </c>
      <c r="D449" s="15">
        <v>15000000</v>
      </c>
      <c r="E449" s="153">
        <v>0.99808586600000004</v>
      </c>
      <c r="F449" s="18">
        <v>14971287.99</v>
      </c>
      <c r="G449" s="18">
        <v>0.02</v>
      </c>
      <c r="H449" s="13"/>
      <c r="I449" s="13"/>
    </row>
    <row r="450" spans="1:9">
      <c r="A450" s="13" t="s">
        <v>985</v>
      </c>
      <c r="B450" s="138" t="s">
        <v>172</v>
      </c>
      <c r="C450" s="138" t="s">
        <v>412</v>
      </c>
      <c r="D450" s="15">
        <v>20000000</v>
      </c>
      <c r="E450" s="92">
        <v>0.99333245339999998</v>
      </c>
      <c r="F450" s="18">
        <v>19866649.07</v>
      </c>
      <c r="G450" s="18">
        <v>0.03</v>
      </c>
      <c r="H450" s="13"/>
      <c r="I450" s="13"/>
    </row>
    <row r="451" spans="1:9">
      <c r="A451" s="13" t="s">
        <v>989</v>
      </c>
      <c r="B451" s="138" t="s">
        <v>546</v>
      </c>
      <c r="C451" s="138" t="s">
        <v>354</v>
      </c>
      <c r="D451" s="15">
        <v>440000000</v>
      </c>
      <c r="E451" s="92">
        <v>0.98171064460000002</v>
      </c>
      <c r="F451" s="18">
        <v>431952683.62</v>
      </c>
      <c r="G451" s="18">
        <v>0.71</v>
      </c>
      <c r="H451" s="13"/>
      <c r="I451" s="13"/>
    </row>
    <row r="452" spans="1:9">
      <c r="A452" s="13" t="s">
        <v>988</v>
      </c>
      <c r="B452" s="138" t="s">
        <v>544</v>
      </c>
      <c r="C452" s="138" t="s">
        <v>354</v>
      </c>
      <c r="D452" s="15">
        <v>650000000</v>
      </c>
      <c r="E452" s="28">
        <v>0.95674972999999996</v>
      </c>
      <c r="F452" s="150">
        <v>621887324.5</v>
      </c>
      <c r="G452" s="18">
        <v>1.02</v>
      </c>
      <c r="H452" s="13"/>
      <c r="I452" s="13"/>
    </row>
    <row r="453" spans="1:9">
      <c r="A453" s="13" t="s">
        <v>990</v>
      </c>
      <c r="B453" s="138" t="s">
        <v>546</v>
      </c>
      <c r="C453" s="138" t="s">
        <v>353</v>
      </c>
      <c r="D453" s="15">
        <v>115000000</v>
      </c>
      <c r="E453" s="92">
        <v>0.98118286480000005</v>
      </c>
      <c r="F453" s="18">
        <v>112836029.45</v>
      </c>
      <c r="G453" s="18">
        <v>0.18</v>
      </c>
      <c r="H453" s="13"/>
      <c r="I453" s="13"/>
    </row>
    <row r="454" spans="1:9">
      <c r="A454" s="13" t="s">
        <v>991</v>
      </c>
      <c r="B454" s="138" t="s">
        <v>456</v>
      </c>
      <c r="C454" s="138" t="s">
        <v>353</v>
      </c>
      <c r="D454" s="15">
        <v>42000000</v>
      </c>
      <c r="E454" s="92">
        <v>0.98081372209999995</v>
      </c>
      <c r="F454" s="18">
        <v>41194176.329999998</v>
      </c>
      <c r="G454" s="18">
        <v>7.0000000000000007E-2</v>
      </c>
      <c r="H454" s="13"/>
      <c r="I454" s="13"/>
    </row>
    <row r="455" spans="1:9">
      <c r="A455" s="13" t="s">
        <v>992</v>
      </c>
      <c r="B455" s="138" t="s">
        <v>415</v>
      </c>
      <c r="C455" s="138" t="s">
        <v>353</v>
      </c>
      <c r="D455" s="15">
        <v>5000000</v>
      </c>
      <c r="E455" s="92">
        <v>0.99217137209999995</v>
      </c>
      <c r="F455" s="18">
        <v>4960856.8600000003</v>
      </c>
      <c r="G455" s="18">
        <v>0.01</v>
      </c>
      <c r="H455" s="13"/>
      <c r="I455" s="13"/>
    </row>
    <row r="456" spans="1:9">
      <c r="A456" s="13" t="s">
        <v>993</v>
      </c>
      <c r="B456" s="138" t="s">
        <v>444</v>
      </c>
      <c r="C456" s="138" t="s">
        <v>353</v>
      </c>
      <c r="D456" s="15">
        <v>6000000</v>
      </c>
      <c r="E456" s="92">
        <v>0.99023334669999996</v>
      </c>
      <c r="F456" s="18">
        <v>5941400.0800000001</v>
      </c>
      <c r="G456" s="18">
        <v>0.01</v>
      </c>
      <c r="H456" s="13"/>
      <c r="I456" s="13"/>
    </row>
    <row r="457" spans="1:9">
      <c r="A457" s="13" t="s">
        <v>994</v>
      </c>
      <c r="B457" s="138" t="s">
        <v>475</v>
      </c>
      <c r="C457" s="138" t="s">
        <v>353</v>
      </c>
      <c r="D457" s="15">
        <v>30000000</v>
      </c>
      <c r="E457" s="92">
        <v>0.9867532094</v>
      </c>
      <c r="F457" s="18">
        <v>29602596.280000001</v>
      </c>
      <c r="G457" s="18">
        <v>0.05</v>
      </c>
      <c r="H457" s="13"/>
      <c r="I457" s="13"/>
    </row>
    <row r="458" spans="1:9">
      <c r="A458" s="13" t="s">
        <v>995</v>
      </c>
      <c r="B458" s="138" t="s">
        <v>879</v>
      </c>
      <c r="C458" s="138" t="s">
        <v>353</v>
      </c>
      <c r="D458" s="15">
        <v>4000000</v>
      </c>
      <c r="E458" s="153">
        <v>0.90859319400000005</v>
      </c>
      <c r="F458" s="18">
        <v>3634372.78</v>
      </c>
      <c r="G458" s="18">
        <v>0.01</v>
      </c>
      <c r="H458" s="13"/>
      <c r="I458" s="13"/>
    </row>
    <row r="459" spans="1:9">
      <c r="A459" s="13" t="s">
        <v>996</v>
      </c>
      <c r="B459" s="138" t="s">
        <v>568</v>
      </c>
      <c r="C459" s="138" t="s">
        <v>353</v>
      </c>
      <c r="D459" s="15">
        <v>4000000</v>
      </c>
      <c r="E459" s="92">
        <v>0.93145523549999998</v>
      </c>
      <c r="F459" s="18">
        <v>3725820.94</v>
      </c>
      <c r="G459" s="18">
        <v>0.01</v>
      </c>
      <c r="H459" s="13"/>
      <c r="I459" s="13"/>
    </row>
    <row r="460" spans="1:9">
      <c r="A460" s="13" t="s">
        <v>997</v>
      </c>
      <c r="B460" s="138" t="s">
        <v>549</v>
      </c>
      <c r="C460" s="138" t="s">
        <v>353</v>
      </c>
      <c r="D460" s="15">
        <v>4000000</v>
      </c>
      <c r="E460" s="153">
        <v>0.95464776200000001</v>
      </c>
      <c r="F460" s="18">
        <v>3818591.05</v>
      </c>
      <c r="G460" s="18">
        <v>0.01</v>
      </c>
      <c r="H460" s="13"/>
      <c r="I460" s="13"/>
    </row>
    <row r="461" spans="1:9">
      <c r="A461" s="13" t="s">
        <v>998</v>
      </c>
      <c r="B461" s="138" t="s">
        <v>999</v>
      </c>
      <c r="C461" s="138" t="s">
        <v>353</v>
      </c>
      <c r="D461" s="15">
        <v>4000000</v>
      </c>
      <c r="E461" s="92">
        <v>0.89945795939999995</v>
      </c>
      <c r="F461" s="18">
        <v>3597831.84</v>
      </c>
      <c r="G461" s="18">
        <v>0.01</v>
      </c>
      <c r="H461" s="13"/>
      <c r="I461" s="13"/>
    </row>
    <row r="462" spans="1:9">
      <c r="A462" s="13" t="s">
        <v>1000</v>
      </c>
      <c r="B462" s="138" t="s">
        <v>884</v>
      </c>
      <c r="C462" s="138" t="s">
        <v>353</v>
      </c>
      <c r="D462" s="15">
        <v>4000000</v>
      </c>
      <c r="E462" s="92">
        <v>0.92027648819999996</v>
      </c>
      <c r="F462" s="18">
        <v>3681105.95</v>
      </c>
      <c r="G462" s="18">
        <v>0.01</v>
      </c>
      <c r="H462" s="13"/>
      <c r="I462" s="13"/>
    </row>
    <row r="463" spans="1:9">
      <c r="A463" s="13" t="s">
        <v>1002</v>
      </c>
      <c r="B463" s="138" t="s">
        <v>544</v>
      </c>
      <c r="C463" s="138" t="s">
        <v>338</v>
      </c>
      <c r="D463" s="15">
        <v>40000000</v>
      </c>
      <c r="E463" s="92">
        <v>0.96688741980000004</v>
      </c>
      <c r="F463" s="18">
        <v>38675496.789999999</v>
      </c>
      <c r="G463" s="18">
        <v>0.06</v>
      </c>
      <c r="H463" s="13"/>
      <c r="I463" s="13"/>
    </row>
    <row r="464" spans="1:9">
      <c r="A464" s="13" t="s">
        <v>1003</v>
      </c>
      <c r="B464" s="138" t="s">
        <v>930</v>
      </c>
      <c r="C464" s="138" t="s">
        <v>338</v>
      </c>
      <c r="D464" s="15">
        <v>40000000</v>
      </c>
      <c r="E464" s="92">
        <v>0.97105463049999996</v>
      </c>
      <c r="F464" s="18">
        <v>38842185.219999999</v>
      </c>
      <c r="G464" s="18">
        <v>0.06</v>
      </c>
      <c r="H464" s="13"/>
      <c r="I464" s="13"/>
    </row>
    <row r="465" spans="1:9">
      <c r="A465" s="13" t="s">
        <v>1004</v>
      </c>
      <c r="B465" s="138" t="s">
        <v>560</v>
      </c>
      <c r="C465" s="138" t="s">
        <v>338</v>
      </c>
      <c r="D465" s="15">
        <v>40000000</v>
      </c>
      <c r="E465" s="92">
        <v>0.97022861530000004</v>
      </c>
      <c r="F465" s="18">
        <v>38809144.609999999</v>
      </c>
      <c r="G465" s="18">
        <v>0.06</v>
      </c>
      <c r="H465" s="13"/>
      <c r="I465" s="13"/>
    </row>
    <row r="466" spans="1:9">
      <c r="A466" s="13" t="s">
        <v>1005</v>
      </c>
      <c r="B466" s="138" t="s">
        <v>577</v>
      </c>
      <c r="C466" s="138" t="s">
        <v>338</v>
      </c>
      <c r="D466" s="15">
        <v>40000000</v>
      </c>
      <c r="E466" s="153">
        <v>0.96940410099999996</v>
      </c>
      <c r="F466" s="18">
        <v>38776164.039999999</v>
      </c>
      <c r="G466" s="18">
        <v>0.06</v>
      </c>
      <c r="H466" s="13"/>
      <c r="I466" s="13"/>
    </row>
    <row r="467" spans="1:9">
      <c r="A467" s="13" t="s">
        <v>1006</v>
      </c>
      <c r="B467" s="138" t="s">
        <v>549</v>
      </c>
      <c r="C467" s="138" t="s">
        <v>338</v>
      </c>
      <c r="D467" s="18">
        <v>14479899.68</v>
      </c>
      <c r="E467" s="92">
        <v>0.95720139039999996</v>
      </c>
      <c r="F467" s="18">
        <v>13860180.109999999</v>
      </c>
      <c r="G467" s="18">
        <v>0.02</v>
      </c>
      <c r="H467" s="13"/>
      <c r="I467" s="13"/>
    </row>
    <row r="468" spans="1:9">
      <c r="A468" s="13" t="s">
        <v>1007</v>
      </c>
      <c r="B468" s="138" t="s">
        <v>544</v>
      </c>
      <c r="C468" s="138" t="s">
        <v>338</v>
      </c>
      <c r="D468" s="18">
        <v>14479899.68</v>
      </c>
      <c r="E468" s="92">
        <v>0.95800525309999995</v>
      </c>
      <c r="F468" s="18">
        <v>13871819.960000001</v>
      </c>
      <c r="G468" s="18">
        <v>0.02</v>
      </c>
      <c r="H468" s="13"/>
      <c r="I468" s="13"/>
    </row>
    <row r="469" spans="1:9">
      <c r="A469" s="13" t="s">
        <v>1008</v>
      </c>
      <c r="B469" s="138" t="s">
        <v>494</v>
      </c>
      <c r="C469" s="138" t="s">
        <v>338</v>
      </c>
      <c r="D469" s="18">
        <v>14479899.689999999</v>
      </c>
      <c r="E469" s="153">
        <v>0.96367102900000001</v>
      </c>
      <c r="F469" s="18">
        <v>13953859.83</v>
      </c>
      <c r="G469" s="18">
        <v>0.02</v>
      </c>
      <c r="H469" s="13"/>
      <c r="I469" s="13"/>
    </row>
    <row r="470" spans="1:9">
      <c r="A470" s="13" t="s">
        <v>1009</v>
      </c>
      <c r="B470" s="138" t="s">
        <v>489</v>
      </c>
      <c r="C470" s="138" t="s">
        <v>338</v>
      </c>
      <c r="D470" s="18">
        <v>14479899.68</v>
      </c>
      <c r="E470" s="92">
        <v>0.96285751809999998</v>
      </c>
      <c r="F470" s="18">
        <v>13942080.27</v>
      </c>
      <c r="G470" s="18">
        <v>0.02</v>
      </c>
      <c r="H470" s="13"/>
      <c r="I470" s="13"/>
    </row>
    <row r="471" spans="1:9">
      <c r="A471" s="13" t="s">
        <v>1010</v>
      </c>
      <c r="B471" s="138" t="s">
        <v>581</v>
      </c>
      <c r="C471" s="138" t="s">
        <v>338</v>
      </c>
      <c r="D471" s="18">
        <v>14479899.68</v>
      </c>
      <c r="E471" s="92">
        <v>0.96204537919999999</v>
      </c>
      <c r="F471" s="18">
        <v>13930320.58</v>
      </c>
      <c r="G471" s="18">
        <v>0.02</v>
      </c>
      <c r="H471" s="13"/>
      <c r="I471" s="13"/>
    </row>
    <row r="472" spans="1:9">
      <c r="A472" s="13" t="s">
        <v>1011</v>
      </c>
      <c r="B472" s="138" t="s">
        <v>727</v>
      </c>
      <c r="C472" s="138" t="s">
        <v>338</v>
      </c>
      <c r="D472" s="18">
        <v>14479899.68</v>
      </c>
      <c r="E472" s="92">
        <v>0.95881058529999996</v>
      </c>
      <c r="F472" s="18">
        <v>13883481.09</v>
      </c>
      <c r="G472" s="18">
        <v>0.02</v>
      </c>
      <c r="H472" s="13"/>
      <c r="I472" s="13"/>
    </row>
    <row r="473" spans="1:9">
      <c r="A473" s="13" t="s">
        <v>1012</v>
      </c>
      <c r="B473" s="138" t="s">
        <v>890</v>
      </c>
      <c r="C473" s="138" t="s">
        <v>338</v>
      </c>
      <c r="D473" s="15">
        <v>3517425</v>
      </c>
      <c r="E473" s="92">
        <v>0.94217870159999995</v>
      </c>
      <c r="F473" s="18">
        <v>3314042.92</v>
      </c>
      <c r="G473" s="18">
        <v>0.01</v>
      </c>
      <c r="H473" s="13"/>
      <c r="I473" s="13"/>
    </row>
    <row r="474" spans="1:9">
      <c r="A474" s="13" t="s">
        <v>1013</v>
      </c>
      <c r="B474" s="138" t="s">
        <v>549</v>
      </c>
      <c r="C474" s="138" t="s">
        <v>338</v>
      </c>
      <c r="D474" s="15">
        <v>3413365</v>
      </c>
      <c r="E474" s="153">
        <v>0.95720138399999999</v>
      </c>
      <c r="F474" s="150">
        <v>3267277.7</v>
      </c>
      <c r="G474" s="18">
        <v>0.01</v>
      </c>
      <c r="H474" s="13"/>
      <c r="I474" s="13"/>
    </row>
    <row r="475" spans="1:9">
      <c r="A475" s="13" t="s">
        <v>1014</v>
      </c>
      <c r="B475" s="138" t="s">
        <v>172</v>
      </c>
      <c r="C475" s="138" t="s">
        <v>338</v>
      </c>
      <c r="D475" s="150">
        <v>22266654.899999999</v>
      </c>
      <c r="E475" s="92">
        <v>0.99390046860000003</v>
      </c>
      <c r="F475" s="18">
        <v>22130838.739999998</v>
      </c>
      <c r="G475" s="18">
        <v>0.04</v>
      </c>
      <c r="H475" s="13"/>
      <c r="I475" s="13"/>
    </row>
    <row r="476" spans="1:9">
      <c r="A476" s="13" t="s">
        <v>1015</v>
      </c>
      <c r="B476" s="138" t="s">
        <v>920</v>
      </c>
      <c r="C476" s="138" t="s">
        <v>338</v>
      </c>
      <c r="D476" s="15">
        <v>115000000</v>
      </c>
      <c r="E476" s="92">
        <v>0.97203733179999996</v>
      </c>
      <c r="F476" s="18">
        <v>111784293.16</v>
      </c>
      <c r="G476" s="18">
        <v>0.18</v>
      </c>
      <c r="H476" s="13"/>
      <c r="I476" s="13"/>
    </row>
    <row r="477" spans="1:9">
      <c r="A477" s="13" t="s">
        <v>1019</v>
      </c>
      <c r="B477" s="138" t="s">
        <v>610</v>
      </c>
      <c r="C477" s="138" t="s">
        <v>338</v>
      </c>
      <c r="D477" s="15">
        <v>8750000</v>
      </c>
      <c r="E477" s="92">
        <v>0.99835886289999998</v>
      </c>
      <c r="F477" s="18">
        <v>8735640.0500000007</v>
      </c>
      <c r="G477" s="18">
        <v>0.01</v>
      </c>
      <c r="H477" s="13"/>
      <c r="I477" s="13"/>
    </row>
    <row r="478" spans="1:9">
      <c r="A478" s="13" t="s">
        <v>1020</v>
      </c>
      <c r="B478" s="138" t="s">
        <v>546</v>
      </c>
      <c r="C478" s="138" t="s">
        <v>338</v>
      </c>
      <c r="D478" s="15">
        <v>9600000</v>
      </c>
      <c r="E478" s="92">
        <v>0.98648649879999994</v>
      </c>
      <c r="F478" s="18">
        <v>9470270.3900000006</v>
      </c>
      <c r="G478" s="18">
        <v>0.02</v>
      </c>
      <c r="H478" s="13"/>
      <c r="I478" s="13"/>
    </row>
    <row r="479" spans="1:9">
      <c r="A479" s="13" t="s">
        <v>1021</v>
      </c>
      <c r="B479" s="138" t="s">
        <v>450</v>
      </c>
      <c r="C479" s="138" t="s">
        <v>338</v>
      </c>
      <c r="D479" s="15">
        <v>9600000</v>
      </c>
      <c r="E479" s="92">
        <v>0.98515523549999995</v>
      </c>
      <c r="F479" s="18">
        <v>9457490.2599999998</v>
      </c>
      <c r="G479" s="18">
        <v>0.02</v>
      </c>
      <c r="H479" s="13"/>
      <c r="I479" s="13"/>
    </row>
    <row r="480" spans="1:9">
      <c r="A480" s="13" t="s">
        <v>1022</v>
      </c>
      <c r="B480" s="138" t="s">
        <v>450</v>
      </c>
      <c r="C480" s="138" t="s">
        <v>338</v>
      </c>
      <c r="D480" s="15">
        <v>9600000</v>
      </c>
      <c r="E480" s="92">
        <v>0.98515523549999995</v>
      </c>
      <c r="F480" s="18">
        <v>9457490.2599999998</v>
      </c>
      <c r="G480" s="18">
        <v>0.02</v>
      </c>
      <c r="H480" s="13"/>
      <c r="I480" s="13"/>
    </row>
    <row r="481" spans="1:9">
      <c r="A481" s="13" t="s">
        <v>1043</v>
      </c>
      <c r="B481" s="138" t="s">
        <v>487</v>
      </c>
      <c r="C481" s="138" t="s">
        <v>344</v>
      </c>
      <c r="D481" s="15">
        <v>1606134</v>
      </c>
      <c r="E481" s="92">
        <v>0.99509270090000002</v>
      </c>
      <c r="F481" s="18">
        <v>1598252.22</v>
      </c>
      <c r="G481" s="15">
        <v>0</v>
      </c>
      <c r="H481" s="13"/>
      <c r="I481" s="13"/>
    </row>
    <row r="482" spans="1:9">
      <c r="A482" s="13" t="s">
        <v>1027</v>
      </c>
      <c r="B482" s="138" t="s">
        <v>610</v>
      </c>
      <c r="C482" s="138" t="s">
        <v>344</v>
      </c>
      <c r="D482" s="18">
        <v>1770042.53</v>
      </c>
      <c r="E482" s="92">
        <v>0.99835886419999997</v>
      </c>
      <c r="F482" s="18">
        <v>1767137.65</v>
      </c>
      <c r="G482" s="15">
        <v>0</v>
      </c>
      <c r="H482" s="13"/>
      <c r="I482" s="13"/>
    </row>
    <row r="483" spans="1:9">
      <c r="A483" s="13" t="s">
        <v>1044</v>
      </c>
      <c r="B483" s="138" t="s">
        <v>607</v>
      </c>
      <c r="C483" s="138" t="s">
        <v>344</v>
      </c>
      <c r="D483" s="15">
        <v>7250000</v>
      </c>
      <c r="E483" s="92">
        <v>0.9811828038</v>
      </c>
      <c r="F483" s="18">
        <v>7113575.3300000001</v>
      </c>
      <c r="G483" s="18">
        <v>0.01</v>
      </c>
      <c r="H483" s="13"/>
      <c r="I483" s="13"/>
    </row>
    <row r="484" spans="1:9">
      <c r="A484" s="13" t="s">
        <v>1045</v>
      </c>
      <c r="B484" s="138" t="s">
        <v>603</v>
      </c>
      <c r="C484" s="138" t="s">
        <v>344</v>
      </c>
      <c r="D484" s="15">
        <v>7250000</v>
      </c>
      <c r="E484" s="92">
        <v>0.97920860519999997</v>
      </c>
      <c r="F484" s="18">
        <v>7099262.3899999997</v>
      </c>
      <c r="G484" s="18">
        <v>0.01</v>
      </c>
      <c r="H484" s="13"/>
      <c r="I484" s="13"/>
    </row>
    <row r="485" spans="1:9">
      <c r="A485" s="13" t="s">
        <v>1038</v>
      </c>
      <c r="B485" s="138" t="s">
        <v>533</v>
      </c>
      <c r="C485" s="138" t="s">
        <v>344</v>
      </c>
      <c r="D485" s="15">
        <v>10000000</v>
      </c>
      <c r="E485" s="92">
        <v>0.98702003390000004</v>
      </c>
      <c r="F485" s="18">
        <v>9870200.3399999999</v>
      </c>
      <c r="G485" s="18">
        <v>0.02</v>
      </c>
      <c r="H485" s="13"/>
      <c r="I485" s="13"/>
    </row>
    <row r="486" spans="1:9">
      <c r="A486" s="13" t="s">
        <v>1039</v>
      </c>
      <c r="B486" s="138" t="s">
        <v>456</v>
      </c>
      <c r="C486" s="138" t="s">
        <v>344</v>
      </c>
      <c r="D486" s="15">
        <v>10000000</v>
      </c>
      <c r="E486" s="92">
        <v>0.98303259210000005</v>
      </c>
      <c r="F486" s="18">
        <v>9830325.9199999999</v>
      </c>
      <c r="G486" s="18">
        <v>0.02</v>
      </c>
      <c r="H486" s="13"/>
      <c r="I486" s="13"/>
    </row>
    <row r="487" spans="1:9">
      <c r="A487" s="13" t="s">
        <v>1040</v>
      </c>
      <c r="B487" s="138" t="s">
        <v>454</v>
      </c>
      <c r="C487" s="138" t="s">
        <v>344</v>
      </c>
      <c r="D487" s="15">
        <v>10000000</v>
      </c>
      <c r="E487" s="92">
        <v>0.98144666309999995</v>
      </c>
      <c r="F487" s="18">
        <v>9814466.6300000008</v>
      </c>
      <c r="G487" s="18">
        <v>0.02</v>
      </c>
      <c r="H487" s="13"/>
      <c r="I487" s="13"/>
    </row>
    <row r="488" spans="1:9">
      <c r="A488" s="13" t="s">
        <v>1041</v>
      </c>
      <c r="B488" s="138" t="s">
        <v>610</v>
      </c>
      <c r="C488" s="138" t="s">
        <v>344</v>
      </c>
      <c r="D488" s="15">
        <v>10000000</v>
      </c>
      <c r="E488" s="92">
        <v>0.99835886389999995</v>
      </c>
      <c r="F488" s="18">
        <v>9983588.6400000006</v>
      </c>
      <c r="G488" s="18">
        <v>0.02</v>
      </c>
      <c r="H488" s="13"/>
      <c r="I488" s="13"/>
    </row>
    <row r="489" spans="1:9">
      <c r="A489" s="13" t="s">
        <v>1037</v>
      </c>
      <c r="B489" s="138" t="s">
        <v>610</v>
      </c>
      <c r="C489" s="138" t="s">
        <v>344</v>
      </c>
      <c r="D489" s="15">
        <v>5000000</v>
      </c>
      <c r="E489" s="92">
        <v>0.99835886389999995</v>
      </c>
      <c r="F489" s="18">
        <v>4991794.32</v>
      </c>
      <c r="G489" s="18">
        <v>0.01</v>
      </c>
      <c r="H489" s="13"/>
      <c r="I489" s="13"/>
    </row>
    <row r="490" spans="1:9">
      <c r="A490" s="13" t="s">
        <v>1036</v>
      </c>
      <c r="B490" s="138" t="s">
        <v>531</v>
      </c>
      <c r="C490" s="138" t="s">
        <v>344</v>
      </c>
      <c r="D490" s="15">
        <v>100000000</v>
      </c>
      <c r="E490" s="92">
        <v>0.96971311230000001</v>
      </c>
      <c r="F490" s="18">
        <v>96971311.230000004</v>
      </c>
      <c r="G490" s="18">
        <v>0.16</v>
      </c>
      <c r="H490" s="13"/>
      <c r="I490" s="13"/>
    </row>
    <row r="491" spans="1:9">
      <c r="A491" s="13" t="s">
        <v>1033</v>
      </c>
      <c r="B491" s="138" t="s">
        <v>456</v>
      </c>
      <c r="C491" s="138" t="s">
        <v>344</v>
      </c>
      <c r="D491" s="15">
        <v>19470985</v>
      </c>
      <c r="E491" s="92">
        <v>0.98136746659999996</v>
      </c>
      <c r="F491" s="18">
        <v>19108191.219999999</v>
      </c>
      <c r="G491" s="18">
        <v>0.03</v>
      </c>
      <c r="H491" s="13"/>
      <c r="I491" s="13"/>
    </row>
    <row r="492" spans="1:9">
      <c r="A492" s="13" t="s">
        <v>1034</v>
      </c>
      <c r="B492" s="138" t="s">
        <v>483</v>
      </c>
      <c r="C492" s="138" t="s">
        <v>344</v>
      </c>
      <c r="D492" s="15">
        <v>19470985</v>
      </c>
      <c r="E492" s="92">
        <v>0.97617077360000004</v>
      </c>
      <c r="F492" s="18">
        <v>19007006.489999998</v>
      </c>
      <c r="G492" s="18">
        <v>0.03</v>
      </c>
      <c r="H492" s="13"/>
      <c r="I492" s="13"/>
    </row>
    <row r="493" spans="1:9">
      <c r="A493" s="13" t="s">
        <v>1035</v>
      </c>
      <c r="B493" s="138" t="s">
        <v>930</v>
      </c>
      <c r="C493" s="138" t="s">
        <v>344</v>
      </c>
      <c r="D493" s="18">
        <v>19470986.34</v>
      </c>
      <c r="E493" s="92">
        <v>0.97017707580000001</v>
      </c>
      <c r="F493" s="18">
        <v>18890304.59</v>
      </c>
      <c r="G493" s="18">
        <v>0.03</v>
      </c>
      <c r="H493" s="13"/>
      <c r="I493" s="13"/>
    </row>
    <row r="494" spans="1:9">
      <c r="A494" s="13" t="s">
        <v>1031</v>
      </c>
      <c r="B494" s="138" t="s">
        <v>551</v>
      </c>
      <c r="C494" s="138" t="s">
        <v>344</v>
      </c>
      <c r="D494" s="15">
        <v>50000000</v>
      </c>
      <c r="E494" s="92">
        <v>0.97750403850000001</v>
      </c>
      <c r="F494" s="18">
        <v>48875201.93</v>
      </c>
      <c r="G494" s="18">
        <v>0.08</v>
      </c>
      <c r="H494" s="13"/>
      <c r="I494" s="13"/>
    </row>
    <row r="495" spans="1:9">
      <c r="A495" s="13" t="s">
        <v>1046</v>
      </c>
      <c r="B495" s="138" t="s">
        <v>452</v>
      </c>
      <c r="C495" s="138" t="s">
        <v>162</v>
      </c>
      <c r="D495" s="15">
        <v>20000000</v>
      </c>
      <c r="E495" s="92">
        <v>0.99047518450000005</v>
      </c>
      <c r="F495" s="18">
        <v>19809503.690000001</v>
      </c>
      <c r="G495" s="18">
        <v>0.03</v>
      </c>
      <c r="H495" s="13"/>
      <c r="I495" s="13"/>
    </row>
    <row r="496" spans="1:9">
      <c r="A496" s="13" t="s">
        <v>1047</v>
      </c>
      <c r="B496" s="138" t="s">
        <v>533</v>
      </c>
      <c r="C496" s="138" t="s">
        <v>162</v>
      </c>
      <c r="D496" s="15">
        <v>20000000</v>
      </c>
      <c r="E496" s="92">
        <v>0.98319151689999995</v>
      </c>
      <c r="F496" s="18">
        <v>19663830.34</v>
      </c>
      <c r="G496" s="18">
        <v>0.03</v>
      </c>
      <c r="H496" s="13"/>
      <c r="I496" s="13"/>
    </row>
    <row r="497" spans="1:9">
      <c r="A497" s="13" t="s">
        <v>1048</v>
      </c>
      <c r="B497" s="138" t="s">
        <v>452</v>
      </c>
      <c r="C497" s="138" t="s">
        <v>162</v>
      </c>
      <c r="D497" s="15">
        <v>2700000</v>
      </c>
      <c r="E497" s="92">
        <v>0.99265708509999995</v>
      </c>
      <c r="F497" s="18">
        <v>2680174.13</v>
      </c>
      <c r="G497" s="15">
        <v>0</v>
      </c>
      <c r="H497" s="13"/>
      <c r="I497" s="13"/>
    </row>
    <row r="498" spans="1:9">
      <c r="A498" s="13" t="s">
        <v>1049</v>
      </c>
      <c r="B498" s="138" t="s">
        <v>622</v>
      </c>
      <c r="C498" s="138" t="s">
        <v>162</v>
      </c>
      <c r="D498" s="15">
        <v>2700000</v>
      </c>
      <c r="E498" s="92">
        <v>0.98782143320000004</v>
      </c>
      <c r="F498" s="18">
        <v>2667117.87</v>
      </c>
      <c r="G498" s="15">
        <v>0</v>
      </c>
      <c r="H498" s="13"/>
      <c r="I498" s="13"/>
    </row>
    <row r="499" spans="1:9">
      <c r="A499" s="13" t="s">
        <v>1050</v>
      </c>
      <c r="B499" s="138" t="s">
        <v>456</v>
      </c>
      <c r="C499" s="138" t="s">
        <v>162</v>
      </c>
      <c r="D499" s="15">
        <v>2700000</v>
      </c>
      <c r="E499" s="92">
        <v>0.98303261490000005</v>
      </c>
      <c r="F499" s="18">
        <v>2654188.06</v>
      </c>
      <c r="G499" s="15">
        <v>0</v>
      </c>
      <c r="H499" s="13"/>
      <c r="I499" s="13"/>
    </row>
    <row r="500" spans="1:9">
      <c r="A500" s="13" t="s">
        <v>1051</v>
      </c>
      <c r="B500" s="138" t="s">
        <v>551</v>
      </c>
      <c r="C500" s="138" t="s">
        <v>162</v>
      </c>
      <c r="D500" s="18">
        <v>2868835.67</v>
      </c>
      <c r="E500" s="92">
        <v>0.98065559820000003</v>
      </c>
      <c r="F500" s="18">
        <v>2813339.76</v>
      </c>
      <c r="G500" s="15">
        <v>0</v>
      </c>
      <c r="H500" s="13"/>
      <c r="I500" s="13"/>
    </row>
    <row r="501" spans="1:9">
      <c r="A501" s="13" t="s">
        <v>1052</v>
      </c>
      <c r="B501" s="138" t="s">
        <v>480</v>
      </c>
      <c r="C501" s="138" t="s">
        <v>162</v>
      </c>
      <c r="D501" s="15">
        <v>2700000</v>
      </c>
      <c r="E501" s="153">
        <v>0.99917876299999997</v>
      </c>
      <c r="F501" s="18">
        <v>2697782.66</v>
      </c>
      <c r="G501" s="15">
        <v>0</v>
      </c>
      <c r="H501" s="13"/>
      <c r="I501" s="13"/>
    </row>
    <row r="502" spans="1:9">
      <c r="A502" s="13" t="s">
        <v>1053</v>
      </c>
      <c r="B502" s="138" t="s">
        <v>487</v>
      </c>
      <c r="C502" s="138" t="s">
        <v>162</v>
      </c>
      <c r="D502" s="15">
        <v>2700000</v>
      </c>
      <c r="E502" s="92">
        <v>0.9950927074</v>
      </c>
      <c r="F502" s="18">
        <v>2686750.31</v>
      </c>
      <c r="G502" s="15">
        <v>0</v>
      </c>
      <c r="H502" s="13"/>
      <c r="I502" s="13"/>
    </row>
    <row r="503" spans="1:9">
      <c r="A503" s="13" t="s">
        <v>1055</v>
      </c>
      <c r="B503" s="138" t="s">
        <v>553</v>
      </c>
      <c r="C503" s="138" t="s">
        <v>347</v>
      </c>
      <c r="D503" s="15">
        <v>45000000</v>
      </c>
      <c r="E503" s="92">
        <v>0.95180974650000005</v>
      </c>
      <c r="F503" s="18">
        <v>42831438.590000004</v>
      </c>
      <c r="G503" s="18">
        <v>7.0000000000000007E-2</v>
      </c>
      <c r="H503" s="13"/>
      <c r="I503" s="13"/>
    </row>
    <row r="504" spans="1:9">
      <c r="A504" s="13" t="s">
        <v>1057</v>
      </c>
      <c r="B504" s="138" t="s">
        <v>607</v>
      </c>
      <c r="C504" s="138" t="s">
        <v>408</v>
      </c>
      <c r="D504" s="15">
        <v>50000000</v>
      </c>
      <c r="E504" s="92">
        <v>0.97385281680000002</v>
      </c>
      <c r="F504" s="18">
        <v>48692640.840000004</v>
      </c>
      <c r="G504" s="18">
        <v>0.08</v>
      </c>
      <c r="H504" s="13"/>
      <c r="I504" s="13"/>
    </row>
    <row r="505" spans="1:9">
      <c r="A505" s="13" t="s">
        <v>1062</v>
      </c>
      <c r="B505" s="138" t="s">
        <v>444</v>
      </c>
      <c r="C505" s="138" t="s">
        <v>340</v>
      </c>
      <c r="D505" s="15">
        <v>10000000</v>
      </c>
      <c r="E505" s="153">
        <v>0.99292711899999997</v>
      </c>
      <c r="F505" s="18">
        <v>9929271.1899999995</v>
      </c>
      <c r="G505" s="18">
        <v>0.02</v>
      </c>
      <c r="H505" s="13"/>
      <c r="I505" s="13"/>
    </row>
    <row r="506" spans="1:9">
      <c r="A506" s="13" t="s">
        <v>1063</v>
      </c>
      <c r="B506" s="138" t="s">
        <v>920</v>
      </c>
      <c r="C506" s="138" t="s">
        <v>340</v>
      </c>
      <c r="D506" s="15">
        <v>50000000</v>
      </c>
      <c r="E506" s="92">
        <v>0.97048659979999996</v>
      </c>
      <c r="F506" s="18">
        <v>48524329.990000002</v>
      </c>
      <c r="G506" s="18">
        <v>0.08</v>
      </c>
      <c r="H506" s="13"/>
      <c r="I506" s="13"/>
    </row>
    <row r="507" spans="1:9">
      <c r="A507" s="13" t="s">
        <v>1064</v>
      </c>
      <c r="B507" s="138" t="s">
        <v>527</v>
      </c>
      <c r="C507" s="138" t="s">
        <v>340</v>
      </c>
      <c r="D507" s="18">
        <v>603640.62</v>
      </c>
      <c r="E507" s="92">
        <v>0.98435817690000005</v>
      </c>
      <c r="F507" s="18">
        <v>594198.57999999996</v>
      </c>
      <c r="G507" s="15">
        <v>0</v>
      </c>
      <c r="H507" s="13"/>
      <c r="I507" s="13"/>
    </row>
    <row r="508" spans="1:9">
      <c r="A508" s="13" t="s">
        <v>1065</v>
      </c>
      <c r="B508" s="138" t="s">
        <v>585</v>
      </c>
      <c r="C508" s="138" t="s">
        <v>340</v>
      </c>
      <c r="D508" s="15">
        <v>45000000</v>
      </c>
      <c r="E508" s="92">
        <v>0.95017449740000004</v>
      </c>
      <c r="F508" s="18">
        <v>42757852.380000003</v>
      </c>
      <c r="G508" s="18">
        <v>7.0000000000000007E-2</v>
      </c>
      <c r="H508" s="13"/>
      <c r="I508" s="13"/>
    </row>
    <row r="509" spans="1:9">
      <c r="A509" s="13" t="s">
        <v>1066</v>
      </c>
      <c r="B509" s="138" t="s">
        <v>454</v>
      </c>
      <c r="C509" s="138" t="s">
        <v>340</v>
      </c>
      <c r="D509" s="15">
        <v>85000000</v>
      </c>
      <c r="E509" s="92">
        <v>0.97781827480000005</v>
      </c>
      <c r="F509" s="18">
        <v>83114553.359999999</v>
      </c>
      <c r="G509" s="18">
        <v>0.14000000000000001</v>
      </c>
      <c r="H509" s="13"/>
      <c r="I509" s="13"/>
    </row>
    <row r="510" spans="1:9">
      <c r="A510" s="13" t="s">
        <v>1067</v>
      </c>
      <c r="B510" s="138" t="s">
        <v>456</v>
      </c>
      <c r="C510" s="138" t="s">
        <v>340</v>
      </c>
      <c r="D510" s="15">
        <v>60000000</v>
      </c>
      <c r="E510" s="92">
        <v>0.97860481479999994</v>
      </c>
      <c r="F510" s="18">
        <v>58716288.890000001</v>
      </c>
      <c r="G510" s="150">
        <v>0.1</v>
      </c>
      <c r="H510" s="13"/>
      <c r="I510" s="13"/>
    </row>
    <row r="511" spans="1:9">
      <c r="A511" s="13" t="s">
        <v>1068</v>
      </c>
      <c r="B511" s="138" t="s">
        <v>475</v>
      </c>
      <c r="C511" s="138" t="s">
        <v>340</v>
      </c>
      <c r="D511" s="15">
        <v>60000000</v>
      </c>
      <c r="E511" s="153">
        <v>0.98563408799999996</v>
      </c>
      <c r="F511" s="18">
        <v>59138045.280000001</v>
      </c>
      <c r="G511" s="150">
        <v>0.1</v>
      </c>
      <c r="H511" s="13"/>
      <c r="I511" s="13"/>
    </row>
    <row r="512" spans="1:9">
      <c r="A512" s="13" t="s">
        <v>1069</v>
      </c>
      <c r="B512" s="138" t="s">
        <v>533</v>
      </c>
      <c r="C512" s="138" t="s">
        <v>340</v>
      </c>
      <c r="D512" s="15">
        <v>60000000</v>
      </c>
      <c r="E512" s="92">
        <v>0.98361539880000004</v>
      </c>
      <c r="F512" s="18">
        <v>59016923.93</v>
      </c>
      <c r="G512" s="150">
        <v>0.1</v>
      </c>
      <c r="H512" s="13"/>
      <c r="I512" s="13"/>
    </row>
    <row r="513" spans="1:9">
      <c r="A513" s="13" t="s">
        <v>1070</v>
      </c>
      <c r="B513" s="138" t="s">
        <v>551</v>
      </c>
      <c r="C513" s="138" t="s">
        <v>340</v>
      </c>
      <c r="D513" s="15">
        <v>60000000</v>
      </c>
      <c r="E513" s="92">
        <v>0.97562288239999995</v>
      </c>
      <c r="F513" s="18">
        <v>58537372.939999998</v>
      </c>
      <c r="G513" s="150">
        <v>0.1</v>
      </c>
      <c r="H513" s="13"/>
      <c r="I513" s="13"/>
    </row>
    <row r="514" spans="1:9">
      <c r="A514" s="13" t="s">
        <v>1071</v>
      </c>
      <c r="B514" s="138" t="s">
        <v>415</v>
      </c>
      <c r="C514" s="138" t="s">
        <v>340</v>
      </c>
      <c r="D514" s="15">
        <v>40000000</v>
      </c>
      <c r="E514" s="92">
        <v>0.99174003970000002</v>
      </c>
      <c r="F514" s="18">
        <v>39669601.590000004</v>
      </c>
      <c r="G514" s="18">
        <v>0.06</v>
      </c>
      <c r="H514" s="13"/>
      <c r="I514" s="13"/>
    </row>
    <row r="515" spans="1:9">
      <c r="A515" s="13" t="s">
        <v>1072</v>
      </c>
      <c r="B515" s="138" t="s">
        <v>647</v>
      </c>
      <c r="C515" s="138" t="s">
        <v>340</v>
      </c>
      <c r="D515" s="15">
        <v>10000000</v>
      </c>
      <c r="E515" s="92">
        <v>0.98486284889999998</v>
      </c>
      <c r="F515" s="18">
        <v>9848628.4900000002</v>
      </c>
      <c r="G515" s="18">
        <v>0.02</v>
      </c>
      <c r="H515" s="13"/>
      <c r="I515" s="13"/>
    </row>
    <row r="516" spans="1:9">
      <c r="A516" s="13" t="s">
        <v>1073</v>
      </c>
      <c r="B516" s="138" t="s">
        <v>172</v>
      </c>
      <c r="C516" s="138" t="s">
        <v>340</v>
      </c>
      <c r="D516" s="15">
        <v>10000000</v>
      </c>
      <c r="E516" s="92">
        <v>0.99371105189999998</v>
      </c>
      <c r="F516" s="18">
        <v>9937110.5199999996</v>
      </c>
      <c r="G516" s="18">
        <v>0.02</v>
      </c>
      <c r="H516" s="13"/>
      <c r="I516" s="13"/>
    </row>
    <row r="517" spans="1:9">
      <c r="A517" s="13" t="s">
        <v>1074</v>
      </c>
      <c r="B517" s="138" t="s">
        <v>454</v>
      </c>
      <c r="C517" s="138" t="s">
        <v>340</v>
      </c>
      <c r="D517" s="15">
        <v>10000000</v>
      </c>
      <c r="E517" s="92">
        <v>0.97962909679999999</v>
      </c>
      <c r="F517" s="18">
        <v>9796290.9700000007</v>
      </c>
      <c r="G517" s="18">
        <v>0.02</v>
      </c>
      <c r="H517" s="13"/>
      <c r="I517" s="13"/>
    </row>
    <row r="518" spans="1:9">
      <c r="A518" s="13" t="s">
        <v>1078</v>
      </c>
      <c r="B518" s="138" t="s">
        <v>533</v>
      </c>
      <c r="C518" s="138" t="s">
        <v>312</v>
      </c>
      <c r="D518" s="15">
        <v>10000000</v>
      </c>
      <c r="E518" s="92">
        <v>0.98702003390000004</v>
      </c>
      <c r="F518" s="18">
        <v>9870200.3399999999</v>
      </c>
      <c r="G518" s="18">
        <v>0.02</v>
      </c>
      <c r="H518" s="13"/>
      <c r="I518" s="13"/>
    </row>
    <row r="519" spans="1:9">
      <c r="A519" s="13" t="s">
        <v>1079</v>
      </c>
      <c r="B519" s="138" t="s">
        <v>930</v>
      </c>
      <c r="C519" s="138" t="s">
        <v>312</v>
      </c>
      <c r="D519" s="15">
        <v>10000000</v>
      </c>
      <c r="E519" s="92">
        <v>0.97281454209999996</v>
      </c>
      <c r="F519" s="18">
        <v>9728145.4199999999</v>
      </c>
      <c r="G519" s="18">
        <v>0.02</v>
      </c>
      <c r="H519" s="13"/>
      <c r="I519" s="13"/>
    </row>
    <row r="520" spans="1:9">
      <c r="A520" s="13" t="s">
        <v>1080</v>
      </c>
      <c r="B520" s="138" t="s">
        <v>1081</v>
      </c>
      <c r="C520" s="138" t="s">
        <v>312</v>
      </c>
      <c r="D520" s="15">
        <v>10000000</v>
      </c>
      <c r="E520" s="92">
        <v>0.97048663570000004</v>
      </c>
      <c r="F520" s="18">
        <v>9704866.3599999994</v>
      </c>
      <c r="G520" s="18">
        <v>0.02</v>
      </c>
      <c r="H520" s="13"/>
      <c r="I520" s="13"/>
    </row>
    <row r="521" spans="1:9">
      <c r="A521" s="13" t="s">
        <v>1082</v>
      </c>
      <c r="B521" s="138" t="s">
        <v>551</v>
      </c>
      <c r="C521" s="138" t="s">
        <v>312</v>
      </c>
      <c r="D521" s="15">
        <v>10000000</v>
      </c>
      <c r="E521" s="92">
        <v>0.98065557479999999</v>
      </c>
      <c r="F521" s="18">
        <v>9806555.75</v>
      </c>
      <c r="G521" s="18">
        <v>0.02</v>
      </c>
      <c r="H521" s="13"/>
      <c r="I521" s="13"/>
    </row>
    <row r="522" spans="1:9">
      <c r="A522" s="13" t="s">
        <v>1083</v>
      </c>
      <c r="B522" s="138" t="s">
        <v>480</v>
      </c>
      <c r="C522" s="138" t="s">
        <v>312</v>
      </c>
      <c r="D522" s="15">
        <v>10000000</v>
      </c>
      <c r="E522" s="153">
        <v>0.99917875899999997</v>
      </c>
      <c r="F522" s="18">
        <v>9991787.5899999999</v>
      </c>
      <c r="G522" s="18">
        <v>0.02</v>
      </c>
      <c r="H522" s="13"/>
      <c r="I522" s="13"/>
    </row>
    <row r="523" spans="1:9">
      <c r="A523" s="13" t="s">
        <v>1084</v>
      </c>
      <c r="B523" s="138" t="s">
        <v>487</v>
      </c>
      <c r="C523" s="138" t="s">
        <v>312</v>
      </c>
      <c r="D523" s="15">
        <v>10000000</v>
      </c>
      <c r="E523" s="153">
        <v>0.99509269600000005</v>
      </c>
      <c r="F523" s="18">
        <v>9950926.9600000009</v>
      </c>
      <c r="G523" s="18">
        <v>0.02</v>
      </c>
      <c r="H523" s="13"/>
      <c r="I523" s="13"/>
    </row>
    <row r="524" spans="1:9">
      <c r="A524" s="13" t="s">
        <v>1085</v>
      </c>
      <c r="B524" s="138" t="s">
        <v>950</v>
      </c>
      <c r="C524" s="138" t="s">
        <v>312</v>
      </c>
      <c r="D524" s="15">
        <v>933333333</v>
      </c>
      <c r="E524" s="92">
        <v>0.93968029590000002</v>
      </c>
      <c r="F524" s="18">
        <v>877034942.52999997</v>
      </c>
      <c r="G524" s="18">
        <v>1.44</v>
      </c>
      <c r="H524" s="13"/>
      <c r="I524" s="13"/>
    </row>
    <row r="525" spans="1:9">
      <c r="A525" s="13" t="s">
        <v>1086</v>
      </c>
      <c r="B525" s="138" t="s">
        <v>452</v>
      </c>
      <c r="C525" s="138" t="s">
        <v>411</v>
      </c>
      <c r="D525" s="18">
        <v>248941.88</v>
      </c>
      <c r="E525" s="92">
        <v>0.99497067360000002</v>
      </c>
      <c r="F525" s="18">
        <v>247689.87</v>
      </c>
      <c r="G525" s="15">
        <v>0</v>
      </c>
      <c r="H525" s="13"/>
      <c r="I525" s="13"/>
    </row>
    <row r="526" spans="1:9">
      <c r="A526" s="13" t="s">
        <v>1087</v>
      </c>
      <c r="B526" s="138" t="s">
        <v>452</v>
      </c>
      <c r="C526" s="138" t="s">
        <v>411</v>
      </c>
      <c r="D526" s="18">
        <v>1236587.72</v>
      </c>
      <c r="E526" s="92">
        <v>0.9949706438</v>
      </c>
      <c r="F526" s="18">
        <v>1230368.48</v>
      </c>
      <c r="G526" s="15">
        <v>0</v>
      </c>
      <c r="H526" s="13"/>
      <c r="I526" s="13"/>
    </row>
    <row r="527" spans="1:9">
      <c r="A527" s="13" t="s">
        <v>1088</v>
      </c>
      <c r="B527" s="138" t="s">
        <v>740</v>
      </c>
      <c r="C527" s="138" t="s">
        <v>411</v>
      </c>
      <c r="D527" s="15">
        <v>933333333</v>
      </c>
      <c r="E527" s="92">
        <v>0.93491472450000002</v>
      </c>
      <c r="F527" s="18">
        <v>872587075.88999999</v>
      </c>
      <c r="G527" s="18">
        <v>1.43</v>
      </c>
      <c r="H527" s="13"/>
      <c r="I527" s="13"/>
    </row>
    <row r="528" spans="1:9">
      <c r="A528" s="13" t="s">
        <v>1090</v>
      </c>
      <c r="B528" s="138" t="s">
        <v>610</v>
      </c>
      <c r="C528" s="138" t="s">
        <v>411</v>
      </c>
      <c r="D528" s="15">
        <v>2000000</v>
      </c>
      <c r="E528" s="28">
        <v>0.99819504999999997</v>
      </c>
      <c r="F528" s="150">
        <v>1996390.1</v>
      </c>
      <c r="G528" s="15">
        <v>0</v>
      </c>
      <c r="H528" s="13"/>
      <c r="I528" s="13"/>
    </row>
    <row r="529" spans="1:9">
      <c r="A529" s="13" t="s">
        <v>1091</v>
      </c>
      <c r="B529" s="138" t="s">
        <v>610</v>
      </c>
      <c r="C529" s="138" t="s">
        <v>411</v>
      </c>
      <c r="D529" s="15">
        <v>200000000</v>
      </c>
      <c r="E529" s="92">
        <v>0.99841348419999998</v>
      </c>
      <c r="F529" s="18">
        <v>199682696.84</v>
      </c>
      <c r="G529" s="18">
        <v>0.33</v>
      </c>
      <c r="H529" s="13"/>
      <c r="I529" s="13"/>
    </row>
    <row r="530" spans="1:9">
      <c r="A530" s="13" t="s">
        <v>1092</v>
      </c>
      <c r="B530" s="138" t="s">
        <v>370</v>
      </c>
      <c r="C530" s="138" t="s">
        <v>411</v>
      </c>
      <c r="D530" s="15">
        <v>200000000</v>
      </c>
      <c r="E530" s="92">
        <v>0.99762210870000001</v>
      </c>
      <c r="F530" s="18">
        <v>199524421.74000001</v>
      </c>
      <c r="G530" s="18">
        <v>0.33</v>
      </c>
      <c r="H530" s="13"/>
      <c r="I530" s="13"/>
    </row>
    <row r="531" spans="1:9">
      <c r="A531" s="13" t="s">
        <v>1093</v>
      </c>
      <c r="B531" s="138" t="s">
        <v>480</v>
      </c>
      <c r="C531" s="138" t="s">
        <v>411</v>
      </c>
      <c r="D531" s="15">
        <v>200000000</v>
      </c>
      <c r="E531" s="92">
        <v>0.9992061136</v>
      </c>
      <c r="F531" s="18">
        <v>199841222.72</v>
      </c>
      <c r="G531" s="18">
        <v>0.33</v>
      </c>
      <c r="H531" s="13"/>
      <c r="I531" s="13"/>
    </row>
    <row r="532" spans="1:9">
      <c r="A532" s="13" t="s">
        <v>1095</v>
      </c>
      <c r="B532" s="138" t="s">
        <v>598</v>
      </c>
      <c r="C532" s="138" t="s">
        <v>390</v>
      </c>
      <c r="D532" s="15">
        <v>50000000</v>
      </c>
      <c r="E532" s="153">
        <v>0.95547237299999999</v>
      </c>
      <c r="F532" s="18">
        <v>47773618.649999999</v>
      </c>
      <c r="G532" s="18">
        <v>0.08</v>
      </c>
      <c r="H532" s="13"/>
      <c r="I532" s="13"/>
    </row>
    <row r="533" spans="1:9">
      <c r="A533" s="13" t="s">
        <v>1096</v>
      </c>
      <c r="B533" s="138" t="s">
        <v>603</v>
      </c>
      <c r="C533" s="138" t="s">
        <v>390</v>
      </c>
      <c r="D533" s="15">
        <v>35000000</v>
      </c>
      <c r="E533" s="92">
        <v>0.97758262780000005</v>
      </c>
      <c r="F533" s="18">
        <v>34215391.969999999</v>
      </c>
      <c r="G533" s="18">
        <v>0.06</v>
      </c>
      <c r="H533" s="13"/>
      <c r="I533" s="13"/>
    </row>
    <row r="534" spans="1:9">
      <c r="A534" s="13" t="s">
        <v>1097</v>
      </c>
      <c r="B534" s="138" t="s">
        <v>527</v>
      </c>
      <c r="C534" s="138" t="s">
        <v>390</v>
      </c>
      <c r="D534" s="15">
        <v>35000000</v>
      </c>
      <c r="E534" s="92">
        <v>0.97899849930000005</v>
      </c>
      <c r="F534" s="18">
        <v>34264947.479999997</v>
      </c>
      <c r="G534" s="18">
        <v>0.06</v>
      </c>
      <c r="H534" s="13"/>
      <c r="I534" s="13"/>
    </row>
    <row r="535" spans="1:9">
      <c r="A535" s="13" t="s">
        <v>1098</v>
      </c>
      <c r="B535" s="138" t="s">
        <v>560</v>
      </c>
      <c r="C535" s="138" t="s">
        <v>390</v>
      </c>
      <c r="D535" s="15">
        <v>30000000</v>
      </c>
      <c r="E535" s="92">
        <v>0.97476305129999996</v>
      </c>
      <c r="F535" s="18">
        <v>29242891.539999999</v>
      </c>
      <c r="G535" s="18">
        <v>0.05</v>
      </c>
      <c r="H535" s="13"/>
      <c r="I535" s="13"/>
    </row>
    <row r="536" spans="1:9">
      <c r="A536" s="13" t="s">
        <v>1099</v>
      </c>
      <c r="B536" s="138" t="s">
        <v>415</v>
      </c>
      <c r="C536" s="138" t="s">
        <v>390</v>
      </c>
      <c r="D536" s="15">
        <v>6250000</v>
      </c>
      <c r="E536" s="92">
        <v>0.99411700970000005</v>
      </c>
      <c r="F536" s="18">
        <v>6213231.3099999996</v>
      </c>
      <c r="G536" s="18">
        <v>0.01</v>
      </c>
      <c r="H536" s="13"/>
      <c r="I536" s="13"/>
    </row>
    <row r="537" spans="1:9">
      <c r="A537" s="13" t="s">
        <v>1100</v>
      </c>
      <c r="B537" s="138" t="s">
        <v>415</v>
      </c>
      <c r="C537" s="138" t="s">
        <v>390</v>
      </c>
      <c r="D537" s="15">
        <v>6250000</v>
      </c>
      <c r="E537" s="92">
        <v>0.99411700970000005</v>
      </c>
      <c r="F537" s="18">
        <v>6213231.3099999996</v>
      </c>
      <c r="G537" s="18">
        <v>0.01</v>
      </c>
      <c r="H537" s="13"/>
      <c r="I537" s="13"/>
    </row>
    <row r="538" spans="1:9">
      <c r="A538" s="13" t="s">
        <v>1101</v>
      </c>
      <c r="B538" s="138" t="s">
        <v>415</v>
      </c>
      <c r="C538" s="138" t="s">
        <v>390</v>
      </c>
      <c r="D538" s="15">
        <v>6250000</v>
      </c>
      <c r="E538" s="92">
        <v>0.99411700970000005</v>
      </c>
      <c r="F538" s="18">
        <v>6213231.3099999996</v>
      </c>
      <c r="G538" s="18">
        <v>0.01</v>
      </c>
      <c r="H538" s="13"/>
      <c r="I538" s="13"/>
    </row>
    <row r="539" spans="1:9">
      <c r="A539" s="13" t="s">
        <v>1102</v>
      </c>
      <c r="B539" s="138" t="s">
        <v>415</v>
      </c>
      <c r="C539" s="138" t="s">
        <v>390</v>
      </c>
      <c r="D539" s="15">
        <v>6250000</v>
      </c>
      <c r="E539" s="92">
        <v>0.99411700970000005</v>
      </c>
      <c r="F539" s="18">
        <v>6213231.3099999996</v>
      </c>
      <c r="G539" s="18">
        <v>0.01</v>
      </c>
      <c r="H539" s="13"/>
      <c r="I539" s="13"/>
    </row>
    <row r="540" spans="1:9">
      <c r="A540" s="13" t="s">
        <v>1103</v>
      </c>
      <c r="B540" s="138" t="s">
        <v>546</v>
      </c>
      <c r="C540" s="138" t="s">
        <v>390</v>
      </c>
      <c r="D540" s="15">
        <v>12500000</v>
      </c>
      <c r="E540" s="92">
        <v>0.98542121849999997</v>
      </c>
      <c r="F540" s="18">
        <v>12317765.23</v>
      </c>
      <c r="G540" s="18">
        <v>0.02</v>
      </c>
      <c r="H540" s="13"/>
      <c r="I540" s="13"/>
    </row>
    <row r="541" spans="1:9">
      <c r="A541" s="13" t="s">
        <v>1104</v>
      </c>
      <c r="B541" s="138" t="s">
        <v>727</v>
      </c>
      <c r="C541" s="138" t="s">
        <v>390</v>
      </c>
      <c r="D541" s="15">
        <v>40000000</v>
      </c>
      <c r="E541" s="92">
        <v>0.95881066309999996</v>
      </c>
      <c r="F541" s="18">
        <v>38352426.520000003</v>
      </c>
      <c r="G541" s="18">
        <v>0.06</v>
      </c>
      <c r="H541" s="13"/>
      <c r="I541" s="13"/>
    </row>
    <row r="542" spans="1:9">
      <c r="A542" s="13" t="s">
        <v>1105</v>
      </c>
      <c r="B542" s="138" t="s">
        <v>544</v>
      </c>
      <c r="C542" s="138" t="s">
        <v>390</v>
      </c>
      <c r="D542" s="15">
        <v>40000000</v>
      </c>
      <c r="E542" s="92">
        <v>0.95800532729999999</v>
      </c>
      <c r="F542" s="18">
        <v>38320213.090000004</v>
      </c>
      <c r="G542" s="18">
        <v>0.06</v>
      </c>
      <c r="H542" s="13"/>
      <c r="I542" s="13"/>
    </row>
    <row r="543" spans="1:9">
      <c r="A543" s="13" t="s">
        <v>1106</v>
      </c>
      <c r="B543" s="138" t="s">
        <v>499</v>
      </c>
      <c r="C543" s="138" t="s">
        <v>390</v>
      </c>
      <c r="D543" s="15">
        <v>40000000</v>
      </c>
      <c r="E543" s="92">
        <v>0.95639870559999995</v>
      </c>
      <c r="F543" s="18">
        <v>38255948.219999999</v>
      </c>
      <c r="G543" s="18">
        <v>0.06</v>
      </c>
      <c r="H543" s="13"/>
      <c r="I543" s="13"/>
    </row>
    <row r="544" spans="1:9">
      <c r="A544" s="13" t="s">
        <v>1107</v>
      </c>
      <c r="B544" s="138" t="s">
        <v>603</v>
      </c>
      <c r="C544" s="138" t="s">
        <v>390</v>
      </c>
      <c r="D544" s="15">
        <v>50000000</v>
      </c>
      <c r="E544" s="92">
        <v>0.9735411034</v>
      </c>
      <c r="F544" s="18">
        <v>48677055.170000002</v>
      </c>
      <c r="G544" s="18">
        <v>0.08</v>
      </c>
      <c r="H544" s="13"/>
      <c r="I544" s="13"/>
    </row>
    <row r="545" spans="1:9">
      <c r="A545" s="13" t="s">
        <v>1108</v>
      </c>
      <c r="B545" s="138" t="s">
        <v>920</v>
      </c>
      <c r="C545" s="138" t="s">
        <v>390</v>
      </c>
      <c r="D545" s="15">
        <v>50000000</v>
      </c>
      <c r="E545" s="92">
        <v>0.97986577730000002</v>
      </c>
      <c r="F545" s="18">
        <v>48993288.869999997</v>
      </c>
      <c r="G545" s="18">
        <v>0.08</v>
      </c>
      <c r="H545" s="13"/>
      <c r="I545" s="13"/>
    </row>
    <row r="546" spans="1:9">
      <c r="A546" s="13" t="s">
        <v>1109</v>
      </c>
      <c r="B546" s="138" t="s">
        <v>610</v>
      </c>
      <c r="C546" s="138" t="s">
        <v>390</v>
      </c>
      <c r="D546" s="15">
        <v>50000000</v>
      </c>
      <c r="E546" s="92">
        <v>0.99863201680000002</v>
      </c>
      <c r="F546" s="18">
        <v>49931600.840000004</v>
      </c>
      <c r="G546" s="18">
        <v>0.08</v>
      </c>
      <c r="H546" s="13"/>
      <c r="I546" s="13"/>
    </row>
    <row r="547" spans="1:9">
      <c r="A547" s="13" t="s">
        <v>1110</v>
      </c>
      <c r="B547" s="138" t="s">
        <v>560</v>
      </c>
      <c r="C547" s="138" t="s">
        <v>390</v>
      </c>
      <c r="D547" s="15">
        <v>50000000</v>
      </c>
      <c r="E547" s="92">
        <v>0.97658868909999996</v>
      </c>
      <c r="F547" s="18">
        <v>48829434.460000001</v>
      </c>
      <c r="G547" s="18">
        <v>0.08</v>
      </c>
      <c r="H547" s="13"/>
      <c r="I547" s="13"/>
    </row>
    <row r="548" spans="1:9">
      <c r="A548" s="13" t="s">
        <v>1112</v>
      </c>
      <c r="B548" s="138" t="s">
        <v>598</v>
      </c>
      <c r="C548" s="138" t="s">
        <v>382</v>
      </c>
      <c r="D548" s="15">
        <v>19922304</v>
      </c>
      <c r="E548" s="92">
        <v>0.95863430940000005</v>
      </c>
      <c r="F548" s="18">
        <v>19098204.140000001</v>
      </c>
      <c r="G548" s="18">
        <v>0.03</v>
      </c>
      <c r="H548" s="13"/>
      <c r="I548" s="13"/>
    </row>
    <row r="549" spans="1:9">
      <c r="A549" s="13" t="s">
        <v>1113</v>
      </c>
      <c r="B549" s="138" t="s">
        <v>884</v>
      </c>
      <c r="C549" s="138" t="s">
        <v>382</v>
      </c>
      <c r="D549" s="15">
        <v>19922304</v>
      </c>
      <c r="E549" s="153">
        <v>0.940115916</v>
      </c>
      <c r="F549" s="18">
        <v>18729275.07</v>
      </c>
      <c r="G549" s="18">
        <v>0.03</v>
      </c>
      <c r="H549" s="13"/>
      <c r="I549" s="13"/>
    </row>
    <row r="550" spans="1:9">
      <c r="A550" s="13" t="s">
        <v>1114</v>
      </c>
      <c r="B550" s="138" t="s">
        <v>551</v>
      </c>
      <c r="C550" s="138" t="s">
        <v>382</v>
      </c>
      <c r="D550" s="15">
        <v>5000000</v>
      </c>
      <c r="E550" s="92">
        <v>0.98065564559999996</v>
      </c>
      <c r="F550" s="18">
        <v>4903278.2300000004</v>
      </c>
      <c r="G550" s="18">
        <v>0.01</v>
      </c>
      <c r="H550" s="13"/>
      <c r="I550" s="13"/>
    </row>
    <row r="551" spans="1:9">
      <c r="A551" s="13" t="s">
        <v>1115</v>
      </c>
      <c r="B551" s="138" t="s">
        <v>920</v>
      </c>
      <c r="C551" s="138" t="s">
        <v>382</v>
      </c>
      <c r="D551" s="15">
        <v>5000000</v>
      </c>
      <c r="E551" s="92">
        <v>0.9759358602</v>
      </c>
      <c r="F551" s="150">
        <v>4879679.3</v>
      </c>
      <c r="G551" s="18">
        <v>0.01</v>
      </c>
      <c r="H551" s="13"/>
      <c r="I551" s="13"/>
    </row>
    <row r="552" spans="1:9">
      <c r="A552" s="13" t="s">
        <v>1116</v>
      </c>
      <c r="B552" s="138" t="s">
        <v>622</v>
      </c>
      <c r="C552" s="138" t="s">
        <v>382</v>
      </c>
      <c r="D552" s="15">
        <v>5000000</v>
      </c>
      <c r="E552" s="92">
        <v>0.98782140789999995</v>
      </c>
      <c r="F552" s="18">
        <v>4939107.04</v>
      </c>
      <c r="G552" s="18">
        <v>0.01</v>
      </c>
      <c r="H552" s="13"/>
      <c r="I552" s="13"/>
    </row>
    <row r="553" spans="1:9">
      <c r="A553" s="13" t="s">
        <v>1117</v>
      </c>
      <c r="B553" s="138" t="s">
        <v>610</v>
      </c>
      <c r="C553" s="138" t="s">
        <v>382</v>
      </c>
      <c r="D553" s="15">
        <v>5000000</v>
      </c>
      <c r="E553" s="92">
        <v>0.99835886190000001</v>
      </c>
      <c r="F553" s="18">
        <v>4991794.3099999996</v>
      </c>
      <c r="G553" s="18">
        <v>0.01</v>
      </c>
      <c r="H553" s="13"/>
      <c r="I553" s="13"/>
    </row>
    <row r="554" spans="1:9">
      <c r="A554" s="13" t="s">
        <v>1119</v>
      </c>
      <c r="B554" s="138" t="s">
        <v>560</v>
      </c>
      <c r="C554" s="138" t="s">
        <v>382</v>
      </c>
      <c r="D554" s="15">
        <v>65000000</v>
      </c>
      <c r="E554" s="92">
        <v>0.9702287101</v>
      </c>
      <c r="F554" s="18">
        <v>63064866.159999996</v>
      </c>
      <c r="G554" s="150">
        <v>0.1</v>
      </c>
      <c r="H554" s="13"/>
      <c r="I554" s="13"/>
    </row>
    <row r="555" spans="1:9">
      <c r="A555" s="13" t="s">
        <v>1120</v>
      </c>
      <c r="B555" s="138" t="s">
        <v>370</v>
      </c>
      <c r="C555" s="138" t="s">
        <v>382</v>
      </c>
      <c r="D555" s="15">
        <v>65000000</v>
      </c>
      <c r="E555" s="92">
        <v>0.99737677349999998</v>
      </c>
      <c r="F555" s="18">
        <v>64829490.280000001</v>
      </c>
      <c r="G555" s="18">
        <v>0.11</v>
      </c>
      <c r="H555" s="13"/>
      <c r="I555" s="13"/>
    </row>
    <row r="556" spans="1:9">
      <c r="A556" s="13" t="s">
        <v>1121</v>
      </c>
      <c r="B556" s="138" t="s">
        <v>487</v>
      </c>
      <c r="C556" s="138" t="s">
        <v>382</v>
      </c>
      <c r="D556" s="15">
        <v>200000000</v>
      </c>
      <c r="E556" s="92">
        <v>0.99558127809999997</v>
      </c>
      <c r="F556" s="18">
        <v>199116255.62</v>
      </c>
      <c r="G556" s="18">
        <v>0.33</v>
      </c>
      <c r="H556" s="13"/>
      <c r="I556" s="13"/>
    </row>
    <row r="557" spans="1:9">
      <c r="A557" s="13" t="s">
        <v>1122</v>
      </c>
      <c r="B557" s="138" t="s">
        <v>172</v>
      </c>
      <c r="C557" s="138" t="s">
        <v>382</v>
      </c>
      <c r="D557" s="15">
        <v>200000000</v>
      </c>
      <c r="E557" s="92">
        <v>0.99484861030000005</v>
      </c>
      <c r="F557" s="18">
        <v>198969722.06</v>
      </c>
      <c r="G557" s="18">
        <v>0.33</v>
      </c>
      <c r="H557" s="13"/>
      <c r="I557" s="13"/>
    </row>
    <row r="558" spans="1:9">
      <c r="A558" s="13" t="s">
        <v>1123</v>
      </c>
      <c r="B558" s="138" t="s">
        <v>415</v>
      </c>
      <c r="C558" s="138" t="s">
        <v>382</v>
      </c>
      <c r="D558" s="15">
        <v>200000000</v>
      </c>
      <c r="E558" s="92">
        <v>0.99411701789999996</v>
      </c>
      <c r="F558" s="18">
        <v>198823403.58000001</v>
      </c>
      <c r="G558" s="18">
        <v>0.33</v>
      </c>
      <c r="H558" s="13"/>
      <c r="I558" s="13"/>
    </row>
    <row r="559" spans="1:9">
      <c r="A559" s="13" t="s">
        <v>1126</v>
      </c>
      <c r="B559" s="138" t="s">
        <v>480</v>
      </c>
      <c r="C559" s="138" t="s">
        <v>393</v>
      </c>
      <c r="D559" s="15">
        <v>15000000</v>
      </c>
      <c r="E559" s="92">
        <v>0.99895998740000003</v>
      </c>
      <c r="F559" s="18">
        <v>14984399.810000001</v>
      </c>
      <c r="G559" s="18">
        <v>0.02</v>
      </c>
      <c r="H559" s="13"/>
      <c r="I559" s="13"/>
    </row>
    <row r="560" spans="1:9">
      <c r="A560" s="13" t="s">
        <v>1127</v>
      </c>
      <c r="B560" s="138" t="s">
        <v>483</v>
      </c>
      <c r="C560" s="138" t="s">
        <v>393</v>
      </c>
      <c r="D560" s="15">
        <v>10000000</v>
      </c>
      <c r="E560" s="153">
        <v>0.978290094</v>
      </c>
      <c r="F560" s="18">
        <v>9782900.9399999995</v>
      </c>
      <c r="G560" s="18">
        <v>0.02</v>
      </c>
      <c r="H560" s="13"/>
      <c r="I560" s="13"/>
    </row>
    <row r="561" spans="1:9">
      <c r="A561" s="13" t="s">
        <v>1128</v>
      </c>
      <c r="B561" s="138" t="s">
        <v>370</v>
      </c>
      <c r="C561" s="138" t="s">
        <v>393</v>
      </c>
      <c r="D561" s="15">
        <v>10000000</v>
      </c>
      <c r="E561" s="153">
        <v>0.99754032100000001</v>
      </c>
      <c r="F561" s="18">
        <v>9975403.2100000009</v>
      </c>
      <c r="G561" s="18">
        <v>0.02</v>
      </c>
      <c r="H561" s="13"/>
      <c r="I561" s="13"/>
    </row>
    <row r="562" spans="1:9">
      <c r="A562" s="13" t="s">
        <v>1129</v>
      </c>
      <c r="B562" s="138" t="s">
        <v>546</v>
      </c>
      <c r="C562" s="138" t="s">
        <v>393</v>
      </c>
      <c r="D562" s="15">
        <v>10000000</v>
      </c>
      <c r="E562" s="92">
        <v>0.98382756220000001</v>
      </c>
      <c r="F562" s="18">
        <v>9838275.6199999992</v>
      </c>
      <c r="G562" s="18">
        <v>0.02</v>
      </c>
      <c r="H562" s="13"/>
      <c r="I562" s="13"/>
    </row>
    <row r="563" spans="1:9">
      <c r="A563" s="13" t="s">
        <v>1130</v>
      </c>
      <c r="B563" s="138" t="s">
        <v>456</v>
      </c>
      <c r="C563" s="138" t="s">
        <v>393</v>
      </c>
      <c r="D563" s="15">
        <v>20000000</v>
      </c>
      <c r="E563" s="92">
        <v>0.98470341959999996</v>
      </c>
      <c r="F563" s="18">
        <v>19694068.390000001</v>
      </c>
      <c r="G563" s="18">
        <v>0.03</v>
      </c>
      <c r="H563" s="13"/>
      <c r="I563" s="13"/>
    </row>
    <row r="564" spans="1:9">
      <c r="A564" s="13" t="s">
        <v>1131</v>
      </c>
      <c r="B564" s="138" t="s">
        <v>607</v>
      </c>
      <c r="C564" s="138" t="s">
        <v>393</v>
      </c>
      <c r="D564" s="15">
        <v>20000000</v>
      </c>
      <c r="E564" s="92">
        <v>0.97970802759999998</v>
      </c>
      <c r="F564" s="18">
        <v>19594160.550000001</v>
      </c>
      <c r="G564" s="18">
        <v>0.03</v>
      </c>
      <c r="H564" s="13"/>
      <c r="I564" s="13"/>
    </row>
    <row r="565" spans="1:9">
      <c r="A565" s="13" t="s">
        <v>1132</v>
      </c>
      <c r="B565" s="138" t="s">
        <v>560</v>
      </c>
      <c r="C565" s="138" t="s">
        <v>393</v>
      </c>
      <c r="D565" s="15">
        <v>20000000</v>
      </c>
      <c r="E565" s="92">
        <v>0.97476306319999995</v>
      </c>
      <c r="F565" s="18">
        <v>19495261.260000002</v>
      </c>
      <c r="G565" s="18">
        <v>0.03</v>
      </c>
      <c r="H565" s="13"/>
      <c r="I565" s="13"/>
    </row>
    <row r="566" spans="1:9">
      <c r="A566" s="13" t="s">
        <v>1133</v>
      </c>
      <c r="B566" s="138" t="s">
        <v>622</v>
      </c>
      <c r="C566" s="138" t="s">
        <v>393</v>
      </c>
      <c r="D566" s="15">
        <v>10000000</v>
      </c>
      <c r="E566" s="92">
        <v>0.98902589289999998</v>
      </c>
      <c r="F566" s="18">
        <v>9890258.9299999997</v>
      </c>
      <c r="G566" s="18">
        <v>0.02</v>
      </c>
      <c r="H566" s="13"/>
      <c r="I566" s="13"/>
    </row>
    <row r="567" spans="1:9">
      <c r="A567" s="13" t="s">
        <v>1134</v>
      </c>
      <c r="B567" s="138" t="s">
        <v>647</v>
      </c>
      <c r="C567" s="138" t="s">
        <v>393</v>
      </c>
      <c r="D567" s="15">
        <v>10000000</v>
      </c>
      <c r="E567" s="92">
        <v>0.98758087819999996</v>
      </c>
      <c r="F567" s="18">
        <v>9875808.7799999993</v>
      </c>
      <c r="G567" s="18">
        <v>0.02</v>
      </c>
      <c r="H567" s="13"/>
      <c r="I567" s="13"/>
    </row>
    <row r="568" spans="1:9">
      <c r="A568" s="13" t="s">
        <v>1135</v>
      </c>
      <c r="B568" s="138" t="s">
        <v>546</v>
      </c>
      <c r="C568" s="138" t="s">
        <v>393</v>
      </c>
      <c r="D568" s="15">
        <v>10000000</v>
      </c>
      <c r="E568" s="92">
        <v>0.98542122909999996</v>
      </c>
      <c r="F568" s="18">
        <v>9854212.2899999991</v>
      </c>
      <c r="G568" s="18">
        <v>0.02</v>
      </c>
      <c r="H568" s="13"/>
      <c r="I568" s="13"/>
    </row>
    <row r="569" spans="1:9">
      <c r="A569" s="13" t="s">
        <v>1136</v>
      </c>
      <c r="B569" s="138" t="s">
        <v>456</v>
      </c>
      <c r="C569" s="138" t="s">
        <v>393</v>
      </c>
      <c r="D569" s="15">
        <v>10000000</v>
      </c>
      <c r="E569" s="153">
        <v>0.98470341900000002</v>
      </c>
      <c r="F569" s="18">
        <v>9847034.1899999995</v>
      </c>
      <c r="G569" s="18">
        <v>0.02</v>
      </c>
      <c r="H569" s="13"/>
      <c r="I569" s="13"/>
    </row>
    <row r="570" spans="1:9">
      <c r="A570" s="13" t="s">
        <v>1144</v>
      </c>
      <c r="B570" s="138" t="s">
        <v>610</v>
      </c>
      <c r="C570" s="138" t="s">
        <v>163</v>
      </c>
      <c r="D570" s="18">
        <v>456527.78</v>
      </c>
      <c r="E570" s="154">
        <v>0.99863199999999996</v>
      </c>
      <c r="F570" s="18">
        <v>455903.25</v>
      </c>
      <c r="G570" s="15">
        <v>0</v>
      </c>
      <c r="H570" s="13"/>
      <c r="I570" s="13"/>
    </row>
    <row r="571" spans="1:9">
      <c r="A571" s="13" t="s">
        <v>1149</v>
      </c>
      <c r="B571" s="138" t="s">
        <v>1148</v>
      </c>
      <c r="C571" s="138" t="s">
        <v>163</v>
      </c>
      <c r="D571" s="18">
        <v>29362361.710000001</v>
      </c>
      <c r="E571" s="92">
        <v>0.91515411680000003</v>
      </c>
      <c r="F571" s="150">
        <v>26871086.199999999</v>
      </c>
      <c r="G571" s="18">
        <v>0.04</v>
      </c>
      <c r="H571" s="13"/>
      <c r="I571" s="13"/>
    </row>
    <row r="572" spans="1:9">
      <c r="A572" s="13" t="s">
        <v>1150</v>
      </c>
      <c r="B572" s="138" t="s">
        <v>950</v>
      </c>
      <c r="C572" s="138" t="s">
        <v>163</v>
      </c>
      <c r="D572" s="18">
        <v>20408241.140000001</v>
      </c>
      <c r="E572" s="92">
        <v>0.93455554569999999</v>
      </c>
      <c r="F572" s="18">
        <v>19072634.940000001</v>
      </c>
      <c r="G572" s="18">
        <v>0.03</v>
      </c>
      <c r="H572" s="13"/>
      <c r="I572" s="13"/>
    </row>
    <row r="573" spans="1:9">
      <c r="A573" s="13" t="s">
        <v>1137</v>
      </c>
      <c r="B573" s="138" t="s">
        <v>920</v>
      </c>
      <c r="C573" s="138" t="s">
        <v>163</v>
      </c>
      <c r="D573" s="15">
        <v>10000000</v>
      </c>
      <c r="E573" s="92">
        <v>0.97593587270000004</v>
      </c>
      <c r="F573" s="18">
        <v>9759358.7300000004</v>
      </c>
      <c r="G573" s="18">
        <v>0.02</v>
      </c>
      <c r="H573" s="13"/>
      <c r="I573" s="13"/>
    </row>
    <row r="574" spans="1:9">
      <c r="A574" s="13" t="s">
        <v>1138</v>
      </c>
      <c r="B574" s="138" t="s">
        <v>546</v>
      </c>
      <c r="C574" s="138" t="s">
        <v>163</v>
      </c>
      <c r="D574" s="15">
        <v>10000000</v>
      </c>
      <c r="E574" s="92">
        <v>0.98382750809999997</v>
      </c>
      <c r="F574" s="18">
        <v>9838275.0800000001</v>
      </c>
      <c r="G574" s="18">
        <v>0.02</v>
      </c>
      <c r="H574" s="13"/>
      <c r="I574" s="13"/>
    </row>
    <row r="575" spans="1:9">
      <c r="A575" s="13" t="s">
        <v>1139</v>
      </c>
      <c r="B575" s="138" t="s">
        <v>600</v>
      </c>
      <c r="C575" s="138" t="s">
        <v>163</v>
      </c>
      <c r="D575" s="15">
        <v>10000000</v>
      </c>
      <c r="E575" s="92">
        <v>0.95674975230000003</v>
      </c>
      <c r="F575" s="18">
        <v>9567497.5199999996</v>
      </c>
      <c r="G575" s="18">
        <v>0.02</v>
      </c>
      <c r="H575" s="13"/>
      <c r="I575" s="13"/>
    </row>
    <row r="576" spans="1:9">
      <c r="A576" s="13" t="s">
        <v>1140</v>
      </c>
      <c r="B576" s="138" t="s">
        <v>551</v>
      </c>
      <c r="C576" s="138" t="s">
        <v>163</v>
      </c>
      <c r="D576" s="15">
        <v>10000000</v>
      </c>
      <c r="E576" s="92">
        <v>0.98065556909999996</v>
      </c>
      <c r="F576" s="18">
        <v>9806555.6899999995</v>
      </c>
      <c r="G576" s="18">
        <v>0.02</v>
      </c>
      <c r="H576" s="13"/>
      <c r="I576" s="13"/>
    </row>
    <row r="577" spans="1:9">
      <c r="A577" s="13" t="s">
        <v>1141</v>
      </c>
      <c r="B577" s="138" t="s">
        <v>585</v>
      </c>
      <c r="C577" s="138" t="s">
        <v>163</v>
      </c>
      <c r="D577" s="15">
        <v>10000000</v>
      </c>
      <c r="E577" s="92">
        <v>0.95449801509999999</v>
      </c>
      <c r="F577" s="18">
        <v>9544980.1500000004</v>
      </c>
      <c r="G577" s="18">
        <v>0.02</v>
      </c>
      <c r="H577" s="13"/>
      <c r="I577" s="13"/>
    </row>
    <row r="578" spans="1:9">
      <c r="A578" s="13" t="s">
        <v>1142</v>
      </c>
      <c r="B578" s="138" t="s">
        <v>593</v>
      </c>
      <c r="C578" s="138" t="s">
        <v>163</v>
      </c>
      <c r="D578" s="15">
        <v>10000000</v>
      </c>
      <c r="E578" s="153">
        <v>0.94928490899999995</v>
      </c>
      <c r="F578" s="18">
        <v>9492849.0899999999</v>
      </c>
      <c r="G578" s="18">
        <v>0.02</v>
      </c>
      <c r="H578" s="13"/>
      <c r="I578" s="13"/>
    </row>
    <row r="579" spans="1:9">
      <c r="A579" s="13" t="s">
        <v>1143</v>
      </c>
      <c r="B579" s="138" t="s">
        <v>577</v>
      </c>
      <c r="C579" s="138" t="s">
        <v>163</v>
      </c>
      <c r="D579" s="15">
        <v>30000000</v>
      </c>
      <c r="E579" s="92">
        <v>0.96479181810000003</v>
      </c>
      <c r="F579" s="18">
        <v>28943754.539999999</v>
      </c>
      <c r="G579" s="18">
        <v>0.05</v>
      </c>
      <c r="H579" s="13"/>
      <c r="I579" s="13"/>
    </row>
    <row r="580" spans="1:9">
      <c r="A580" s="13" t="s">
        <v>1145</v>
      </c>
      <c r="B580" s="138" t="s">
        <v>593</v>
      </c>
      <c r="C580" s="138" t="s">
        <v>163</v>
      </c>
      <c r="D580" s="15">
        <v>13000000</v>
      </c>
      <c r="E580" s="92">
        <v>0.96229906409999999</v>
      </c>
      <c r="F580" s="18">
        <v>12509887.83</v>
      </c>
      <c r="G580" s="18">
        <v>0.02</v>
      </c>
      <c r="H580" s="13"/>
      <c r="I580" s="13"/>
    </row>
    <row r="581" spans="1:9">
      <c r="A581" s="13" t="s">
        <v>1146</v>
      </c>
      <c r="B581" s="138" t="s">
        <v>541</v>
      </c>
      <c r="C581" s="138" t="s">
        <v>163</v>
      </c>
      <c r="D581" s="15">
        <v>13000000</v>
      </c>
      <c r="E581" s="92">
        <v>0.97530997470000003</v>
      </c>
      <c r="F581" s="18">
        <v>12679029.67</v>
      </c>
      <c r="G581" s="18">
        <v>0.02</v>
      </c>
      <c r="H581" s="13"/>
      <c r="I581" s="13"/>
    </row>
    <row r="582" spans="1:9">
      <c r="A582" s="13" t="s">
        <v>1147</v>
      </c>
      <c r="B582" s="138" t="s">
        <v>890</v>
      </c>
      <c r="C582" s="138" t="s">
        <v>163</v>
      </c>
      <c r="D582" s="15">
        <v>13000000</v>
      </c>
      <c r="E582" s="92">
        <v>0.95951635339999997</v>
      </c>
      <c r="F582" s="18">
        <v>12473712.59</v>
      </c>
      <c r="G582" s="18">
        <v>0.02</v>
      </c>
      <c r="H582" s="13"/>
      <c r="I582" s="13"/>
    </row>
    <row r="583" spans="1:9">
      <c r="A583" s="13" t="s">
        <v>1154</v>
      </c>
      <c r="B583" s="138" t="s">
        <v>452</v>
      </c>
      <c r="C583" s="138" t="s">
        <v>324</v>
      </c>
      <c r="D583" s="18">
        <v>25088884.329999998</v>
      </c>
      <c r="E583" s="92">
        <v>0.99338651290000002</v>
      </c>
      <c r="F583" s="18">
        <v>24922959.32</v>
      </c>
      <c r="G583" s="18">
        <v>0.04</v>
      </c>
      <c r="H583" s="13"/>
      <c r="I583" s="13"/>
    </row>
    <row r="584" spans="1:9">
      <c r="A584" s="13" t="s">
        <v>1155</v>
      </c>
      <c r="B584" s="138" t="s">
        <v>172</v>
      </c>
      <c r="C584" s="138" t="s">
        <v>324</v>
      </c>
      <c r="D584" s="18">
        <v>52602739.240000002</v>
      </c>
      <c r="E584" s="92">
        <v>0.99484859240000001</v>
      </c>
      <c r="F584" s="18">
        <v>52331761.090000004</v>
      </c>
      <c r="G584" s="18">
        <v>0.09</v>
      </c>
      <c r="H584" s="13"/>
      <c r="I584" s="13"/>
    </row>
    <row r="585" spans="1:9">
      <c r="A585" s="13" t="s">
        <v>1156</v>
      </c>
      <c r="B585" s="138" t="s">
        <v>930</v>
      </c>
      <c r="C585" s="138" t="s">
        <v>324</v>
      </c>
      <c r="D585" s="15">
        <v>100000000</v>
      </c>
      <c r="E585" s="92">
        <v>0.97546641339999995</v>
      </c>
      <c r="F585" s="18">
        <v>97546641.340000004</v>
      </c>
      <c r="G585" s="18">
        <v>0.16</v>
      </c>
      <c r="H585" s="13"/>
      <c r="I585" s="13"/>
    </row>
    <row r="586" spans="1:9">
      <c r="A586" s="13" t="s">
        <v>1157</v>
      </c>
      <c r="B586" s="138" t="s">
        <v>1158</v>
      </c>
      <c r="C586" s="138" t="s">
        <v>324</v>
      </c>
      <c r="D586" s="18">
        <v>22578937.030000001</v>
      </c>
      <c r="E586" s="92">
        <v>0.89813000509999996</v>
      </c>
      <c r="F586" s="18">
        <v>20278820.829999998</v>
      </c>
      <c r="G586" s="18">
        <v>0.03</v>
      </c>
      <c r="H586" s="13"/>
      <c r="I586" s="13"/>
    </row>
    <row r="587" spans="1:9">
      <c r="A587" s="13" t="s">
        <v>1159</v>
      </c>
      <c r="B587" s="138" t="s">
        <v>930</v>
      </c>
      <c r="C587" s="138" t="s">
        <v>324</v>
      </c>
      <c r="D587" s="15">
        <v>10000000</v>
      </c>
      <c r="E587" s="92">
        <v>0.9728145668</v>
      </c>
      <c r="F587" s="18">
        <v>9728145.6699999999</v>
      </c>
      <c r="G587" s="18">
        <v>0.02</v>
      </c>
      <c r="H587" s="13"/>
      <c r="I587" s="13"/>
    </row>
    <row r="588" spans="1:9">
      <c r="A588" s="13" t="s">
        <v>1160</v>
      </c>
      <c r="B588" s="138" t="s">
        <v>1161</v>
      </c>
      <c r="C588" s="138" t="s">
        <v>324</v>
      </c>
      <c r="D588" s="15">
        <v>74495580</v>
      </c>
      <c r="E588" s="92">
        <v>0.88463408639999996</v>
      </c>
      <c r="F588" s="18">
        <v>65901329.350000001</v>
      </c>
      <c r="G588" s="18">
        <v>0.11</v>
      </c>
      <c r="H588" s="13"/>
      <c r="I588" s="13"/>
    </row>
    <row r="589" spans="1:9">
      <c r="A589" s="13" t="s">
        <v>1162</v>
      </c>
      <c r="B589" s="138" t="s">
        <v>1163</v>
      </c>
      <c r="C589" s="138" t="s">
        <v>324</v>
      </c>
      <c r="D589" s="15">
        <v>71389290</v>
      </c>
      <c r="E589" s="92">
        <v>0.90301840160000002</v>
      </c>
      <c r="F589" s="18">
        <v>64465842.549999997</v>
      </c>
      <c r="G589" s="18">
        <v>0.11</v>
      </c>
      <c r="H589" s="13"/>
      <c r="I589" s="13"/>
    </row>
    <row r="590" spans="1:9">
      <c r="A590" s="13" t="s">
        <v>1164</v>
      </c>
      <c r="B590" s="138" t="s">
        <v>879</v>
      </c>
      <c r="C590" s="138" t="s">
        <v>324</v>
      </c>
      <c r="D590" s="15">
        <v>69542230</v>
      </c>
      <c r="E590" s="92">
        <v>0.9234895783</v>
      </c>
      <c r="F590" s="18">
        <v>64221524.659999996</v>
      </c>
      <c r="G590" s="18">
        <v>0.11</v>
      </c>
      <c r="H590" s="13"/>
      <c r="I590" s="13"/>
    </row>
    <row r="591" spans="1:9">
      <c r="A591" s="13" t="s">
        <v>1165</v>
      </c>
      <c r="B591" s="138" t="s">
        <v>571</v>
      </c>
      <c r="C591" s="138" t="s">
        <v>324</v>
      </c>
      <c r="D591" s="15">
        <v>2500000</v>
      </c>
      <c r="E591" s="92">
        <v>0.93266907170000002</v>
      </c>
      <c r="F591" s="18">
        <v>2331672.6800000002</v>
      </c>
      <c r="G591" s="15">
        <v>0</v>
      </c>
      <c r="H591" s="13"/>
      <c r="I591" s="13"/>
    </row>
    <row r="592" spans="1:9">
      <c r="A592" s="13" t="s">
        <v>1166</v>
      </c>
      <c r="B592" s="138" t="s">
        <v>544</v>
      </c>
      <c r="C592" s="138" t="s">
        <v>324</v>
      </c>
      <c r="D592" s="15">
        <v>10000000</v>
      </c>
      <c r="E592" s="92">
        <v>0.96179186049999998</v>
      </c>
      <c r="F592" s="18">
        <v>9617918.6099999994</v>
      </c>
      <c r="G592" s="18">
        <v>0.02</v>
      </c>
      <c r="H592" s="13"/>
      <c r="I592" s="13"/>
    </row>
    <row r="593" spans="1:9">
      <c r="A593" s="13" t="s">
        <v>1172</v>
      </c>
      <c r="B593" s="138" t="s">
        <v>930</v>
      </c>
      <c r="C593" s="138" t="s">
        <v>355</v>
      </c>
      <c r="D593" s="15">
        <v>25000000</v>
      </c>
      <c r="E593" s="92">
        <v>0.9772423844</v>
      </c>
      <c r="F593" s="18">
        <v>24431059.609999999</v>
      </c>
      <c r="G593" s="18">
        <v>0.04</v>
      </c>
      <c r="H593" s="13"/>
      <c r="I593" s="13"/>
    </row>
    <row r="594" spans="1:9">
      <c r="A594" s="13" t="s">
        <v>1173</v>
      </c>
      <c r="B594" s="138" t="s">
        <v>581</v>
      </c>
      <c r="C594" s="138" t="s">
        <v>355</v>
      </c>
      <c r="D594" s="15">
        <v>25000000</v>
      </c>
      <c r="E594" s="92">
        <v>0.97009976180000002</v>
      </c>
      <c r="F594" s="18">
        <v>24252494.050000001</v>
      </c>
      <c r="G594" s="18">
        <v>0.04</v>
      </c>
      <c r="H594" s="13"/>
      <c r="I594" s="13"/>
    </row>
    <row r="595" spans="1:9">
      <c r="A595" s="13" t="s">
        <v>1174</v>
      </c>
      <c r="B595" s="138" t="s">
        <v>1175</v>
      </c>
      <c r="C595" s="138" t="s">
        <v>355</v>
      </c>
      <c r="D595" s="15">
        <v>20000000</v>
      </c>
      <c r="E595" s="92">
        <v>0.91250015679999996</v>
      </c>
      <c r="F595" s="18">
        <v>18250003.140000001</v>
      </c>
      <c r="G595" s="18">
        <v>0.03</v>
      </c>
      <c r="H595" s="13"/>
      <c r="I595" s="13"/>
    </row>
    <row r="596" spans="1:9">
      <c r="A596" s="13" t="s">
        <v>1176</v>
      </c>
      <c r="B596" s="138" t="s">
        <v>568</v>
      </c>
      <c r="C596" s="138" t="s">
        <v>355</v>
      </c>
      <c r="D596" s="15">
        <v>11000000</v>
      </c>
      <c r="E596" s="153">
        <v>0.94093999500000003</v>
      </c>
      <c r="F596" s="18">
        <v>10350339.949999999</v>
      </c>
      <c r="G596" s="18">
        <v>0.02</v>
      </c>
      <c r="H596" s="13"/>
      <c r="I596" s="13"/>
    </row>
    <row r="597" spans="1:9">
      <c r="A597" s="13" t="s">
        <v>1177</v>
      </c>
      <c r="B597" s="138" t="s">
        <v>1178</v>
      </c>
      <c r="C597" s="138" t="s">
        <v>355</v>
      </c>
      <c r="D597" s="15">
        <v>12500000</v>
      </c>
      <c r="E597" s="153">
        <v>0.87803720299999999</v>
      </c>
      <c r="F597" s="18">
        <v>10975465.039999999</v>
      </c>
      <c r="G597" s="18">
        <v>0.02</v>
      </c>
      <c r="H597" s="13"/>
      <c r="I597" s="13"/>
    </row>
    <row r="598" spans="1:9">
      <c r="A598" s="13" t="s">
        <v>1179</v>
      </c>
      <c r="B598" s="138" t="s">
        <v>1180</v>
      </c>
      <c r="C598" s="138" t="s">
        <v>355</v>
      </c>
      <c r="D598" s="15">
        <v>12500000</v>
      </c>
      <c r="E598" s="153">
        <v>0.87425154100000002</v>
      </c>
      <c r="F598" s="18">
        <v>10928144.26</v>
      </c>
      <c r="G598" s="18">
        <v>0.02</v>
      </c>
      <c r="H598" s="13"/>
      <c r="I598" s="13"/>
    </row>
    <row r="599" spans="1:9">
      <c r="A599" s="13" t="s">
        <v>1181</v>
      </c>
      <c r="B599" s="138" t="s">
        <v>1182</v>
      </c>
      <c r="C599" s="138" t="s">
        <v>355</v>
      </c>
      <c r="D599" s="15">
        <v>18700000</v>
      </c>
      <c r="E599" s="92">
        <v>0.92334944460000001</v>
      </c>
      <c r="F599" s="18">
        <v>17266634.609999999</v>
      </c>
      <c r="G599" s="18">
        <v>0.03</v>
      </c>
      <c r="H599" s="13"/>
      <c r="I599" s="13"/>
    </row>
    <row r="600" spans="1:9">
      <c r="A600" s="13" t="s">
        <v>1183</v>
      </c>
      <c r="B600" s="138" t="s">
        <v>1184</v>
      </c>
      <c r="C600" s="138" t="s">
        <v>355</v>
      </c>
      <c r="D600" s="15">
        <v>5600000</v>
      </c>
      <c r="E600" s="92">
        <v>0.90078981989999996</v>
      </c>
      <c r="F600" s="18">
        <v>5044422.99</v>
      </c>
      <c r="G600" s="18">
        <v>0.01</v>
      </c>
      <c r="H600" s="13"/>
      <c r="I600" s="13"/>
    </row>
    <row r="601" spans="1:9">
      <c r="A601" s="13" t="s">
        <v>1185</v>
      </c>
      <c r="B601" s="138" t="s">
        <v>950</v>
      </c>
      <c r="C601" s="138" t="s">
        <v>355</v>
      </c>
      <c r="D601" s="15">
        <v>10900000</v>
      </c>
      <c r="E601" s="92">
        <v>0.94486162119999995</v>
      </c>
      <c r="F601" s="18">
        <v>10298991.67</v>
      </c>
      <c r="G601" s="18">
        <v>0.02</v>
      </c>
      <c r="H601" s="13"/>
      <c r="I601" s="13"/>
    </row>
    <row r="602" spans="1:9">
      <c r="A602" s="13" t="s">
        <v>1187</v>
      </c>
      <c r="B602" s="138" t="s">
        <v>415</v>
      </c>
      <c r="C602" s="138" t="s">
        <v>355</v>
      </c>
      <c r="D602" s="15">
        <v>15000000</v>
      </c>
      <c r="E602" s="92">
        <v>0.9917400287</v>
      </c>
      <c r="F602" s="18">
        <v>14876100.43</v>
      </c>
      <c r="G602" s="18">
        <v>0.02</v>
      </c>
      <c r="H602" s="13"/>
      <c r="I602" s="13"/>
    </row>
    <row r="603" spans="1:9">
      <c r="A603" s="13" t="s">
        <v>1188</v>
      </c>
      <c r="B603" s="138" t="s">
        <v>415</v>
      </c>
      <c r="C603" s="138" t="s">
        <v>355</v>
      </c>
      <c r="D603" s="15">
        <v>25000000</v>
      </c>
      <c r="E603" s="92">
        <v>0.9917400287</v>
      </c>
      <c r="F603" s="18">
        <v>24793500.719999999</v>
      </c>
      <c r="G603" s="18">
        <v>0.04</v>
      </c>
      <c r="H603" s="13"/>
      <c r="I603" s="13"/>
    </row>
    <row r="604" spans="1:9">
      <c r="A604" s="13" t="s">
        <v>1189</v>
      </c>
      <c r="B604" s="138" t="s">
        <v>533</v>
      </c>
      <c r="C604" s="138" t="s">
        <v>355</v>
      </c>
      <c r="D604" s="15">
        <v>25000000</v>
      </c>
      <c r="E604" s="153">
        <v>0.98361546200000005</v>
      </c>
      <c r="F604" s="18">
        <v>24590386.550000001</v>
      </c>
      <c r="G604" s="18">
        <v>0.04</v>
      </c>
      <c r="H604" s="13"/>
      <c r="I604" s="13"/>
    </row>
    <row r="605" spans="1:9">
      <c r="A605" s="13" t="s">
        <v>1190</v>
      </c>
      <c r="B605" s="138" t="s">
        <v>444</v>
      </c>
      <c r="C605" s="138" t="s">
        <v>355</v>
      </c>
      <c r="D605" s="15">
        <v>42000000</v>
      </c>
      <c r="E605" s="92">
        <v>0.98969633950000002</v>
      </c>
      <c r="F605" s="18">
        <v>41567246.259999998</v>
      </c>
      <c r="G605" s="18">
        <v>7.0000000000000007E-2</v>
      </c>
      <c r="H605" s="13"/>
      <c r="I605" s="13"/>
    </row>
    <row r="606" spans="1:9">
      <c r="A606" s="13" t="s">
        <v>1191</v>
      </c>
      <c r="B606" s="138" t="s">
        <v>452</v>
      </c>
      <c r="C606" s="138" t="s">
        <v>355</v>
      </c>
      <c r="D606" s="15">
        <v>43500000</v>
      </c>
      <c r="E606" s="92">
        <v>0.99071715579999997</v>
      </c>
      <c r="F606" s="18">
        <v>43096196.280000001</v>
      </c>
      <c r="G606" s="18">
        <v>7.0000000000000007E-2</v>
      </c>
      <c r="H606" s="13"/>
      <c r="I606" s="13"/>
    </row>
    <row r="607" spans="1:9">
      <c r="A607" s="13" t="s">
        <v>1192</v>
      </c>
      <c r="B607" s="138" t="s">
        <v>603</v>
      </c>
      <c r="C607" s="138" t="s">
        <v>355</v>
      </c>
      <c r="D607" s="150">
        <v>3076923.1</v>
      </c>
      <c r="E607" s="92">
        <v>0.96953285590000005</v>
      </c>
      <c r="F607" s="18">
        <v>2983178.04</v>
      </c>
      <c r="G607" s="15">
        <v>0</v>
      </c>
      <c r="H607" s="13"/>
      <c r="I607" s="13"/>
    </row>
    <row r="608" spans="1:9">
      <c r="A608" s="13" t="s">
        <v>1193</v>
      </c>
      <c r="B608" s="138" t="s">
        <v>920</v>
      </c>
      <c r="C608" s="138" t="s">
        <v>355</v>
      </c>
      <c r="D608" s="150">
        <v>3076923.1</v>
      </c>
      <c r="E608" s="153">
        <v>0.97048669499999995</v>
      </c>
      <c r="F608" s="18">
        <v>2986112.93</v>
      </c>
      <c r="G608" s="15">
        <v>0</v>
      </c>
      <c r="H608" s="13"/>
      <c r="I608" s="13"/>
    </row>
    <row r="609" spans="1:9">
      <c r="A609" s="13" t="s">
        <v>1194</v>
      </c>
      <c r="B609" s="138" t="s">
        <v>456</v>
      </c>
      <c r="C609" s="138" t="s">
        <v>355</v>
      </c>
      <c r="D609" s="18">
        <v>2687954.26</v>
      </c>
      <c r="E609" s="92">
        <v>0.97915608880000005</v>
      </c>
      <c r="F609" s="18">
        <v>2631926.7799999998</v>
      </c>
      <c r="G609" s="15">
        <v>0</v>
      </c>
      <c r="H609" s="13"/>
      <c r="I609" s="13"/>
    </row>
    <row r="610" spans="1:9">
      <c r="A610" s="13" t="s">
        <v>1195</v>
      </c>
      <c r="B610" s="138" t="s">
        <v>930</v>
      </c>
      <c r="C610" s="138" t="s">
        <v>355</v>
      </c>
      <c r="D610" s="150">
        <v>3076923.1</v>
      </c>
      <c r="E610" s="92">
        <v>0.96668267050000001</v>
      </c>
      <c r="F610" s="18">
        <v>2974408.24</v>
      </c>
      <c r="G610" s="15">
        <v>0</v>
      </c>
      <c r="H610" s="13"/>
      <c r="I610" s="13"/>
    </row>
    <row r="611" spans="1:9">
      <c r="A611" s="13" t="s">
        <v>1196</v>
      </c>
      <c r="B611" s="138" t="s">
        <v>546</v>
      </c>
      <c r="C611" s="138" t="s">
        <v>355</v>
      </c>
      <c r="D611" s="18">
        <v>2687954.26</v>
      </c>
      <c r="E611" s="92">
        <v>0.98012896260000004</v>
      </c>
      <c r="F611" s="18">
        <v>2634541.8199999998</v>
      </c>
      <c r="G611" s="15">
        <v>0</v>
      </c>
      <c r="H611" s="13"/>
      <c r="I611" s="13"/>
    </row>
    <row r="612" spans="1:9">
      <c r="A612" s="13" t="s">
        <v>1197</v>
      </c>
      <c r="B612" s="138" t="s">
        <v>483</v>
      </c>
      <c r="C612" s="138" t="s">
        <v>355</v>
      </c>
      <c r="D612" s="18">
        <v>3345657.98</v>
      </c>
      <c r="E612" s="92">
        <v>0.97335938070000005</v>
      </c>
      <c r="F612" s="18">
        <v>3256527.58</v>
      </c>
      <c r="G612" s="18">
        <v>0.01</v>
      </c>
      <c r="H612" s="13"/>
      <c r="I612" s="13"/>
    </row>
    <row r="613" spans="1:9">
      <c r="A613" s="13" t="s">
        <v>1198</v>
      </c>
      <c r="B613" s="138" t="s">
        <v>527</v>
      </c>
      <c r="C613" s="138" t="s">
        <v>355</v>
      </c>
      <c r="D613" s="18">
        <v>3345657.98</v>
      </c>
      <c r="E613" s="92">
        <v>0.97144228980000003</v>
      </c>
      <c r="F613" s="18">
        <v>3250113.65</v>
      </c>
      <c r="G613" s="18">
        <v>0.01</v>
      </c>
      <c r="H613" s="13"/>
      <c r="I613" s="13"/>
    </row>
    <row r="614" spans="1:9">
      <c r="A614" s="13" t="s">
        <v>1199</v>
      </c>
      <c r="B614" s="138" t="s">
        <v>930</v>
      </c>
      <c r="C614" s="138" t="s">
        <v>355</v>
      </c>
      <c r="D614" s="18">
        <v>3345657.98</v>
      </c>
      <c r="E614" s="92">
        <v>0.96668267919999995</v>
      </c>
      <c r="F614" s="18">
        <v>3234189.62</v>
      </c>
      <c r="G614" s="18">
        <v>0.01</v>
      </c>
      <c r="H614" s="13"/>
      <c r="I614" s="13"/>
    </row>
    <row r="615" spans="1:9">
      <c r="A615" s="13" t="s">
        <v>1200</v>
      </c>
      <c r="B615" s="138" t="s">
        <v>607</v>
      </c>
      <c r="C615" s="138" t="s">
        <v>355</v>
      </c>
      <c r="D615" s="18">
        <v>3345657.98</v>
      </c>
      <c r="E615" s="92">
        <v>0.97239988610000005</v>
      </c>
      <c r="F615" s="18">
        <v>3253317.44</v>
      </c>
      <c r="G615" s="18">
        <v>0.01</v>
      </c>
      <c r="H615" s="13"/>
      <c r="I615" s="13"/>
    </row>
    <row r="616" spans="1:9">
      <c r="A616" s="13" t="s">
        <v>1201</v>
      </c>
      <c r="B616" s="138" t="s">
        <v>454</v>
      </c>
      <c r="C616" s="138" t="s">
        <v>355</v>
      </c>
      <c r="D616" s="18">
        <v>3345657.98</v>
      </c>
      <c r="E616" s="92">
        <v>0.97721623629999999</v>
      </c>
      <c r="F616" s="150">
        <v>3269431.3</v>
      </c>
      <c r="G616" s="18">
        <v>0.01</v>
      </c>
      <c r="H616" s="13"/>
      <c r="I616" s="13"/>
    </row>
    <row r="617" spans="1:9">
      <c r="A617" s="13" t="s">
        <v>1202</v>
      </c>
      <c r="B617" s="138" t="s">
        <v>551</v>
      </c>
      <c r="C617" s="138" t="s">
        <v>355</v>
      </c>
      <c r="D617" s="18">
        <v>3345657.98</v>
      </c>
      <c r="E617" s="92">
        <v>0.97624913530000001</v>
      </c>
      <c r="F617" s="18">
        <v>3266195.71</v>
      </c>
      <c r="G617" s="18">
        <v>0.01</v>
      </c>
      <c r="H617" s="13"/>
      <c r="I617" s="13"/>
    </row>
    <row r="618" spans="1:9">
      <c r="A618" s="13" t="s">
        <v>1203</v>
      </c>
      <c r="B618" s="138" t="s">
        <v>541</v>
      </c>
      <c r="C618" s="138" t="s">
        <v>355</v>
      </c>
      <c r="D618" s="15">
        <v>100000000</v>
      </c>
      <c r="E618" s="92">
        <v>0.96022318929999995</v>
      </c>
      <c r="F618" s="18">
        <v>96022318.930000007</v>
      </c>
      <c r="G618" s="18">
        <v>0.16</v>
      </c>
      <c r="H618" s="13"/>
      <c r="I618" s="13"/>
    </row>
    <row r="619" spans="1:9">
      <c r="A619" s="13" t="s">
        <v>1204</v>
      </c>
      <c r="B619" s="138" t="s">
        <v>591</v>
      </c>
      <c r="C619" s="138" t="s">
        <v>355</v>
      </c>
      <c r="D619" s="15">
        <v>15000000</v>
      </c>
      <c r="E619" s="92">
        <v>0.95479762010000002</v>
      </c>
      <c r="F619" s="150">
        <v>14321964.300000001</v>
      </c>
      <c r="G619" s="18">
        <v>0.02</v>
      </c>
      <c r="H619" s="13"/>
      <c r="I619" s="13"/>
    </row>
    <row r="620" spans="1:9">
      <c r="A620" s="13" t="s">
        <v>1205</v>
      </c>
      <c r="B620" s="138" t="s">
        <v>595</v>
      </c>
      <c r="C620" s="138" t="s">
        <v>355</v>
      </c>
      <c r="D620" s="15">
        <v>15000000</v>
      </c>
      <c r="E620" s="92">
        <v>0.9514376242</v>
      </c>
      <c r="F620" s="18">
        <v>14271564.359999999</v>
      </c>
      <c r="G620" s="18">
        <v>0.02</v>
      </c>
      <c r="H620" s="13"/>
      <c r="I620" s="13"/>
    </row>
    <row r="621" spans="1:9">
      <c r="A621" s="13" t="s">
        <v>1206</v>
      </c>
      <c r="B621" s="138" t="s">
        <v>712</v>
      </c>
      <c r="C621" s="138" t="s">
        <v>355</v>
      </c>
      <c r="D621" s="15">
        <v>15000000</v>
      </c>
      <c r="E621" s="92">
        <v>0.94943300720000001</v>
      </c>
      <c r="F621" s="18">
        <v>14241495.109999999</v>
      </c>
      <c r="G621" s="18">
        <v>0.02</v>
      </c>
      <c r="H621" s="13"/>
      <c r="I621" s="13"/>
    </row>
    <row r="622" spans="1:9">
      <c r="A622" s="13" t="s">
        <v>1209</v>
      </c>
      <c r="B622" s="138" t="s">
        <v>600</v>
      </c>
      <c r="C622" s="138" t="s">
        <v>374</v>
      </c>
      <c r="D622" s="15">
        <v>212000000</v>
      </c>
      <c r="E622" s="92">
        <v>0.95951635270000002</v>
      </c>
      <c r="F622" s="18">
        <v>203417466.77000001</v>
      </c>
      <c r="G622" s="18">
        <v>0.33</v>
      </c>
      <c r="H622" s="13"/>
      <c r="I622" s="13"/>
    </row>
    <row r="623" spans="1:9">
      <c r="A623" s="13" t="s">
        <v>1210</v>
      </c>
      <c r="B623" s="138" t="s">
        <v>560</v>
      </c>
      <c r="C623" s="138" t="s">
        <v>374</v>
      </c>
      <c r="D623" s="15">
        <v>12500000</v>
      </c>
      <c r="E623" s="92">
        <v>0.97385281509999999</v>
      </c>
      <c r="F623" s="18">
        <v>12173160.189999999</v>
      </c>
      <c r="G623" s="18">
        <v>0.02</v>
      </c>
      <c r="H623" s="13"/>
      <c r="I623" s="13"/>
    </row>
    <row r="624" spans="1:9">
      <c r="A624" s="13" t="s">
        <v>1211</v>
      </c>
      <c r="B624" s="138" t="s">
        <v>603</v>
      </c>
      <c r="C624" s="138" t="s">
        <v>374</v>
      </c>
      <c r="D624" s="15">
        <v>30000000</v>
      </c>
      <c r="E624" s="153">
        <v>0.97758265300000002</v>
      </c>
      <c r="F624" s="18">
        <v>29327479.59</v>
      </c>
      <c r="G624" s="18">
        <v>0.05</v>
      </c>
      <c r="H624" s="13"/>
      <c r="I624" s="13"/>
    </row>
    <row r="625" spans="1:9">
      <c r="A625" s="13" t="s">
        <v>1212</v>
      </c>
      <c r="B625" s="138" t="s">
        <v>603</v>
      </c>
      <c r="C625" s="138" t="s">
        <v>374</v>
      </c>
      <c r="D625" s="15">
        <v>22000000</v>
      </c>
      <c r="E625" s="153">
        <v>0.97758265300000002</v>
      </c>
      <c r="F625" s="18">
        <v>21506818.370000001</v>
      </c>
      <c r="G625" s="18">
        <v>0.04</v>
      </c>
      <c r="H625" s="13"/>
      <c r="I625" s="13"/>
    </row>
    <row r="626" spans="1:9">
      <c r="A626" s="13" t="s">
        <v>1213</v>
      </c>
      <c r="B626" s="138" t="s">
        <v>603</v>
      </c>
      <c r="C626" s="138" t="s">
        <v>374</v>
      </c>
      <c r="D626" s="15">
        <v>10000000</v>
      </c>
      <c r="E626" s="92">
        <v>0.97758265379999998</v>
      </c>
      <c r="F626" s="18">
        <v>9775826.5399999991</v>
      </c>
      <c r="G626" s="18">
        <v>0.02</v>
      </c>
      <c r="H626" s="13"/>
      <c r="I626" s="13"/>
    </row>
    <row r="627" spans="1:9">
      <c r="A627" s="13" t="s">
        <v>1214</v>
      </c>
      <c r="B627" s="138" t="s">
        <v>603</v>
      </c>
      <c r="C627" s="138" t="s">
        <v>374</v>
      </c>
      <c r="D627" s="15">
        <v>24600000</v>
      </c>
      <c r="E627" s="153">
        <v>0.97758265300000002</v>
      </c>
      <c r="F627" s="18">
        <v>24048533.260000002</v>
      </c>
      <c r="G627" s="18">
        <v>0.04</v>
      </c>
      <c r="H627" s="13"/>
      <c r="I627" s="13"/>
    </row>
    <row r="628" spans="1:9">
      <c r="A628" s="13" t="s">
        <v>1215</v>
      </c>
      <c r="B628" s="138" t="s">
        <v>603</v>
      </c>
      <c r="C628" s="138" t="s">
        <v>374</v>
      </c>
      <c r="D628" s="15">
        <v>18000000</v>
      </c>
      <c r="E628" s="153">
        <v>0.97758265300000002</v>
      </c>
      <c r="F628" s="18">
        <v>17596487.75</v>
      </c>
      <c r="G628" s="18">
        <v>0.03</v>
      </c>
      <c r="H628" s="13"/>
      <c r="I628" s="13"/>
    </row>
    <row r="629" spans="1:9">
      <c r="A629" s="13" t="s">
        <v>1216</v>
      </c>
      <c r="B629" s="138" t="s">
        <v>501</v>
      </c>
      <c r="C629" s="138" t="s">
        <v>374</v>
      </c>
      <c r="D629" s="18">
        <v>4396334.17</v>
      </c>
      <c r="E629" s="92">
        <v>0.91761579360000001</v>
      </c>
      <c r="F629" s="18">
        <v>4034145.67</v>
      </c>
      <c r="G629" s="18">
        <v>0.01</v>
      </c>
      <c r="H629" s="13"/>
      <c r="I629" s="13"/>
    </row>
    <row r="630" spans="1:9">
      <c r="A630" s="13" t="s">
        <v>1217</v>
      </c>
      <c r="B630" s="138" t="s">
        <v>879</v>
      </c>
      <c r="C630" s="138" t="s">
        <v>374</v>
      </c>
      <c r="D630" s="18">
        <v>5311841.87</v>
      </c>
      <c r="E630" s="92">
        <v>0.92097309670000005</v>
      </c>
      <c r="F630" s="18">
        <v>4892063.46</v>
      </c>
      <c r="G630" s="18">
        <v>0.01</v>
      </c>
      <c r="H630" s="13"/>
      <c r="I630" s="13"/>
    </row>
    <row r="631" spans="1:9">
      <c r="A631" s="13" t="s">
        <v>1218</v>
      </c>
      <c r="B631" s="138" t="s">
        <v>727</v>
      </c>
      <c r="C631" s="138" t="s">
        <v>374</v>
      </c>
      <c r="D631" s="18">
        <v>8106418.25</v>
      </c>
      <c r="E631" s="153">
        <v>0.96252736699999997</v>
      </c>
      <c r="F631" s="18">
        <v>7802649.4100000001</v>
      </c>
      <c r="G631" s="18">
        <v>0.01</v>
      </c>
      <c r="H631" s="13"/>
      <c r="I631" s="13"/>
    </row>
    <row r="632" spans="1:9">
      <c r="A632" s="13" t="s">
        <v>1219</v>
      </c>
      <c r="B632" s="138" t="s">
        <v>589</v>
      </c>
      <c r="C632" s="138" t="s">
        <v>374</v>
      </c>
      <c r="D632" s="18">
        <v>7511409.4699999997</v>
      </c>
      <c r="E632" s="92">
        <v>0.9530524481</v>
      </c>
      <c r="F632" s="18">
        <v>7158767.1799999997</v>
      </c>
      <c r="G632" s="18">
        <v>0.01</v>
      </c>
      <c r="H632" s="13"/>
      <c r="I632" s="13"/>
    </row>
    <row r="633" spans="1:9">
      <c r="A633" s="13" t="s">
        <v>1220</v>
      </c>
      <c r="B633" s="138" t="s">
        <v>1221</v>
      </c>
      <c r="C633" s="138" t="s">
        <v>374</v>
      </c>
      <c r="D633" s="18">
        <v>4103981.39</v>
      </c>
      <c r="E633" s="153">
        <v>0.92707836700000001</v>
      </c>
      <c r="F633" s="18">
        <v>3804712.37</v>
      </c>
      <c r="G633" s="18">
        <v>0.01</v>
      </c>
      <c r="H633" s="13"/>
      <c r="I633" s="13"/>
    </row>
    <row r="634" spans="1:9">
      <c r="A634" s="13" t="s">
        <v>1222</v>
      </c>
      <c r="B634" s="138" t="s">
        <v>875</v>
      </c>
      <c r="C634" s="138" t="s">
        <v>374</v>
      </c>
      <c r="D634" s="18">
        <v>8106418.25</v>
      </c>
      <c r="E634" s="92">
        <v>0.92232280879999995</v>
      </c>
      <c r="F634" s="18">
        <v>7476734.4500000002</v>
      </c>
      <c r="G634" s="18">
        <v>0.01</v>
      </c>
      <c r="H634" s="13"/>
      <c r="I634" s="13"/>
    </row>
    <row r="635" spans="1:9">
      <c r="A635" s="13" t="s">
        <v>1223</v>
      </c>
      <c r="B635" s="138" t="s">
        <v>575</v>
      </c>
      <c r="C635" s="138" t="s">
        <v>374</v>
      </c>
      <c r="D635" s="18">
        <v>5109127.71</v>
      </c>
      <c r="E635" s="92">
        <v>0.94164389510000002</v>
      </c>
      <c r="F635" s="18">
        <v>4810978.92</v>
      </c>
      <c r="G635" s="18">
        <v>0.01</v>
      </c>
      <c r="H635" s="13"/>
      <c r="I635" s="13"/>
    </row>
    <row r="636" spans="1:9">
      <c r="A636" s="13" t="s">
        <v>1224</v>
      </c>
      <c r="B636" s="138" t="s">
        <v>595</v>
      </c>
      <c r="C636" s="138" t="s">
        <v>374</v>
      </c>
      <c r="D636" s="15">
        <v>333534247</v>
      </c>
      <c r="E636" s="28">
        <v>0.94127972000000004</v>
      </c>
      <c r="F636" s="18">
        <v>313949022.63</v>
      </c>
      <c r="G636" s="18">
        <v>0.51</v>
      </c>
      <c r="H636" s="13"/>
      <c r="I636" s="13"/>
    </row>
    <row r="637" spans="1:9">
      <c r="A637" s="13" t="s">
        <v>1225</v>
      </c>
      <c r="B637" s="138" t="s">
        <v>480</v>
      </c>
      <c r="C637" s="138" t="s">
        <v>374</v>
      </c>
      <c r="D637" s="15">
        <v>10000000</v>
      </c>
      <c r="E637" s="153">
        <v>0.99909670799999994</v>
      </c>
      <c r="F637" s="18">
        <v>9990967.0800000001</v>
      </c>
      <c r="G637" s="18">
        <v>0.02</v>
      </c>
      <c r="H637" s="13"/>
      <c r="I637" s="13"/>
    </row>
    <row r="638" spans="1:9">
      <c r="A638" s="13" t="s">
        <v>1226</v>
      </c>
      <c r="B638" s="138" t="s">
        <v>610</v>
      </c>
      <c r="C638" s="138" t="s">
        <v>374</v>
      </c>
      <c r="D638" s="15">
        <v>10000000</v>
      </c>
      <c r="E638" s="153">
        <v>0.99819505600000002</v>
      </c>
      <c r="F638" s="18">
        <v>9981950.5600000005</v>
      </c>
      <c r="G638" s="18">
        <v>0.02</v>
      </c>
      <c r="H638" s="13"/>
      <c r="I638" s="13"/>
    </row>
    <row r="639" spans="1:9">
      <c r="A639" s="13" t="s">
        <v>1227</v>
      </c>
      <c r="B639" s="138" t="s">
        <v>370</v>
      </c>
      <c r="C639" s="138" t="s">
        <v>374</v>
      </c>
      <c r="D639" s="15">
        <v>9000000</v>
      </c>
      <c r="E639" s="92">
        <v>0.99729501990000002</v>
      </c>
      <c r="F639" s="18">
        <v>8975655.1799999997</v>
      </c>
      <c r="G639" s="18">
        <v>0.01</v>
      </c>
      <c r="H639" s="13"/>
      <c r="I639" s="13"/>
    </row>
    <row r="640" spans="1:9">
      <c r="A640" s="13" t="s">
        <v>1228</v>
      </c>
      <c r="B640" s="138" t="s">
        <v>890</v>
      </c>
      <c r="C640" s="138" t="s">
        <v>374</v>
      </c>
      <c r="D640" s="18">
        <v>10867742.35</v>
      </c>
      <c r="E640" s="92">
        <v>0.93709889690000003</v>
      </c>
      <c r="F640" s="18">
        <v>10184149.369999999</v>
      </c>
      <c r="G640" s="18">
        <v>0.02</v>
      </c>
      <c r="H640" s="13"/>
      <c r="I640" s="13"/>
    </row>
    <row r="641" spans="1:9">
      <c r="A641" s="13" t="s">
        <v>1229</v>
      </c>
      <c r="B641" s="138" t="s">
        <v>452</v>
      </c>
      <c r="C641" s="138" t="s">
        <v>374</v>
      </c>
      <c r="D641" s="15">
        <v>25000000</v>
      </c>
      <c r="E641" s="92">
        <v>0.99192869080000001</v>
      </c>
      <c r="F641" s="18">
        <v>24798217.27</v>
      </c>
      <c r="G641" s="18">
        <v>0.04</v>
      </c>
      <c r="H641" s="13"/>
      <c r="I641" s="13"/>
    </row>
    <row r="642" spans="1:9">
      <c r="A642" s="13" t="s">
        <v>1230</v>
      </c>
      <c r="B642" s="138" t="s">
        <v>483</v>
      </c>
      <c r="C642" s="138" t="s">
        <v>374</v>
      </c>
      <c r="D642" s="15">
        <v>150000000</v>
      </c>
      <c r="E642" s="92">
        <v>0.97617074469999998</v>
      </c>
      <c r="F642" s="18">
        <v>146425611.71000001</v>
      </c>
      <c r="G642" s="18">
        <v>0.24</v>
      </c>
      <c r="H642" s="13"/>
      <c r="I642" s="13"/>
    </row>
    <row r="643" spans="1:9">
      <c r="A643" s="13" t="s">
        <v>1231</v>
      </c>
      <c r="B643" s="138" t="s">
        <v>645</v>
      </c>
      <c r="C643" s="138" t="s">
        <v>374</v>
      </c>
      <c r="D643" s="15">
        <v>175000000</v>
      </c>
      <c r="E643" s="92">
        <v>0.9883831716</v>
      </c>
      <c r="F643" s="18">
        <v>172967055.03</v>
      </c>
      <c r="G643" s="18">
        <v>0.28000000000000003</v>
      </c>
      <c r="H643" s="13"/>
      <c r="I643" s="13"/>
    </row>
    <row r="644" spans="1:9">
      <c r="A644" s="13" t="s">
        <v>1244</v>
      </c>
      <c r="B644" s="138" t="s">
        <v>1243</v>
      </c>
      <c r="C644" s="138" t="s">
        <v>419</v>
      </c>
      <c r="D644" s="15">
        <v>2000000</v>
      </c>
      <c r="E644" s="92">
        <v>0.90192493350000003</v>
      </c>
      <c r="F644" s="18">
        <v>1803849.87</v>
      </c>
      <c r="G644" s="15">
        <v>0</v>
      </c>
      <c r="H644" s="13"/>
      <c r="I644" s="13"/>
    </row>
    <row r="645" spans="1:9">
      <c r="A645" s="13" t="s">
        <v>1246</v>
      </c>
      <c r="B645" s="138" t="s">
        <v>1245</v>
      </c>
      <c r="C645" s="138" t="s">
        <v>419</v>
      </c>
      <c r="D645" s="15">
        <v>3400000</v>
      </c>
      <c r="E645" s="153">
        <v>0.91412264899999995</v>
      </c>
      <c r="F645" s="18">
        <v>3108017.01</v>
      </c>
      <c r="G645" s="18">
        <v>0.01</v>
      </c>
      <c r="H645" s="13"/>
      <c r="I645" s="13"/>
    </row>
    <row r="646" spans="1:9">
      <c r="A646" s="13" t="s">
        <v>1247</v>
      </c>
      <c r="B646" s="138" t="s">
        <v>1184</v>
      </c>
      <c r="C646" s="138" t="s">
        <v>419</v>
      </c>
      <c r="D646" s="15">
        <v>14000000</v>
      </c>
      <c r="E646" s="92">
        <v>0.9037786391</v>
      </c>
      <c r="F646" s="18">
        <v>12652900.949999999</v>
      </c>
      <c r="G646" s="18">
        <v>0.02</v>
      </c>
      <c r="H646" s="13"/>
      <c r="I646" s="13"/>
    </row>
    <row r="647" spans="1:9">
      <c r="A647" s="13" t="s">
        <v>1248</v>
      </c>
      <c r="B647" s="138" t="s">
        <v>267</v>
      </c>
      <c r="C647" s="138" t="s">
        <v>419</v>
      </c>
      <c r="D647" s="15">
        <v>14000000</v>
      </c>
      <c r="E647" s="92">
        <v>0.8992585354</v>
      </c>
      <c r="F647" s="150">
        <v>12589619.5</v>
      </c>
      <c r="G647" s="18">
        <v>0.02</v>
      </c>
      <c r="H647" s="13"/>
      <c r="I647" s="13"/>
    </row>
    <row r="648" spans="1:9">
      <c r="A648" s="13" t="s">
        <v>1250</v>
      </c>
      <c r="B648" s="138" t="s">
        <v>1249</v>
      </c>
      <c r="C648" s="138" t="s">
        <v>419</v>
      </c>
      <c r="D648" s="15">
        <v>14000000</v>
      </c>
      <c r="E648" s="92">
        <v>0.91428301639999998</v>
      </c>
      <c r="F648" s="18">
        <v>12799962.23</v>
      </c>
      <c r="G648" s="18">
        <v>0.02</v>
      </c>
      <c r="H648" s="13"/>
      <c r="I648" s="13"/>
    </row>
    <row r="649" spans="1:9">
      <c r="A649" s="13" t="s">
        <v>1252</v>
      </c>
      <c r="B649" s="138" t="s">
        <v>1251</v>
      </c>
      <c r="C649" s="138" t="s">
        <v>419</v>
      </c>
      <c r="D649" s="15">
        <v>14000000</v>
      </c>
      <c r="E649" s="92">
        <v>0.89478342070000005</v>
      </c>
      <c r="F649" s="18">
        <v>12526967.890000001</v>
      </c>
      <c r="G649" s="18">
        <v>0.02</v>
      </c>
      <c r="H649" s="13"/>
      <c r="I649" s="13"/>
    </row>
    <row r="650" spans="1:9">
      <c r="A650" s="13" t="s">
        <v>1253</v>
      </c>
      <c r="B650" s="138" t="s">
        <v>1245</v>
      </c>
      <c r="C650" s="138" t="s">
        <v>419</v>
      </c>
      <c r="D650" s="15">
        <v>14000000</v>
      </c>
      <c r="E650" s="92">
        <v>0.90834441079999995</v>
      </c>
      <c r="F650" s="18">
        <v>12716821.75</v>
      </c>
      <c r="G650" s="18">
        <v>0.02</v>
      </c>
      <c r="H650" s="13"/>
      <c r="I650" s="13"/>
    </row>
    <row r="651" spans="1:9">
      <c r="A651" s="13" t="s">
        <v>1242</v>
      </c>
      <c r="B651" s="138" t="s">
        <v>555</v>
      </c>
      <c r="C651" s="138" t="s">
        <v>419</v>
      </c>
      <c r="D651" s="15">
        <v>20000000</v>
      </c>
      <c r="E651" s="92">
        <v>0.95810593109999997</v>
      </c>
      <c r="F651" s="18">
        <v>19162118.620000001</v>
      </c>
      <c r="G651" s="18">
        <v>0.03</v>
      </c>
      <c r="H651" s="13"/>
      <c r="I651" s="13"/>
    </row>
    <row r="652" spans="1:9">
      <c r="A652" s="13" t="s">
        <v>1238</v>
      </c>
      <c r="B652" s="138" t="s">
        <v>890</v>
      </c>
      <c r="C652" s="138" t="s">
        <v>419</v>
      </c>
      <c r="D652" s="15">
        <v>110000000</v>
      </c>
      <c r="E652" s="92">
        <v>0.95076844660000004</v>
      </c>
      <c r="F652" s="18">
        <v>104584529.13</v>
      </c>
      <c r="G652" s="18">
        <v>0.17</v>
      </c>
      <c r="H652" s="13"/>
      <c r="I652" s="13"/>
    </row>
    <row r="653" spans="1:9">
      <c r="A653" s="13" t="s">
        <v>1258</v>
      </c>
      <c r="B653" s="138" t="s">
        <v>645</v>
      </c>
      <c r="C653" s="138" t="s">
        <v>419</v>
      </c>
      <c r="D653" s="15">
        <v>30000000</v>
      </c>
      <c r="E653" s="92">
        <v>0.9903005225</v>
      </c>
      <c r="F653" s="18">
        <v>29709015.68</v>
      </c>
      <c r="G653" s="18">
        <v>0.05</v>
      </c>
      <c r="H653" s="13"/>
      <c r="I653" s="13"/>
    </row>
    <row r="654" spans="1:9">
      <c r="A654" s="13" t="s">
        <v>1259</v>
      </c>
      <c r="B654" s="138" t="s">
        <v>645</v>
      </c>
      <c r="C654" s="138" t="s">
        <v>419</v>
      </c>
      <c r="D654" s="15">
        <v>25000000</v>
      </c>
      <c r="E654" s="92">
        <v>0.99030052310000005</v>
      </c>
      <c r="F654" s="18">
        <v>24757513.079999998</v>
      </c>
      <c r="G654" s="18">
        <v>0.04</v>
      </c>
      <c r="H654" s="13"/>
      <c r="I654" s="13"/>
    </row>
    <row r="655" spans="1:9">
      <c r="A655" s="13" t="s">
        <v>1260</v>
      </c>
      <c r="B655" s="138" t="s">
        <v>444</v>
      </c>
      <c r="C655" s="138" t="s">
        <v>419</v>
      </c>
      <c r="D655" s="15">
        <v>25000000</v>
      </c>
      <c r="E655" s="92">
        <v>0.99252211950000002</v>
      </c>
      <c r="F655" s="18">
        <v>24813052.989999998</v>
      </c>
      <c r="G655" s="18">
        <v>0.04</v>
      </c>
      <c r="H655" s="13"/>
      <c r="I655" s="13"/>
    </row>
    <row r="656" spans="1:9">
      <c r="A656" s="13" t="s">
        <v>1261</v>
      </c>
      <c r="B656" s="138" t="s">
        <v>456</v>
      </c>
      <c r="C656" s="138" t="s">
        <v>419</v>
      </c>
      <c r="D656" s="15">
        <v>25000000</v>
      </c>
      <c r="E656" s="92">
        <v>0.98442455910000004</v>
      </c>
      <c r="F656" s="18">
        <v>24610613.98</v>
      </c>
      <c r="G656" s="18">
        <v>0.04</v>
      </c>
      <c r="H656" s="13"/>
      <c r="I656" s="13"/>
    </row>
    <row r="657" spans="1:9">
      <c r="A657" s="13" t="s">
        <v>1262</v>
      </c>
      <c r="B657" s="138" t="s">
        <v>480</v>
      </c>
      <c r="C657" s="138" t="s">
        <v>419</v>
      </c>
      <c r="D657" s="15">
        <v>30000000</v>
      </c>
      <c r="E657" s="92">
        <v>0.99924714260000003</v>
      </c>
      <c r="F657" s="18">
        <v>29977414.280000001</v>
      </c>
      <c r="G657" s="18">
        <v>0.05</v>
      </c>
      <c r="H657" s="13"/>
      <c r="I657" s="13"/>
    </row>
    <row r="658" spans="1:9">
      <c r="A658" s="13" t="s">
        <v>1263</v>
      </c>
      <c r="B658" s="138" t="s">
        <v>533</v>
      </c>
      <c r="C658" s="138" t="s">
        <v>419</v>
      </c>
      <c r="D658" s="15">
        <v>25000000</v>
      </c>
      <c r="E658" s="153">
        <v>0.98808885300000004</v>
      </c>
      <c r="F658" s="18">
        <v>24702221.329999998</v>
      </c>
      <c r="G658" s="18">
        <v>0.04</v>
      </c>
      <c r="H658" s="13"/>
      <c r="I658" s="13"/>
    </row>
    <row r="659" spans="1:9">
      <c r="A659" s="13" t="s">
        <v>1264</v>
      </c>
      <c r="B659" s="138" t="s">
        <v>622</v>
      </c>
      <c r="C659" s="138" t="s">
        <v>419</v>
      </c>
      <c r="D659" s="15">
        <v>25000000</v>
      </c>
      <c r="E659" s="92">
        <v>0.98882493589999998</v>
      </c>
      <c r="F659" s="150">
        <v>24720623.399999999</v>
      </c>
      <c r="G659" s="18">
        <v>0.04</v>
      </c>
      <c r="H659" s="13"/>
      <c r="I659" s="13"/>
    </row>
    <row r="660" spans="1:9">
      <c r="A660" s="13" t="s">
        <v>1265</v>
      </c>
      <c r="B660" s="138" t="s">
        <v>475</v>
      </c>
      <c r="C660" s="138" t="s">
        <v>419</v>
      </c>
      <c r="D660" s="15">
        <v>25000000</v>
      </c>
      <c r="E660" s="92">
        <v>0.98956218009999997</v>
      </c>
      <c r="F660" s="150">
        <v>24739054.5</v>
      </c>
      <c r="G660" s="18">
        <v>0.04</v>
      </c>
      <c r="H660" s="13"/>
      <c r="I660" s="13"/>
    </row>
    <row r="661" spans="1:9">
      <c r="A661" s="13" t="s">
        <v>1266</v>
      </c>
      <c r="B661" s="138" t="s">
        <v>475</v>
      </c>
      <c r="C661" s="138" t="s">
        <v>419</v>
      </c>
      <c r="D661" s="15">
        <v>30000000</v>
      </c>
      <c r="E661" s="92">
        <v>0.98956218009999997</v>
      </c>
      <c r="F661" s="150">
        <v>29686865.399999999</v>
      </c>
      <c r="G661" s="18">
        <v>0.05</v>
      </c>
      <c r="H661" s="13"/>
      <c r="I661" s="13"/>
    </row>
    <row r="662" spans="1:9">
      <c r="A662" s="13" t="s">
        <v>1267</v>
      </c>
      <c r="B662" s="138" t="s">
        <v>647</v>
      </c>
      <c r="C662" s="138" t="s">
        <v>419</v>
      </c>
      <c r="D662" s="15">
        <v>25000000</v>
      </c>
      <c r="E662" s="92">
        <v>0.98735380029999997</v>
      </c>
      <c r="F662" s="18">
        <v>24683845.010000002</v>
      </c>
      <c r="G662" s="18">
        <v>0.04</v>
      </c>
      <c r="H662" s="13"/>
      <c r="I662" s="13"/>
    </row>
    <row r="663" spans="1:9">
      <c r="A663" s="13" t="s">
        <v>1268</v>
      </c>
      <c r="B663" s="138" t="s">
        <v>546</v>
      </c>
      <c r="C663" s="138" t="s">
        <v>419</v>
      </c>
      <c r="D663" s="15">
        <v>25000000</v>
      </c>
      <c r="E663" s="92">
        <v>0.98515525839999996</v>
      </c>
      <c r="F663" s="18">
        <v>24628881.460000001</v>
      </c>
      <c r="G663" s="18">
        <v>0.04</v>
      </c>
      <c r="H663" s="13"/>
      <c r="I663" s="13"/>
    </row>
    <row r="664" spans="1:9">
      <c r="A664" s="13" t="s">
        <v>1255</v>
      </c>
      <c r="B664" s="138" t="s">
        <v>415</v>
      </c>
      <c r="C664" s="138" t="s">
        <v>419</v>
      </c>
      <c r="D664" s="15">
        <v>1000000</v>
      </c>
      <c r="E664" s="92">
        <v>0.99281907010000003</v>
      </c>
      <c r="F664" s="18">
        <v>992819.07</v>
      </c>
      <c r="G664" s="15">
        <v>0</v>
      </c>
      <c r="H664" s="13"/>
      <c r="I664" s="13"/>
    </row>
    <row r="665" spans="1:9">
      <c r="A665" s="13" t="s">
        <v>1256</v>
      </c>
      <c r="B665" s="138" t="s">
        <v>415</v>
      </c>
      <c r="C665" s="138" t="s">
        <v>419</v>
      </c>
      <c r="D665" s="15">
        <v>2000000</v>
      </c>
      <c r="E665" s="92">
        <v>0.99281907010000003</v>
      </c>
      <c r="F665" s="18">
        <v>1985638.14</v>
      </c>
      <c r="G665" s="15">
        <v>0</v>
      </c>
      <c r="H665" s="13"/>
      <c r="I665" s="13"/>
    </row>
    <row r="666" spans="1:9">
      <c r="A666" s="13" t="s">
        <v>1257</v>
      </c>
      <c r="B666" s="138" t="s">
        <v>415</v>
      </c>
      <c r="C666" s="138" t="s">
        <v>419</v>
      </c>
      <c r="D666" s="15">
        <v>2000000</v>
      </c>
      <c r="E666" s="92">
        <v>0.99281907010000003</v>
      </c>
      <c r="F666" s="18">
        <v>1985638.14</v>
      </c>
      <c r="G666" s="15">
        <v>0</v>
      </c>
      <c r="H666" s="13"/>
      <c r="I666" s="13"/>
    </row>
    <row r="667" spans="1:9">
      <c r="A667" s="13" t="s">
        <v>1240</v>
      </c>
      <c r="B667" s="138" t="s">
        <v>541</v>
      </c>
      <c r="C667" s="138" t="s">
        <v>419</v>
      </c>
      <c r="D667" s="15">
        <v>15000000</v>
      </c>
      <c r="E667" s="153">
        <v>0.96663145699999997</v>
      </c>
      <c r="F667" s="18">
        <v>14499471.859999999</v>
      </c>
      <c r="G667" s="18">
        <v>0.02</v>
      </c>
      <c r="H667" s="13"/>
      <c r="I667" s="13"/>
    </row>
    <row r="668" spans="1:9">
      <c r="A668" s="13" t="s">
        <v>1241</v>
      </c>
      <c r="B668" s="138" t="s">
        <v>527</v>
      </c>
      <c r="C668" s="138" t="s">
        <v>419</v>
      </c>
      <c r="D668" s="15">
        <v>30000000</v>
      </c>
      <c r="E668" s="92">
        <v>0.97671933070000005</v>
      </c>
      <c r="F668" s="18">
        <v>29301579.920000002</v>
      </c>
      <c r="G668" s="18">
        <v>0.05</v>
      </c>
      <c r="H668" s="13"/>
      <c r="I668" s="13"/>
    </row>
    <row r="669" spans="1:9">
      <c r="A669" s="13" t="s">
        <v>1269</v>
      </c>
      <c r="B669" s="138" t="s">
        <v>600</v>
      </c>
      <c r="C669" s="138" t="s">
        <v>420</v>
      </c>
      <c r="D669" s="15">
        <v>30000000</v>
      </c>
      <c r="E669" s="153">
        <v>0.95951636799999995</v>
      </c>
      <c r="F669" s="18">
        <v>28785491.039999999</v>
      </c>
      <c r="G669" s="18">
        <v>0.05</v>
      </c>
      <c r="H669" s="13"/>
      <c r="I669" s="13"/>
    </row>
    <row r="670" spans="1:9">
      <c r="A670" s="13" t="s">
        <v>1270</v>
      </c>
      <c r="B670" s="138" t="s">
        <v>1221</v>
      </c>
      <c r="C670" s="138" t="s">
        <v>420</v>
      </c>
      <c r="D670" s="15">
        <v>30000000</v>
      </c>
      <c r="E670" s="92">
        <v>0.9294154322</v>
      </c>
      <c r="F670" s="18">
        <v>27882462.969999999</v>
      </c>
      <c r="G670" s="18">
        <v>0.05</v>
      </c>
      <c r="H670" s="13"/>
      <c r="I670" s="13"/>
    </row>
    <row r="671" spans="1:9">
      <c r="A671" s="13" t="s">
        <v>1272</v>
      </c>
      <c r="B671" s="138" t="s">
        <v>1271</v>
      </c>
      <c r="C671" s="138" t="s">
        <v>420</v>
      </c>
      <c r="D671" s="15">
        <v>30000000</v>
      </c>
      <c r="E671" s="92">
        <v>0.91958082740000002</v>
      </c>
      <c r="F671" s="18">
        <v>27587424.82</v>
      </c>
      <c r="G671" s="18">
        <v>0.05</v>
      </c>
      <c r="H671" s="13"/>
      <c r="I671" s="13"/>
    </row>
    <row r="672" spans="1:9">
      <c r="A672" s="13" t="s">
        <v>1281</v>
      </c>
      <c r="B672" s="138" t="s">
        <v>1280</v>
      </c>
      <c r="C672" s="138" t="s">
        <v>420</v>
      </c>
      <c r="D672" s="15">
        <v>7000000</v>
      </c>
      <c r="E672" s="92">
        <v>0.90741848059999997</v>
      </c>
      <c r="F672" s="18">
        <v>6351929.3600000003</v>
      </c>
      <c r="G672" s="18">
        <v>0.01</v>
      </c>
      <c r="H672" s="13"/>
      <c r="I672" s="13"/>
    </row>
    <row r="673" spans="1:9">
      <c r="A673" s="13" t="s">
        <v>1282</v>
      </c>
      <c r="B673" s="138" t="s">
        <v>1221</v>
      </c>
      <c r="C673" s="138" t="s">
        <v>420</v>
      </c>
      <c r="D673" s="15">
        <v>7000000</v>
      </c>
      <c r="E673" s="92">
        <v>0.9294154322</v>
      </c>
      <c r="F673" s="18">
        <v>6505908.0300000003</v>
      </c>
      <c r="G673" s="18">
        <v>0.01</v>
      </c>
      <c r="H673" s="13"/>
      <c r="I673" s="13"/>
    </row>
    <row r="674" spans="1:9">
      <c r="A674" s="13" t="s">
        <v>1283</v>
      </c>
      <c r="B674" s="138" t="s">
        <v>499</v>
      </c>
      <c r="C674" s="138" t="s">
        <v>420</v>
      </c>
      <c r="D674" s="15">
        <v>24500000</v>
      </c>
      <c r="E674" s="92">
        <v>0.96295909670000002</v>
      </c>
      <c r="F674" s="18">
        <v>23592497.870000001</v>
      </c>
      <c r="G674" s="18">
        <v>0.04</v>
      </c>
      <c r="H674" s="13"/>
      <c r="I674" s="13"/>
    </row>
    <row r="675" spans="1:9">
      <c r="A675" s="13" t="s">
        <v>1284</v>
      </c>
      <c r="B675" s="138" t="s">
        <v>531</v>
      </c>
      <c r="C675" s="138" t="s">
        <v>420</v>
      </c>
      <c r="D675" s="15">
        <v>24500000</v>
      </c>
      <c r="E675" s="92">
        <v>0.9726589752</v>
      </c>
      <c r="F675" s="18">
        <v>23830144.890000001</v>
      </c>
      <c r="G675" s="18">
        <v>0.04</v>
      </c>
      <c r="H675" s="13"/>
      <c r="I675" s="13"/>
    </row>
    <row r="676" spans="1:9">
      <c r="A676" s="13" t="s">
        <v>1285</v>
      </c>
      <c r="B676" s="138" t="s">
        <v>581</v>
      </c>
      <c r="C676" s="138" t="s">
        <v>420</v>
      </c>
      <c r="D676" s="15">
        <v>24500000</v>
      </c>
      <c r="E676" s="92">
        <v>0.96778473109999996</v>
      </c>
      <c r="F676" s="18">
        <v>23710725.91</v>
      </c>
      <c r="G676" s="18">
        <v>0.04</v>
      </c>
      <c r="H676" s="13"/>
      <c r="I676" s="13"/>
    </row>
    <row r="677" spans="1:9">
      <c r="A677" s="13" t="s">
        <v>1286</v>
      </c>
      <c r="B677" s="138" t="s">
        <v>587</v>
      </c>
      <c r="C677" s="138" t="s">
        <v>420</v>
      </c>
      <c r="D677" s="15">
        <v>24500000</v>
      </c>
      <c r="E677" s="92">
        <v>0.9581813495</v>
      </c>
      <c r="F677" s="18">
        <v>23475443.059999999</v>
      </c>
      <c r="G677" s="18">
        <v>0.04</v>
      </c>
      <c r="H677" s="13"/>
      <c r="I677" s="13"/>
    </row>
    <row r="678" spans="1:9">
      <c r="A678" s="13" t="s">
        <v>1287</v>
      </c>
      <c r="B678" s="138" t="s">
        <v>172</v>
      </c>
      <c r="C678" s="138" t="s">
        <v>420</v>
      </c>
      <c r="D678" s="15">
        <v>2500000</v>
      </c>
      <c r="E678" s="92">
        <v>0.99503845589999995</v>
      </c>
      <c r="F678" s="18">
        <v>2487596.14</v>
      </c>
      <c r="G678" s="15">
        <v>0</v>
      </c>
      <c r="H678" s="13"/>
      <c r="I678" s="13"/>
    </row>
    <row r="679" spans="1:9">
      <c r="A679" s="13" t="s">
        <v>1288</v>
      </c>
      <c r="B679" s="138" t="s">
        <v>452</v>
      </c>
      <c r="C679" s="138" t="s">
        <v>420</v>
      </c>
      <c r="D679" s="15">
        <v>2500000</v>
      </c>
      <c r="E679" s="92">
        <v>0.99362988409999997</v>
      </c>
      <c r="F679" s="18">
        <v>2484074.71</v>
      </c>
      <c r="G679" s="15">
        <v>0</v>
      </c>
      <c r="H679" s="13"/>
      <c r="I679" s="13"/>
    </row>
    <row r="680" spans="1:9">
      <c r="A680" s="13" t="s">
        <v>1289</v>
      </c>
      <c r="B680" s="138" t="s">
        <v>546</v>
      </c>
      <c r="C680" s="138" t="s">
        <v>420</v>
      </c>
      <c r="D680" s="15">
        <v>10000000</v>
      </c>
      <c r="E680" s="153">
        <v>0.98595354499999999</v>
      </c>
      <c r="F680" s="18">
        <v>9859535.4499999993</v>
      </c>
      <c r="G680" s="18">
        <v>0.02</v>
      </c>
      <c r="H680" s="13"/>
      <c r="I680" s="13"/>
    </row>
    <row r="681" spans="1:9">
      <c r="A681" s="13" t="s">
        <v>1290</v>
      </c>
      <c r="B681" s="138" t="s">
        <v>533</v>
      </c>
      <c r="C681" s="138" t="s">
        <v>420</v>
      </c>
      <c r="D681" s="15">
        <v>10000000</v>
      </c>
      <c r="E681" s="153">
        <v>0.98873118500000001</v>
      </c>
      <c r="F681" s="18">
        <v>9887311.8499999996</v>
      </c>
      <c r="G681" s="18">
        <v>0.02</v>
      </c>
      <c r="H681" s="13"/>
      <c r="I681" s="13"/>
    </row>
    <row r="682" spans="1:9">
      <c r="A682" s="13" t="s">
        <v>1291</v>
      </c>
      <c r="B682" s="138" t="s">
        <v>647</v>
      </c>
      <c r="C682" s="138" t="s">
        <v>420</v>
      </c>
      <c r="D682" s="15">
        <v>10000000</v>
      </c>
      <c r="E682" s="28">
        <v>0.98803536000000003</v>
      </c>
      <c r="F682" s="150">
        <v>9880353.5999999996</v>
      </c>
      <c r="G682" s="18">
        <v>0.02</v>
      </c>
      <c r="H682" s="13"/>
      <c r="I682" s="13"/>
    </row>
    <row r="683" spans="1:9">
      <c r="A683" s="13" t="s">
        <v>1292</v>
      </c>
      <c r="B683" s="138" t="s">
        <v>415</v>
      </c>
      <c r="C683" s="138" t="s">
        <v>420</v>
      </c>
      <c r="D683" s="15">
        <v>10000000</v>
      </c>
      <c r="E683" s="92">
        <v>0.99433367409999995</v>
      </c>
      <c r="F683" s="18">
        <v>9943336.7400000002</v>
      </c>
      <c r="G683" s="18">
        <v>0.02</v>
      </c>
      <c r="H683" s="13"/>
      <c r="I683" s="13"/>
    </row>
    <row r="684" spans="1:9">
      <c r="A684" s="13" t="s">
        <v>1293</v>
      </c>
      <c r="B684" s="138" t="s">
        <v>487</v>
      </c>
      <c r="C684" s="138" t="s">
        <v>420</v>
      </c>
      <c r="D684" s="15">
        <v>10000000</v>
      </c>
      <c r="E684" s="92">
        <v>0.99574424289999997</v>
      </c>
      <c r="F684" s="18">
        <v>9957442.4299999997</v>
      </c>
      <c r="G684" s="18">
        <v>0.02</v>
      </c>
      <c r="H684" s="13"/>
      <c r="I684" s="13"/>
    </row>
    <row r="685" spans="1:9">
      <c r="A685" s="13" t="s">
        <v>1294</v>
      </c>
      <c r="B685" s="138" t="s">
        <v>610</v>
      </c>
      <c r="C685" s="138" t="s">
        <v>420</v>
      </c>
      <c r="D685" s="15">
        <v>10000000</v>
      </c>
      <c r="E685" s="153">
        <v>0.99857736900000005</v>
      </c>
      <c r="F685" s="18">
        <v>9985773.6899999995</v>
      </c>
      <c r="G685" s="18">
        <v>0.02</v>
      </c>
      <c r="H685" s="13"/>
      <c r="I685" s="13"/>
    </row>
    <row r="686" spans="1:9">
      <c r="A686" s="13" t="s">
        <v>1296</v>
      </c>
      <c r="B686" s="138" t="s">
        <v>549</v>
      </c>
      <c r="C686" s="138" t="s">
        <v>420</v>
      </c>
      <c r="D686" s="15">
        <v>20000000</v>
      </c>
      <c r="E686" s="92">
        <v>0.96364556059999995</v>
      </c>
      <c r="F686" s="18">
        <v>19272911.210000001</v>
      </c>
      <c r="G686" s="18">
        <v>0.03</v>
      </c>
      <c r="H686" s="13"/>
      <c r="I686" s="13"/>
    </row>
    <row r="687" spans="1:9">
      <c r="A687" s="13" t="s">
        <v>1297</v>
      </c>
      <c r="B687" s="138" t="s">
        <v>553</v>
      </c>
      <c r="C687" s="138" t="s">
        <v>420</v>
      </c>
      <c r="D687" s="15">
        <v>15000000</v>
      </c>
      <c r="E687" s="92">
        <v>0.96022311859999998</v>
      </c>
      <c r="F687" s="18">
        <v>14403346.779999999</v>
      </c>
      <c r="G687" s="18">
        <v>0.02</v>
      </c>
      <c r="H687" s="13"/>
      <c r="I687" s="13"/>
    </row>
    <row r="688" spans="1:9">
      <c r="A688" s="13" t="s">
        <v>1298</v>
      </c>
      <c r="B688" s="138" t="s">
        <v>600</v>
      </c>
      <c r="C688" s="138" t="s">
        <v>420</v>
      </c>
      <c r="D688" s="15">
        <v>20000000</v>
      </c>
      <c r="E688" s="92">
        <v>0.96090568740000004</v>
      </c>
      <c r="F688" s="18">
        <v>19218113.75</v>
      </c>
      <c r="G688" s="18">
        <v>0.03</v>
      </c>
      <c r="H688" s="13"/>
      <c r="I688" s="13"/>
    </row>
    <row r="689" spans="1:9">
      <c r="A689" s="13" t="s">
        <v>1299</v>
      </c>
      <c r="B689" s="138" t="s">
        <v>645</v>
      </c>
      <c r="C689" s="138" t="s">
        <v>420</v>
      </c>
      <c r="D689" s="15">
        <v>35000000</v>
      </c>
      <c r="E689" s="92">
        <v>0.99082469259999995</v>
      </c>
      <c r="F689" s="18">
        <v>34678864.240000002</v>
      </c>
      <c r="G689" s="18">
        <v>0.06</v>
      </c>
      <c r="H689" s="13"/>
      <c r="I689" s="13"/>
    </row>
    <row r="690" spans="1:9">
      <c r="A690" s="13" t="s">
        <v>1300</v>
      </c>
      <c r="B690" s="138" t="s">
        <v>494</v>
      </c>
      <c r="C690" s="138" t="s">
        <v>420</v>
      </c>
      <c r="D690" s="15">
        <v>1650000</v>
      </c>
      <c r="E690" s="92">
        <v>0.96917245409999997</v>
      </c>
      <c r="F690" s="18">
        <v>1599134.55</v>
      </c>
      <c r="G690" s="15">
        <v>0</v>
      </c>
      <c r="H690" s="13"/>
      <c r="I690" s="13"/>
    </row>
    <row r="691" spans="1:9">
      <c r="A691" s="13" t="s">
        <v>1301</v>
      </c>
      <c r="B691" s="138" t="s">
        <v>600</v>
      </c>
      <c r="C691" s="138" t="s">
        <v>420</v>
      </c>
      <c r="D691" s="15">
        <v>1650000</v>
      </c>
      <c r="E691" s="92">
        <v>0.96090569719999996</v>
      </c>
      <c r="F691" s="150">
        <v>1585494.4</v>
      </c>
      <c r="G691" s="15">
        <v>0</v>
      </c>
      <c r="H691" s="13"/>
      <c r="I691" s="13"/>
    </row>
    <row r="692" spans="1:9">
      <c r="A692" s="13" t="s">
        <v>1302</v>
      </c>
      <c r="B692" s="138" t="s">
        <v>890</v>
      </c>
      <c r="C692" s="138" t="s">
        <v>420</v>
      </c>
      <c r="D692" s="15">
        <v>10000000</v>
      </c>
      <c r="E692" s="92">
        <v>0.95076848650000001</v>
      </c>
      <c r="F692" s="18">
        <v>9507684.8699999992</v>
      </c>
      <c r="G692" s="18">
        <v>0.02</v>
      </c>
      <c r="H692" s="13"/>
      <c r="I692" s="13"/>
    </row>
    <row r="693" spans="1:9">
      <c r="A693" s="13" t="s">
        <v>1303</v>
      </c>
      <c r="B693" s="138" t="s">
        <v>553</v>
      </c>
      <c r="C693" s="138" t="s">
        <v>420</v>
      </c>
      <c r="D693" s="15">
        <v>10000000</v>
      </c>
      <c r="E693" s="92">
        <v>0.96022311859999998</v>
      </c>
      <c r="F693" s="18">
        <v>9602231.1899999995</v>
      </c>
      <c r="G693" s="18">
        <v>0.02</v>
      </c>
      <c r="H693" s="13"/>
      <c r="I693" s="13"/>
    </row>
    <row r="694" spans="1:9">
      <c r="A694" s="13" t="s">
        <v>1304</v>
      </c>
      <c r="B694" s="138" t="s">
        <v>544</v>
      </c>
      <c r="C694" s="138" t="s">
        <v>420</v>
      </c>
      <c r="D694" s="15">
        <v>10000000</v>
      </c>
      <c r="E694" s="92">
        <v>0.96433300379999998</v>
      </c>
      <c r="F694" s="18">
        <v>9643330.0399999991</v>
      </c>
      <c r="G694" s="18">
        <v>0.02</v>
      </c>
      <c r="H694" s="13"/>
      <c r="I694" s="13"/>
    </row>
    <row r="695" spans="1:9">
      <c r="A695" s="13" t="s">
        <v>1305</v>
      </c>
      <c r="B695" s="138" t="s">
        <v>575</v>
      </c>
      <c r="C695" s="138" t="s">
        <v>420</v>
      </c>
      <c r="D695" s="15">
        <v>10000000</v>
      </c>
      <c r="E695" s="92">
        <v>0.94544892449999995</v>
      </c>
      <c r="F695" s="18">
        <v>9454489.25</v>
      </c>
      <c r="G695" s="18">
        <v>0.02</v>
      </c>
      <c r="H695" s="13"/>
      <c r="I695" s="13"/>
    </row>
    <row r="696" spans="1:9">
      <c r="A696" s="13" t="s">
        <v>1306</v>
      </c>
      <c r="B696" s="138" t="s">
        <v>541</v>
      </c>
      <c r="C696" s="138" t="s">
        <v>420</v>
      </c>
      <c r="D696" s="15">
        <v>10000000</v>
      </c>
      <c r="E696" s="92">
        <v>0.96986768040000004</v>
      </c>
      <c r="F696" s="150">
        <v>9698676.8000000007</v>
      </c>
      <c r="G696" s="18">
        <v>0.02</v>
      </c>
      <c r="H696" s="13"/>
      <c r="I696" s="13"/>
    </row>
    <row r="697" spans="1:9">
      <c r="A697" s="13" t="s">
        <v>1307</v>
      </c>
      <c r="B697" s="138" t="s">
        <v>598</v>
      </c>
      <c r="C697" s="138" t="s">
        <v>420</v>
      </c>
      <c r="D697" s="15">
        <v>10000000</v>
      </c>
      <c r="E697" s="153">
        <v>0.95547241400000005</v>
      </c>
      <c r="F697" s="18">
        <v>9554724.1400000006</v>
      </c>
      <c r="G697" s="18">
        <v>0.02</v>
      </c>
      <c r="H697" s="13"/>
      <c r="I697" s="13"/>
    </row>
    <row r="698" spans="1:9">
      <c r="A698" s="13" t="s">
        <v>1308</v>
      </c>
      <c r="B698" s="138" t="s">
        <v>647</v>
      </c>
      <c r="C698" s="138" t="s">
        <v>420</v>
      </c>
      <c r="D698" s="15">
        <v>7000000</v>
      </c>
      <c r="E698" s="28">
        <v>0.98803536000000003</v>
      </c>
      <c r="F698" s="18">
        <v>6916247.5199999996</v>
      </c>
      <c r="G698" s="18">
        <v>0.01</v>
      </c>
      <c r="H698" s="13"/>
      <c r="I698" s="13"/>
    </row>
    <row r="699" spans="1:9">
      <c r="A699" s="13" t="s">
        <v>1309</v>
      </c>
      <c r="B699" s="138" t="s">
        <v>645</v>
      </c>
      <c r="C699" s="138" t="s">
        <v>420</v>
      </c>
      <c r="D699" s="15">
        <v>25000000</v>
      </c>
      <c r="E699" s="92">
        <v>0.99082469289999997</v>
      </c>
      <c r="F699" s="18">
        <v>24770617.32</v>
      </c>
      <c r="G699" s="18">
        <v>0.04</v>
      </c>
      <c r="H699" s="13"/>
      <c r="I699" s="13"/>
    </row>
    <row r="700" spans="1:9">
      <c r="A700" s="13" t="s">
        <v>1310</v>
      </c>
      <c r="B700" s="138" t="s">
        <v>415</v>
      </c>
      <c r="C700" s="138" t="s">
        <v>420</v>
      </c>
      <c r="D700" s="15">
        <v>25000000</v>
      </c>
      <c r="E700" s="92">
        <v>0.99433367409999995</v>
      </c>
      <c r="F700" s="18">
        <v>24858341.850000001</v>
      </c>
      <c r="G700" s="18">
        <v>0.04</v>
      </c>
      <c r="H700" s="13"/>
      <c r="I700" s="13"/>
    </row>
    <row r="701" spans="1:9">
      <c r="A701" s="13" t="s">
        <v>1311</v>
      </c>
      <c r="B701" s="138" t="s">
        <v>415</v>
      </c>
      <c r="C701" s="138" t="s">
        <v>420</v>
      </c>
      <c r="D701" s="15">
        <v>12500000</v>
      </c>
      <c r="E701" s="92">
        <v>0.99433367520000004</v>
      </c>
      <c r="F701" s="18">
        <v>12429170.939999999</v>
      </c>
      <c r="G701" s="18">
        <v>0.02</v>
      </c>
      <c r="H701" s="13"/>
      <c r="I701" s="13"/>
    </row>
    <row r="702" spans="1:9">
      <c r="A702" s="13" t="s">
        <v>1274</v>
      </c>
      <c r="B702" s="138" t="s">
        <v>546</v>
      </c>
      <c r="C702" s="138" t="s">
        <v>420</v>
      </c>
      <c r="D702" s="15">
        <v>3200000</v>
      </c>
      <c r="E702" s="92">
        <v>0.9796028001</v>
      </c>
      <c r="F702" s="18">
        <v>3134728.96</v>
      </c>
      <c r="G702" s="18">
        <v>0.01</v>
      </c>
      <c r="H702" s="13"/>
      <c r="I702" s="13"/>
    </row>
    <row r="703" spans="1:9">
      <c r="A703" s="13" t="s">
        <v>1275</v>
      </c>
      <c r="B703" s="138" t="s">
        <v>546</v>
      </c>
      <c r="C703" s="138" t="s">
        <v>420</v>
      </c>
      <c r="D703" s="15">
        <v>42000000</v>
      </c>
      <c r="E703" s="92">
        <v>0.97960280119999998</v>
      </c>
      <c r="F703" s="18">
        <v>41143317.649999999</v>
      </c>
      <c r="G703" s="18">
        <v>7.0000000000000007E-2</v>
      </c>
      <c r="H703" s="13"/>
      <c r="I703" s="13"/>
    </row>
    <row r="704" spans="1:9">
      <c r="A704" s="13" t="s">
        <v>1276</v>
      </c>
      <c r="B704" s="138" t="s">
        <v>456</v>
      </c>
      <c r="C704" s="138" t="s">
        <v>420</v>
      </c>
      <c r="D704" s="15">
        <v>25000000</v>
      </c>
      <c r="E704" s="92">
        <v>0.97860484069999998</v>
      </c>
      <c r="F704" s="18">
        <v>24465121.02</v>
      </c>
      <c r="G704" s="18">
        <v>0.04</v>
      </c>
      <c r="H704" s="13"/>
      <c r="I704" s="13"/>
    </row>
    <row r="705" spans="1:9">
      <c r="A705" s="13" t="s">
        <v>1277</v>
      </c>
      <c r="B705" s="138" t="s">
        <v>647</v>
      </c>
      <c r="C705" s="138" t="s">
        <v>420</v>
      </c>
      <c r="D705" s="15">
        <v>25000000</v>
      </c>
      <c r="E705" s="92">
        <v>0.98260925060000004</v>
      </c>
      <c r="F705" s="18">
        <v>24565231.27</v>
      </c>
      <c r="G705" s="18">
        <v>0.04</v>
      </c>
      <c r="H705" s="13"/>
      <c r="I705" s="13"/>
    </row>
    <row r="706" spans="1:9">
      <c r="A706" s="13" t="s">
        <v>1278</v>
      </c>
      <c r="B706" s="138" t="s">
        <v>647</v>
      </c>
      <c r="C706" s="138" t="s">
        <v>420</v>
      </c>
      <c r="D706" s="15">
        <v>25000000</v>
      </c>
      <c r="E706" s="92">
        <v>0.98260925060000004</v>
      </c>
      <c r="F706" s="18">
        <v>24565231.27</v>
      </c>
      <c r="G706" s="18">
        <v>0.04</v>
      </c>
      <c r="H706" s="13"/>
      <c r="I706" s="13"/>
    </row>
    <row r="707" spans="1:9">
      <c r="A707" s="13" t="s">
        <v>1279</v>
      </c>
      <c r="B707" s="138" t="s">
        <v>546</v>
      </c>
      <c r="C707" s="138" t="s">
        <v>420</v>
      </c>
      <c r="D707" s="15">
        <v>30000000</v>
      </c>
      <c r="E707" s="92">
        <v>0.97960280119999998</v>
      </c>
      <c r="F707" s="18">
        <v>29388084.039999999</v>
      </c>
      <c r="G707" s="18">
        <v>0.05</v>
      </c>
      <c r="H707" s="13"/>
      <c r="I707" s="13"/>
    </row>
    <row r="708" spans="1:9">
      <c r="A708" s="13" t="s">
        <v>1273</v>
      </c>
      <c r="B708" s="138" t="s">
        <v>999</v>
      </c>
      <c r="C708" s="138" t="s">
        <v>420</v>
      </c>
      <c r="D708" s="18">
        <v>20078937.030000001</v>
      </c>
      <c r="E708" s="92">
        <v>0.89416966669999998</v>
      </c>
      <c r="F708" s="18">
        <v>17953976.43</v>
      </c>
      <c r="G708" s="18">
        <v>0.03</v>
      </c>
      <c r="H708" s="13"/>
      <c r="I708" s="13"/>
    </row>
    <row r="709" spans="1:9">
      <c r="A709" s="13" t="s">
        <v>1313</v>
      </c>
      <c r="B709" s="138" t="s">
        <v>920</v>
      </c>
      <c r="C709" s="138" t="s">
        <v>425</v>
      </c>
      <c r="D709" s="15">
        <v>10000000</v>
      </c>
      <c r="E709" s="92">
        <v>0.97593589930000002</v>
      </c>
      <c r="F709" s="18">
        <v>9759358.9900000002</v>
      </c>
      <c r="G709" s="18">
        <v>0.02</v>
      </c>
      <c r="H709" s="13"/>
      <c r="I709" s="13"/>
    </row>
    <row r="710" spans="1:9">
      <c r="A710" s="13" t="s">
        <v>1314</v>
      </c>
      <c r="B710" s="138" t="s">
        <v>483</v>
      </c>
      <c r="C710" s="138" t="s">
        <v>425</v>
      </c>
      <c r="D710" s="15">
        <v>10000000</v>
      </c>
      <c r="E710" s="92">
        <v>0.97829005010000003</v>
      </c>
      <c r="F710" s="150">
        <v>9782900.5</v>
      </c>
      <c r="G710" s="18">
        <v>0.02</v>
      </c>
      <c r="H710" s="13"/>
      <c r="I710" s="13"/>
    </row>
    <row r="711" spans="1:9">
      <c r="A711" s="13" t="s">
        <v>1315</v>
      </c>
      <c r="B711" s="138" t="s">
        <v>593</v>
      </c>
      <c r="C711" s="138" t="s">
        <v>425</v>
      </c>
      <c r="D711" s="15">
        <v>6500000</v>
      </c>
      <c r="E711" s="92">
        <v>0.94928479190000004</v>
      </c>
      <c r="F711" s="18">
        <v>6170351.1500000004</v>
      </c>
      <c r="G711" s="18">
        <v>0.01</v>
      </c>
      <c r="H711" s="13"/>
      <c r="I711" s="13"/>
    </row>
    <row r="712" spans="1:9">
      <c r="A712" s="13" t="s">
        <v>1316</v>
      </c>
      <c r="B712" s="138" t="s">
        <v>600</v>
      </c>
      <c r="C712" s="138" t="s">
        <v>425</v>
      </c>
      <c r="D712" s="15">
        <v>6500000</v>
      </c>
      <c r="E712" s="92">
        <v>0.9567497868</v>
      </c>
      <c r="F712" s="18">
        <v>6218873.6100000003</v>
      </c>
      <c r="G712" s="18">
        <v>0.01</v>
      </c>
      <c r="H712" s="13"/>
      <c r="I712" s="13"/>
    </row>
    <row r="713" spans="1:9">
      <c r="A713" s="13" t="s">
        <v>1317</v>
      </c>
      <c r="B713" s="138" t="s">
        <v>589</v>
      </c>
      <c r="C713" s="138" t="s">
        <v>425</v>
      </c>
      <c r="D713" s="15">
        <v>6500000</v>
      </c>
      <c r="E713" s="92">
        <v>0.95151212389999995</v>
      </c>
      <c r="F713" s="18">
        <v>6184828.8099999996</v>
      </c>
      <c r="G713" s="18">
        <v>0.01</v>
      </c>
      <c r="H713" s="13"/>
      <c r="I713" s="13"/>
    </row>
    <row r="714" spans="1:9">
      <c r="A714" s="13" t="s">
        <v>1318</v>
      </c>
      <c r="B714" s="138" t="s">
        <v>603</v>
      </c>
      <c r="C714" s="138" t="s">
        <v>425</v>
      </c>
      <c r="D714" s="15">
        <v>6500000</v>
      </c>
      <c r="E714" s="92">
        <v>0.97515365970000001</v>
      </c>
      <c r="F714" s="18">
        <v>6338498.79</v>
      </c>
      <c r="G714" s="18">
        <v>0.01</v>
      </c>
      <c r="H714" s="13"/>
      <c r="I714" s="13"/>
    </row>
    <row r="715" spans="1:9">
      <c r="A715" s="13" t="s">
        <v>1319</v>
      </c>
      <c r="B715" s="138" t="s">
        <v>499</v>
      </c>
      <c r="C715" s="138" t="s">
        <v>425</v>
      </c>
      <c r="D715" s="15">
        <v>6500000</v>
      </c>
      <c r="E715" s="92">
        <v>0.95901217270000005</v>
      </c>
      <c r="F715" s="18">
        <v>6233579.1200000001</v>
      </c>
      <c r="G715" s="18">
        <v>0.01</v>
      </c>
      <c r="H715" s="13"/>
      <c r="I715" s="13"/>
    </row>
    <row r="716" spans="1:9">
      <c r="A716" s="13" t="s">
        <v>1320</v>
      </c>
      <c r="B716" s="138" t="s">
        <v>585</v>
      </c>
      <c r="C716" s="138" t="s">
        <v>425</v>
      </c>
      <c r="D716" s="15">
        <v>6500000</v>
      </c>
      <c r="E716" s="92">
        <v>0.95449805129999998</v>
      </c>
      <c r="F716" s="18">
        <v>6204237.3300000001</v>
      </c>
      <c r="G716" s="18">
        <v>0.01</v>
      </c>
      <c r="H716" s="13"/>
      <c r="I716" s="13"/>
    </row>
    <row r="717" spans="1:9">
      <c r="A717" s="13" t="s">
        <v>1321</v>
      </c>
      <c r="B717" s="138" t="s">
        <v>489</v>
      </c>
      <c r="C717" s="138" t="s">
        <v>425</v>
      </c>
      <c r="D717" s="15">
        <v>8000000</v>
      </c>
      <c r="E717" s="92">
        <v>0.96734876879999998</v>
      </c>
      <c r="F717" s="18">
        <v>7738790.1500000004</v>
      </c>
      <c r="G717" s="18">
        <v>0.01</v>
      </c>
      <c r="H717" s="13"/>
      <c r="I717" s="13"/>
    </row>
    <row r="718" spans="1:9">
      <c r="A718" s="13" t="s">
        <v>1322</v>
      </c>
      <c r="B718" s="138" t="s">
        <v>1081</v>
      </c>
      <c r="C718" s="138" t="s">
        <v>425</v>
      </c>
      <c r="D718" s="15">
        <v>15000000</v>
      </c>
      <c r="E718" s="92">
        <v>0.96763085859999998</v>
      </c>
      <c r="F718" s="18">
        <v>14514462.880000001</v>
      </c>
      <c r="G718" s="18">
        <v>0.02</v>
      </c>
      <c r="H718" s="13"/>
      <c r="I718" s="13"/>
    </row>
    <row r="719" spans="1:9">
      <c r="A719" s="13" t="s">
        <v>1323</v>
      </c>
      <c r="B719" s="138" t="s">
        <v>1081</v>
      </c>
      <c r="C719" s="138" t="s">
        <v>425</v>
      </c>
      <c r="D719" s="15">
        <v>15000000</v>
      </c>
      <c r="E719" s="92">
        <v>0.96763085859999998</v>
      </c>
      <c r="F719" s="18">
        <v>14514462.880000001</v>
      </c>
      <c r="G719" s="18">
        <v>0.02</v>
      </c>
      <c r="H719" s="13"/>
      <c r="I719" s="13"/>
    </row>
    <row r="720" spans="1:9">
      <c r="A720" s="13" t="s">
        <v>1324</v>
      </c>
      <c r="B720" s="138" t="s">
        <v>595</v>
      </c>
      <c r="C720" s="138" t="s">
        <v>425</v>
      </c>
      <c r="D720" s="15">
        <v>15000000</v>
      </c>
      <c r="E720" s="153">
        <v>0.95315206200000002</v>
      </c>
      <c r="F720" s="18">
        <v>14297280.93</v>
      </c>
      <c r="G720" s="18">
        <v>0.02</v>
      </c>
      <c r="H720" s="13"/>
      <c r="I720" s="13"/>
    </row>
    <row r="721" spans="1:9">
      <c r="A721" s="13" t="s">
        <v>1326</v>
      </c>
      <c r="B721" s="138" t="s">
        <v>1280</v>
      </c>
      <c r="C721" s="138" t="s">
        <v>601</v>
      </c>
      <c r="D721" s="15">
        <v>83000000</v>
      </c>
      <c r="E721" s="153">
        <v>0.90145729500000005</v>
      </c>
      <c r="F721" s="18">
        <v>74820955.489999995</v>
      </c>
      <c r="G721" s="18">
        <v>0.12</v>
      </c>
      <c r="H721" s="13"/>
      <c r="I721" s="13"/>
    </row>
    <row r="722" spans="1:9">
      <c r="A722" s="13" t="s">
        <v>1327</v>
      </c>
      <c r="B722" s="138" t="s">
        <v>999</v>
      </c>
      <c r="C722" s="138" t="s">
        <v>601</v>
      </c>
      <c r="D722" s="15">
        <v>83000000</v>
      </c>
      <c r="E722" s="92">
        <v>0.91022450160000001</v>
      </c>
      <c r="F722" s="18">
        <v>75548633.629999995</v>
      </c>
      <c r="G722" s="18">
        <v>0.12</v>
      </c>
      <c r="H722" s="13"/>
      <c r="I722" s="13"/>
    </row>
    <row r="723" spans="1:9">
      <c r="A723" s="13" t="s">
        <v>1328</v>
      </c>
      <c r="B723" s="138" t="s">
        <v>1271</v>
      </c>
      <c r="C723" s="138" t="s">
        <v>601</v>
      </c>
      <c r="D723" s="15">
        <v>25000000</v>
      </c>
      <c r="E723" s="92">
        <v>0.9222296861</v>
      </c>
      <c r="F723" s="18">
        <v>23055742.149999999</v>
      </c>
      <c r="G723" s="18">
        <v>0.04</v>
      </c>
      <c r="H723" s="13"/>
      <c r="I723" s="13"/>
    </row>
    <row r="724" spans="1:9">
      <c r="A724" s="13" t="s">
        <v>1329</v>
      </c>
      <c r="B724" s="138" t="s">
        <v>1330</v>
      </c>
      <c r="C724" s="138" t="s">
        <v>601</v>
      </c>
      <c r="D724" s="15">
        <v>25000000</v>
      </c>
      <c r="E724" s="92">
        <v>0.93112258439999995</v>
      </c>
      <c r="F724" s="18">
        <v>23278064.609999999</v>
      </c>
      <c r="G724" s="18">
        <v>0.04</v>
      </c>
      <c r="H724" s="13"/>
      <c r="I724" s="13"/>
    </row>
    <row r="725" spans="1:9">
      <c r="A725" s="13" t="s">
        <v>1331</v>
      </c>
      <c r="B725" s="138" t="s">
        <v>712</v>
      </c>
      <c r="C725" s="138" t="s">
        <v>601</v>
      </c>
      <c r="D725" s="15">
        <v>25000000</v>
      </c>
      <c r="E725" s="92">
        <v>0.94943301609999997</v>
      </c>
      <c r="F725" s="150">
        <v>23735825.399999999</v>
      </c>
      <c r="G725" s="18">
        <v>0.04</v>
      </c>
      <c r="H725" s="13"/>
      <c r="I725" s="13"/>
    </row>
    <row r="726" spans="1:9">
      <c r="A726" s="13" t="s">
        <v>1332</v>
      </c>
      <c r="B726" s="138" t="s">
        <v>489</v>
      </c>
      <c r="C726" s="138" t="s">
        <v>601</v>
      </c>
      <c r="D726" s="15">
        <v>20000000</v>
      </c>
      <c r="E726" s="92">
        <v>0.9684780516</v>
      </c>
      <c r="F726" s="18">
        <v>19369561.030000001</v>
      </c>
      <c r="G726" s="18">
        <v>0.03</v>
      </c>
      <c r="H726" s="13"/>
      <c r="I726" s="13"/>
    </row>
    <row r="727" spans="1:9">
      <c r="A727" s="13" t="s">
        <v>1333</v>
      </c>
      <c r="B727" s="138" t="s">
        <v>533</v>
      </c>
      <c r="C727" s="138" t="s">
        <v>601</v>
      </c>
      <c r="D727" s="15">
        <v>20000000</v>
      </c>
      <c r="E727" s="92">
        <v>0.98830288720000004</v>
      </c>
      <c r="F727" s="18">
        <v>19766057.739999998</v>
      </c>
      <c r="G727" s="18">
        <v>0.03</v>
      </c>
      <c r="H727" s="13"/>
      <c r="I727" s="13"/>
    </row>
    <row r="728" spans="1:9">
      <c r="A728" s="13" t="s">
        <v>1334</v>
      </c>
      <c r="B728" s="138" t="s">
        <v>884</v>
      </c>
      <c r="C728" s="138" t="s">
        <v>601</v>
      </c>
      <c r="D728" s="15">
        <v>25000000</v>
      </c>
      <c r="E728" s="92">
        <v>0.93563365970000001</v>
      </c>
      <c r="F728" s="18">
        <v>23390841.489999998</v>
      </c>
      <c r="G728" s="18">
        <v>0.04</v>
      </c>
      <c r="H728" s="13"/>
      <c r="I728" s="13"/>
    </row>
    <row r="729" spans="1:9">
      <c r="A729" s="13" t="s">
        <v>1335</v>
      </c>
      <c r="B729" s="138" t="s">
        <v>622</v>
      </c>
      <c r="C729" s="138" t="s">
        <v>601</v>
      </c>
      <c r="D729" s="15">
        <v>3000000</v>
      </c>
      <c r="E729" s="92">
        <v>0.99023332009999998</v>
      </c>
      <c r="F729" s="18">
        <v>2970699.96</v>
      </c>
      <c r="G729" s="15">
        <v>0</v>
      </c>
      <c r="H729" s="13"/>
      <c r="I729" s="13"/>
    </row>
    <row r="730" spans="1:9">
      <c r="A730" s="13" t="s">
        <v>1337</v>
      </c>
      <c r="B730" s="138" t="s">
        <v>622</v>
      </c>
      <c r="C730" s="138" t="s">
        <v>601</v>
      </c>
      <c r="D730" s="15">
        <v>2200000</v>
      </c>
      <c r="E730" s="92">
        <v>0.98782138630000005</v>
      </c>
      <c r="F730" s="18">
        <v>2173207.0499999998</v>
      </c>
      <c r="G730" s="15">
        <v>0</v>
      </c>
      <c r="H730" s="13"/>
      <c r="I730" s="13"/>
    </row>
    <row r="731" spans="1:9">
      <c r="A731" s="13" t="s">
        <v>1338</v>
      </c>
      <c r="B731" s="138" t="s">
        <v>450</v>
      </c>
      <c r="C731" s="138" t="s">
        <v>601</v>
      </c>
      <c r="D731" s="15">
        <v>2200000</v>
      </c>
      <c r="E731" s="92">
        <v>0.98223898180000002</v>
      </c>
      <c r="F731" s="18">
        <v>2160925.7599999998</v>
      </c>
      <c r="G731" s="15">
        <v>0</v>
      </c>
      <c r="H731" s="13"/>
      <c r="I731" s="13"/>
    </row>
    <row r="732" spans="1:9">
      <c r="A732" s="13" t="s">
        <v>1339</v>
      </c>
      <c r="B732" s="138" t="s">
        <v>527</v>
      </c>
      <c r="C732" s="138" t="s">
        <v>601</v>
      </c>
      <c r="D732" s="18">
        <v>1961936.49</v>
      </c>
      <c r="E732" s="92">
        <v>0.97671932309999998</v>
      </c>
      <c r="F732" s="18">
        <v>1916261.28</v>
      </c>
      <c r="G732" s="15">
        <v>0</v>
      </c>
      <c r="H732" s="13"/>
      <c r="I732" s="13"/>
    </row>
    <row r="733" spans="1:9">
      <c r="A733" s="13" t="s">
        <v>1341</v>
      </c>
      <c r="B733" s="138" t="s">
        <v>415</v>
      </c>
      <c r="C733" s="138" t="s">
        <v>601</v>
      </c>
      <c r="D733" s="15">
        <v>2200000</v>
      </c>
      <c r="E733" s="92">
        <v>0.99346760919999999</v>
      </c>
      <c r="F733" s="18">
        <v>2185628.7400000002</v>
      </c>
      <c r="G733" s="15">
        <v>0</v>
      </c>
      <c r="H733" s="13"/>
      <c r="I733" s="13"/>
    </row>
    <row r="734" spans="1:9">
      <c r="A734" s="13" t="s">
        <v>1342</v>
      </c>
      <c r="B734" s="138" t="s">
        <v>172</v>
      </c>
      <c r="C734" s="138" t="s">
        <v>601</v>
      </c>
      <c r="D734" s="18">
        <v>1064203.17</v>
      </c>
      <c r="E734" s="92">
        <v>0.99427949449999997</v>
      </c>
      <c r="F734" s="18">
        <v>1058115.3899999999</v>
      </c>
      <c r="G734" s="15">
        <v>0</v>
      </c>
      <c r="H734" s="13"/>
      <c r="I734" s="13"/>
    </row>
    <row r="735" spans="1:9">
      <c r="A735" s="13" t="s">
        <v>1343</v>
      </c>
      <c r="B735" s="138" t="s">
        <v>607</v>
      </c>
      <c r="C735" s="138" t="s">
        <v>601</v>
      </c>
      <c r="D735" s="18">
        <v>5628480.1799999997</v>
      </c>
      <c r="E735" s="92">
        <v>0.97750408160000002</v>
      </c>
      <c r="F735" s="18">
        <v>5501862.3499999996</v>
      </c>
      <c r="G735" s="18">
        <v>0.01</v>
      </c>
      <c r="H735" s="13"/>
      <c r="I735" s="13"/>
    </row>
    <row r="736" spans="1:9">
      <c r="A736" s="13" t="s">
        <v>1344</v>
      </c>
      <c r="B736" s="138" t="s">
        <v>370</v>
      </c>
      <c r="C736" s="138" t="s">
        <v>601</v>
      </c>
      <c r="D736" s="15">
        <v>5628483</v>
      </c>
      <c r="E736" s="92">
        <v>0.99754031939999999</v>
      </c>
      <c r="F736" s="18">
        <v>5614638.7300000004</v>
      </c>
      <c r="G736" s="18">
        <v>0.01</v>
      </c>
      <c r="H736" s="13"/>
      <c r="I736" s="13"/>
    </row>
    <row r="737" spans="1:9">
      <c r="A737" s="13" t="s">
        <v>1345</v>
      </c>
      <c r="B737" s="138" t="s">
        <v>480</v>
      </c>
      <c r="C737" s="138" t="s">
        <v>601</v>
      </c>
      <c r="D737" s="18">
        <v>2219157.79</v>
      </c>
      <c r="E737" s="92">
        <v>0.99917876049999999</v>
      </c>
      <c r="F737" s="18">
        <v>2217335.33</v>
      </c>
      <c r="G737" s="15">
        <v>0</v>
      </c>
      <c r="H737" s="13"/>
      <c r="I737" s="13"/>
    </row>
    <row r="738" spans="1:9">
      <c r="A738" s="13" t="s">
        <v>1346</v>
      </c>
      <c r="B738" s="138" t="s">
        <v>480</v>
      </c>
      <c r="C738" s="138" t="s">
        <v>601</v>
      </c>
      <c r="D738" s="18">
        <v>2219157.79</v>
      </c>
      <c r="E738" s="92">
        <v>0.99917876049999999</v>
      </c>
      <c r="F738" s="18">
        <v>2217335.33</v>
      </c>
      <c r="G738" s="15">
        <v>0</v>
      </c>
      <c r="H738" s="13"/>
      <c r="I738" s="13"/>
    </row>
    <row r="739" spans="1:9">
      <c r="A739" s="13" t="s">
        <v>1347</v>
      </c>
      <c r="B739" s="138" t="s">
        <v>444</v>
      </c>
      <c r="C739" s="138" t="s">
        <v>601</v>
      </c>
      <c r="D739" s="15">
        <v>5578790</v>
      </c>
      <c r="E739" s="92">
        <v>0.99184785060000002</v>
      </c>
      <c r="F739" s="18">
        <v>5533310.8700000001</v>
      </c>
      <c r="G739" s="18">
        <v>0.01</v>
      </c>
      <c r="H739" s="13"/>
      <c r="I739" s="13"/>
    </row>
    <row r="740" spans="1:9">
      <c r="A740" s="13" t="s">
        <v>1348</v>
      </c>
      <c r="B740" s="138" t="s">
        <v>480</v>
      </c>
      <c r="C740" s="138" t="s">
        <v>601</v>
      </c>
      <c r="D740" s="15">
        <v>5300000</v>
      </c>
      <c r="E740" s="92">
        <v>0.99917876419999996</v>
      </c>
      <c r="F740" s="18">
        <v>5295647.45</v>
      </c>
      <c r="G740" s="18">
        <v>0.01</v>
      </c>
      <c r="H740" s="13"/>
      <c r="I740" s="13"/>
    </row>
    <row r="741" spans="1:9">
      <c r="A741" s="13" t="s">
        <v>1354</v>
      </c>
      <c r="B741" s="138" t="s">
        <v>172</v>
      </c>
      <c r="C741" s="138" t="s">
        <v>421</v>
      </c>
      <c r="D741" s="15">
        <v>20000000</v>
      </c>
      <c r="E741" s="92">
        <v>0.99371106139999998</v>
      </c>
      <c r="F741" s="18">
        <v>19874221.23</v>
      </c>
      <c r="G741" s="18">
        <v>0.03</v>
      </c>
      <c r="H741" s="13"/>
      <c r="I741" s="13"/>
    </row>
    <row r="742" spans="1:9">
      <c r="A742" s="13" t="s">
        <v>1355</v>
      </c>
      <c r="B742" s="138" t="s">
        <v>950</v>
      </c>
      <c r="C742" s="138" t="s">
        <v>421</v>
      </c>
      <c r="D742" s="15">
        <v>40000000</v>
      </c>
      <c r="E742" s="92">
        <v>0.94140101789999997</v>
      </c>
      <c r="F742" s="18">
        <v>37656040.719999999</v>
      </c>
      <c r="G742" s="18">
        <v>0.06</v>
      </c>
      <c r="H742" s="13"/>
      <c r="I742" s="13"/>
    </row>
    <row r="743" spans="1:9">
      <c r="A743" s="13" t="s">
        <v>1356</v>
      </c>
      <c r="B743" s="138" t="s">
        <v>544</v>
      </c>
      <c r="C743" s="138" t="s">
        <v>421</v>
      </c>
      <c r="D743" s="15">
        <v>15000000</v>
      </c>
      <c r="E743" s="92">
        <v>0.95800537630000004</v>
      </c>
      <c r="F743" s="18">
        <v>14370080.640000001</v>
      </c>
      <c r="G743" s="18">
        <v>0.02</v>
      </c>
      <c r="H743" s="13"/>
      <c r="I743" s="13"/>
    </row>
    <row r="744" spans="1:9">
      <c r="A744" s="13" t="s">
        <v>1357</v>
      </c>
      <c r="B744" s="138" t="s">
        <v>727</v>
      </c>
      <c r="C744" s="138" t="s">
        <v>421</v>
      </c>
      <c r="D744" s="15">
        <v>15000000</v>
      </c>
      <c r="E744" s="92">
        <v>0.95881056070000004</v>
      </c>
      <c r="F744" s="18">
        <v>14382158.41</v>
      </c>
      <c r="G744" s="18">
        <v>0.02</v>
      </c>
      <c r="H744" s="13"/>
      <c r="I744" s="13"/>
    </row>
    <row r="745" spans="1:9">
      <c r="A745" s="13" t="s">
        <v>1358</v>
      </c>
      <c r="B745" s="138" t="s">
        <v>890</v>
      </c>
      <c r="C745" s="138" t="s">
        <v>421</v>
      </c>
      <c r="D745" s="18">
        <v>10655603.279999999</v>
      </c>
      <c r="E745" s="92">
        <v>0.94217868289999995</v>
      </c>
      <c r="F745" s="18">
        <v>10039482.26</v>
      </c>
      <c r="G745" s="18">
        <v>0.02</v>
      </c>
      <c r="H745" s="13"/>
      <c r="I745" s="13"/>
    </row>
    <row r="746" spans="1:9">
      <c r="A746" s="13" t="s">
        <v>1359</v>
      </c>
      <c r="B746" s="138" t="s">
        <v>593</v>
      </c>
      <c r="C746" s="138" t="s">
        <v>421</v>
      </c>
      <c r="D746" s="18">
        <v>10655603.279999999</v>
      </c>
      <c r="E746" s="92">
        <v>0.94608617449999999</v>
      </c>
      <c r="F746" s="18">
        <v>10081118.939999999</v>
      </c>
      <c r="G746" s="18">
        <v>0.02</v>
      </c>
      <c r="H746" s="13"/>
      <c r="I746" s="13"/>
    </row>
    <row r="747" spans="1:9">
      <c r="A747" s="13" t="s">
        <v>1360</v>
      </c>
      <c r="B747" s="138" t="s">
        <v>1171</v>
      </c>
      <c r="C747" s="138" t="s">
        <v>421</v>
      </c>
      <c r="D747" s="18">
        <v>10655603.279999999</v>
      </c>
      <c r="E747" s="92">
        <v>0.94530204979999999</v>
      </c>
      <c r="F747" s="18">
        <v>10072763.619999999</v>
      </c>
      <c r="G747" s="18">
        <v>0.02</v>
      </c>
      <c r="H747" s="13"/>
      <c r="I747" s="13"/>
    </row>
    <row r="748" spans="1:9">
      <c r="A748" s="13" t="s">
        <v>1361</v>
      </c>
      <c r="B748" s="138" t="s">
        <v>595</v>
      </c>
      <c r="C748" s="138" t="s">
        <v>421</v>
      </c>
      <c r="D748" s="18">
        <v>10655603.279999999</v>
      </c>
      <c r="E748" s="92">
        <v>0.94295763239999997</v>
      </c>
      <c r="F748" s="18">
        <v>10047782.439999999</v>
      </c>
      <c r="G748" s="18">
        <v>0.02</v>
      </c>
      <c r="H748" s="13"/>
      <c r="I748" s="13"/>
    </row>
    <row r="749" spans="1:9">
      <c r="A749" s="13" t="s">
        <v>1362</v>
      </c>
      <c r="B749" s="138" t="s">
        <v>555</v>
      </c>
      <c r="C749" s="138" t="s">
        <v>421</v>
      </c>
      <c r="D749" s="18">
        <v>10655603.25</v>
      </c>
      <c r="E749" s="92">
        <v>0.95240594909999998</v>
      </c>
      <c r="F749" s="18">
        <v>10148459.93</v>
      </c>
      <c r="G749" s="18">
        <v>0.02</v>
      </c>
      <c r="H749" s="13"/>
      <c r="I749" s="13"/>
    </row>
    <row r="750" spans="1:9">
      <c r="A750" s="13" t="s">
        <v>1363</v>
      </c>
      <c r="B750" s="138" t="s">
        <v>585</v>
      </c>
      <c r="C750" s="138" t="s">
        <v>421</v>
      </c>
      <c r="D750" s="18">
        <v>10655603.279999999</v>
      </c>
      <c r="E750" s="92">
        <v>0.95161132189999997</v>
      </c>
      <c r="F750" s="18">
        <v>10139992.720000001</v>
      </c>
      <c r="G750" s="18">
        <v>0.02</v>
      </c>
      <c r="H750" s="13"/>
      <c r="I750" s="13"/>
    </row>
    <row r="751" spans="1:9">
      <c r="A751" s="13" t="s">
        <v>1364</v>
      </c>
      <c r="B751" s="138" t="s">
        <v>587</v>
      </c>
      <c r="C751" s="138" t="s">
        <v>421</v>
      </c>
      <c r="D751" s="18">
        <v>10655603.279999999</v>
      </c>
      <c r="E751" s="92">
        <v>0.9508180195</v>
      </c>
      <c r="F751" s="18">
        <v>10131539.609999999</v>
      </c>
      <c r="G751" s="18">
        <v>0.02</v>
      </c>
      <c r="H751" s="13"/>
      <c r="I751" s="13"/>
    </row>
    <row r="752" spans="1:9">
      <c r="A752" s="13" t="s">
        <v>1365</v>
      </c>
      <c r="B752" s="138" t="s">
        <v>589</v>
      </c>
      <c r="C752" s="138" t="s">
        <v>421</v>
      </c>
      <c r="D752" s="18">
        <v>10655603.279999999</v>
      </c>
      <c r="E752" s="92">
        <v>0.94844619460000001</v>
      </c>
      <c r="F752" s="18">
        <v>10106266.380000001</v>
      </c>
      <c r="G752" s="18">
        <v>0.02</v>
      </c>
      <c r="H752" s="13"/>
      <c r="I752" s="13"/>
    </row>
    <row r="753" spans="1:9">
      <c r="A753" s="13" t="s">
        <v>1366</v>
      </c>
      <c r="B753" s="138" t="s">
        <v>598</v>
      </c>
      <c r="C753" s="138" t="s">
        <v>421</v>
      </c>
      <c r="D753" s="18">
        <v>10655603.279999999</v>
      </c>
      <c r="E753" s="92">
        <v>0.94765815639999995</v>
      </c>
      <c r="F753" s="18">
        <v>10097869.359999999</v>
      </c>
      <c r="G753" s="18">
        <v>0.02</v>
      </c>
      <c r="H753" s="13"/>
      <c r="I753" s="13"/>
    </row>
    <row r="754" spans="1:9">
      <c r="A754" s="13" t="s">
        <v>1367</v>
      </c>
      <c r="B754" s="138" t="s">
        <v>591</v>
      </c>
      <c r="C754" s="138" t="s">
        <v>421</v>
      </c>
      <c r="D754" s="18">
        <v>10655603.279999999</v>
      </c>
      <c r="E754" s="92">
        <v>0.94687159970000001</v>
      </c>
      <c r="F754" s="18">
        <v>10089488.119999999</v>
      </c>
      <c r="G754" s="18">
        <v>0.02</v>
      </c>
      <c r="H754" s="13"/>
      <c r="I754" s="13"/>
    </row>
    <row r="755" spans="1:9">
      <c r="A755" s="13" t="s">
        <v>1368</v>
      </c>
      <c r="B755" s="138" t="s">
        <v>622</v>
      </c>
      <c r="C755" s="138" t="s">
        <v>421</v>
      </c>
      <c r="D755" s="15">
        <v>1006039</v>
      </c>
      <c r="E755" s="153">
        <v>0.98702003599999999</v>
      </c>
      <c r="F755" s="18">
        <v>992980.65</v>
      </c>
      <c r="G755" s="15">
        <v>0</v>
      </c>
      <c r="H755" s="13"/>
      <c r="I755" s="13"/>
    </row>
    <row r="756" spans="1:9">
      <c r="A756" s="13" t="s">
        <v>1369</v>
      </c>
      <c r="B756" s="138" t="s">
        <v>551</v>
      </c>
      <c r="C756" s="138" t="s">
        <v>421</v>
      </c>
      <c r="D756" s="18">
        <v>6428571.6799999997</v>
      </c>
      <c r="E756" s="92">
        <v>0.97939261050000004</v>
      </c>
      <c r="F756" s="150">
        <v>6296095.5999999996</v>
      </c>
      <c r="G756" s="18">
        <v>0.01</v>
      </c>
      <c r="H756" s="13"/>
      <c r="I756" s="13"/>
    </row>
    <row r="757" spans="1:9">
      <c r="A757" s="13" t="s">
        <v>1370</v>
      </c>
      <c r="B757" s="138" t="s">
        <v>454</v>
      </c>
      <c r="C757" s="138" t="s">
        <v>421</v>
      </c>
      <c r="D757" s="18">
        <v>6428571.6600000001</v>
      </c>
      <c r="E757" s="92">
        <v>0.98023420009999995</v>
      </c>
      <c r="F757" s="150">
        <v>6301505.7999999998</v>
      </c>
      <c r="G757" s="18">
        <v>0.01</v>
      </c>
      <c r="H757" s="13"/>
      <c r="I757" s="13"/>
    </row>
    <row r="758" spans="1:9">
      <c r="A758" s="13" t="s">
        <v>1371</v>
      </c>
      <c r="B758" s="138" t="s">
        <v>450</v>
      </c>
      <c r="C758" s="138" t="s">
        <v>421</v>
      </c>
      <c r="D758" s="18">
        <v>6428571.6600000001</v>
      </c>
      <c r="E758" s="92">
        <v>0.98107735169999999</v>
      </c>
      <c r="F758" s="18">
        <v>6306926.0599999996</v>
      </c>
      <c r="G758" s="18">
        <v>0.01</v>
      </c>
      <c r="H758" s="13"/>
      <c r="I758" s="13"/>
    </row>
    <row r="759" spans="1:9">
      <c r="A759" s="13" t="s">
        <v>1372</v>
      </c>
      <c r="B759" s="138" t="s">
        <v>489</v>
      </c>
      <c r="C759" s="138" t="s">
        <v>421</v>
      </c>
      <c r="D759" s="15">
        <v>7500000</v>
      </c>
      <c r="E759" s="92">
        <v>0.96285751249999996</v>
      </c>
      <c r="F759" s="18">
        <v>7221431.3399999999</v>
      </c>
      <c r="G759" s="18">
        <v>0.01</v>
      </c>
      <c r="H759" s="13"/>
      <c r="I759" s="13"/>
    </row>
    <row r="760" spans="1:9">
      <c r="A760" s="13" t="s">
        <v>1373</v>
      </c>
      <c r="B760" s="138" t="s">
        <v>727</v>
      </c>
      <c r="C760" s="138" t="s">
        <v>421</v>
      </c>
      <c r="D760" s="15">
        <v>7500000</v>
      </c>
      <c r="E760" s="92">
        <v>0.95881056190000002</v>
      </c>
      <c r="F760" s="18">
        <v>7191079.21</v>
      </c>
      <c r="G760" s="18">
        <v>0.01</v>
      </c>
      <c r="H760" s="13"/>
      <c r="I760" s="13"/>
    </row>
    <row r="761" spans="1:9">
      <c r="A761" s="13" t="s">
        <v>1374</v>
      </c>
      <c r="B761" s="138" t="s">
        <v>499</v>
      </c>
      <c r="C761" s="138" t="s">
        <v>421</v>
      </c>
      <c r="D761" s="150">
        <v>9936187.5</v>
      </c>
      <c r="E761" s="92">
        <v>0.95639874069999997</v>
      </c>
      <c r="F761" s="18">
        <v>9502957.2100000009</v>
      </c>
      <c r="G761" s="18">
        <v>0.02</v>
      </c>
      <c r="H761" s="13"/>
      <c r="I761" s="13"/>
    </row>
    <row r="762" spans="1:9">
      <c r="A762" s="13" t="s">
        <v>1375</v>
      </c>
      <c r="B762" s="138" t="s">
        <v>541</v>
      </c>
      <c r="C762" s="138" t="s">
        <v>421</v>
      </c>
      <c r="D762" s="18">
        <v>1588021.51</v>
      </c>
      <c r="E762" s="92">
        <v>0.96448592820000001</v>
      </c>
      <c r="F762" s="150">
        <v>1531624.4</v>
      </c>
      <c r="G762" s="15">
        <v>0</v>
      </c>
      <c r="H762" s="13"/>
      <c r="I762" s="13"/>
    </row>
    <row r="763" spans="1:9">
      <c r="A763" s="13" t="s">
        <v>1376</v>
      </c>
      <c r="B763" s="138" t="s">
        <v>544</v>
      </c>
      <c r="C763" s="138" t="s">
        <v>421</v>
      </c>
      <c r="D763" s="18">
        <v>3023662.75</v>
      </c>
      <c r="E763" s="92">
        <v>0.95800537880000003</v>
      </c>
      <c r="F763" s="18">
        <v>2896685.18</v>
      </c>
      <c r="G763" s="15">
        <v>0</v>
      </c>
      <c r="H763" s="13"/>
      <c r="I763" s="13"/>
    </row>
    <row r="764" spans="1:9">
      <c r="A764" s="13" t="s">
        <v>1377</v>
      </c>
      <c r="B764" s="138" t="s">
        <v>551</v>
      </c>
      <c r="C764" s="138" t="s">
        <v>421</v>
      </c>
      <c r="D764" s="18">
        <v>1444027.42</v>
      </c>
      <c r="E764" s="92">
        <v>0.9793926073</v>
      </c>
      <c r="F764" s="18">
        <v>1414269.78</v>
      </c>
      <c r="G764" s="15">
        <v>0</v>
      </c>
      <c r="H764" s="13"/>
      <c r="I764" s="13"/>
    </row>
    <row r="765" spans="1:9">
      <c r="A765" s="13" t="s">
        <v>1378</v>
      </c>
      <c r="B765" s="138" t="s">
        <v>444</v>
      </c>
      <c r="C765" s="138" t="s">
        <v>421</v>
      </c>
      <c r="D765" s="15">
        <v>1200000</v>
      </c>
      <c r="E765" s="92">
        <v>0.99130911669999999</v>
      </c>
      <c r="F765" s="18">
        <v>1189570.94</v>
      </c>
      <c r="G765" s="15">
        <v>0</v>
      </c>
      <c r="H765" s="13"/>
      <c r="I765" s="13"/>
    </row>
    <row r="766" spans="1:9">
      <c r="A766" s="13" t="s">
        <v>1379</v>
      </c>
      <c r="B766" s="138" t="s">
        <v>647</v>
      </c>
      <c r="C766" s="138" t="s">
        <v>421</v>
      </c>
      <c r="D766" s="15">
        <v>1274298</v>
      </c>
      <c r="E766" s="92">
        <v>0.98531483230000005</v>
      </c>
      <c r="F766" s="18">
        <v>1255584.72</v>
      </c>
      <c r="G766" s="15">
        <v>0</v>
      </c>
      <c r="H766" s="13"/>
      <c r="I766" s="13"/>
    </row>
    <row r="767" spans="1:9">
      <c r="A767" s="13" t="s">
        <v>1380</v>
      </c>
      <c r="B767" s="138" t="s">
        <v>622</v>
      </c>
      <c r="C767" s="138" t="s">
        <v>421</v>
      </c>
      <c r="D767" s="18">
        <v>3214858.48</v>
      </c>
      <c r="E767" s="92">
        <v>0.98702004440000002</v>
      </c>
      <c r="F767" s="18">
        <v>3173129.76</v>
      </c>
      <c r="G767" s="18">
        <v>0.01</v>
      </c>
      <c r="H767" s="13"/>
      <c r="I767" s="13"/>
    </row>
    <row r="768" spans="1:9">
      <c r="A768" s="13" t="s">
        <v>1381</v>
      </c>
      <c r="B768" s="138" t="s">
        <v>456</v>
      </c>
      <c r="C768" s="138" t="s">
        <v>421</v>
      </c>
      <c r="D768" s="18">
        <v>3580581.29</v>
      </c>
      <c r="E768" s="92">
        <v>0.9819219521</v>
      </c>
      <c r="F768" s="18">
        <v>3515851.37</v>
      </c>
      <c r="G768" s="18">
        <v>0.01</v>
      </c>
      <c r="H768" s="13"/>
      <c r="I768" s="13"/>
    </row>
    <row r="769" spans="1:9">
      <c r="A769" s="13" t="s">
        <v>1382</v>
      </c>
      <c r="B769" s="138" t="s">
        <v>450</v>
      </c>
      <c r="C769" s="138" t="s">
        <v>421</v>
      </c>
      <c r="D769" s="18">
        <v>2994166.19</v>
      </c>
      <c r="E769" s="92">
        <v>0.98107735279999997</v>
      </c>
      <c r="F769" s="18">
        <v>2937508.64</v>
      </c>
      <c r="G769" s="15">
        <v>0</v>
      </c>
      <c r="H769" s="13"/>
      <c r="I769" s="13"/>
    </row>
    <row r="770" spans="1:9">
      <c r="A770" s="13" t="s">
        <v>1383</v>
      </c>
      <c r="B770" s="138" t="s">
        <v>647</v>
      </c>
      <c r="C770" s="138" t="s">
        <v>421</v>
      </c>
      <c r="D770" s="18">
        <v>1099546.98</v>
      </c>
      <c r="E770" s="92">
        <v>0.98531485220000004</v>
      </c>
      <c r="F770" s="18">
        <v>1083399.97</v>
      </c>
      <c r="G770" s="15">
        <v>0</v>
      </c>
      <c r="H770" s="13"/>
      <c r="I770" s="13"/>
    </row>
    <row r="771" spans="1:9">
      <c r="A771" s="13" t="s">
        <v>1384</v>
      </c>
      <c r="B771" s="138" t="s">
        <v>450</v>
      </c>
      <c r="C771" s="138" t="s">
        <v>421</v>
      </c>
      <c r="D771" s="18">
        <v>1099546.98</v>
      </c>
      <c r="E771" s="92">
        <v>0.98107735220000003</v>
      </c>
      <c r="F771" s="18">
        <v>1078740.6399999999</v>
      </c>
      <c r="G771" s="15">
        <v>0</v>
      </c>
      <c r="H771" s="13"/>
      <c r="I771" s="13"/>
    </row>
    <row r="772" spans="1:9">
      <c r="A772" s="13" t="s">
        <v>1385</v>
      </c>
      <c r="B772" s="138" t="s">
        <v>494</v>
      </c>
      <c r="C772" s="138" t="s">
        <v>421</v>
      </c>
      <c r="D772" s="18">
        <v>3216984.09</v>
      </c>
      <c r="E772" s="92">
        <v>0.9636710356</v>
      </c>
      <c r="F772" s="18">
        <v>3100114.39</v>
      </c>
      <c r="G772" s="18">
        <v>0.01</v>
      </c>
      <c r="H772" s="13"/>
      <c r="I772" s="13"/>
    </row>
    <row r="773" spans="1:9">
      <c r="A773" s="13" t="s">
        <v>1386</v>
      </c>
      <c r="B773" s="138" t="s">
        <v>577</v>
      </c>
      <c r="C773" s="138" t="s">
        <v>421</v>
      </c>
      <c r="D773" s="15">
        <v>30000000</v>
      </c>
      <c r="E773" s="92">
        <v>0.9694041028</v>
      </c>
      <c r="F773" s="18">
        <v>29082123.079999998</v>
      </c>
      <c r="G773" s="18">
        <v>0.05</v>
      </c>
      <c r="H773" s="13"/>
      <c r="I773" s="13"/>
    </row>
    <row r="774" spans="1:9">
      <c r="A774" s="13" t="s">
        <v>1387</v>
      </c>
      <c r="B774" s="138" t="s">
        <v>1081</v>
      </c>
      <c r="C774" s="138" t="s">
        <v>421</v>
      </c>
      <c r="D774" s="15">
        <v>30000000</v>
      </c>
      <c r="E774" s="92">
        <v>0.96858088050000002</v>
      </c>
      <c r="F774" s="18">
        <v>29057426.420000002</v>
      </c>
      <c r="G774" s="18">
        <v>0.05</v>
      </c>
      <c r="H774" s="13"/>
      <c r="I774" s="13"/>
    </row>
    <row r="775" spans="1:9">
      <c r="A775" s="13" t="s">
        <v>1388</v>
      </c>
      <c r="B775" s="138" t="s">
        <v>531</v>
      </c>
      <c r="C775" s="138" t="s">
        <v>421</v>
      </c>
      <c r="D775" s="18">
        <v>33683512.119999997</v>
      </c>
      <c r="E775" s="153">
        <v>0.96775905299999998</v>
      </c>
      <c r="F775" s="18">
        <v>32597523.789999999</v>
      </c>
      <c r="G775" s="18">
        <v>0.05</v>
      </c>
      <c r="H775" s="13"/>
      <c r="I775" s="13"/>
    </row>
    <row r="776" spans="1:9">
      <c r="A776" s="13" t="s">
        <v>1389</v>
      </c>
      <c r="B776" s="138" t="s">
        <v>544</v>
      </c>
      <c r="C776" s="138" t="s">
        <v>421</v>
      </c>
      <c r="D776" s="15">
        <v>85000000</v>
      </c>
      <c r="E776" s="92">
        <v>0.95674980279999999</v>
      </c>
      <c r="F776" s="18">
        <v>81323733.239999995</v>
      </c>
      <c r="G776" s="18">
        <v>0.13</v>
      </c>
      <c r="H776" s="13"/>
      <c r="I776" s="13"/>
    </row>
    <row r="777" spans="1:9">
      <c r="A777" s="13" t="s">
        <v>1390</v>
      </c>
      <c r="B777" s="138" t="s">
        <v>1391</v>
      </c>
      <c r="C777" s="138" t="s">
        <v>421</v>
      </c>
      <c r="D777" s="15">
        <v>475000000</v>
      </c>
      <c r="E777" s="92">
        <v>0.93753222810000003</v>
      </c>
      <c r="F777" s="18">
        <v>445327808.35000002</v>
      </c>
      <c r="G777" s="18">
        <v>0.73</v>
      </c>
      <c r="H777" s="13"/>
      <c r="I777" s="13"/>
    </row>
    <row r="778" spans="1:9">
      <c r="A778" s="13" t="s">
        <v>1392</v>
      </c>
      <c r="B778" s="138" t="s">
        <v>647</v>
      </c>
      <c r="C778" s="138" t="s">
        <v>421</v>
      </c>
      <c r="D778" s="15">
        <v>475000000</v>
      </c>
      <c r="E778" s="92">
        <v>0.98531483539999998</v>
      </c>
      <c r="F778" s="18">
        <v>468024546.81999999</v>
      </c>
      <c r="G778" s="18">
        <v>0.77</v>
      </c>
      <c r="H778" s="13"/>
      <c r="I778" s="13"/>
    </row>
    <row r="779" spans="1:9">
      <c r="A779" s="13" t="s">
        <v>1393</v>
      </c>
      <c r="B779" s="138" t="s">
        <v>499</v>
      </c>
      <c r="C779" s="138" t="s">
        <v>421</v>
      </c>
      <c r="D779" s="15">
        <v>475000000</v>
      </c>
      <c r="E779" s="92">
        <v>0.95639874069999997</v>
      </c>
      <c r="F779" s="18">
        <v>454289401.82999998</v>
      </c>
      <c r="G779" s="18">
        <v>0.74</v>
      </c>
      <c r="H779" s="13"/>
      <c r="I779" s="13"/>
    </row>
    <row r="780" spans="1:9">
      <c r="A780" s="13" t="s">
        <v>1394</v>
      </c>
      <c r="B780" s="138" t="s">
        <v>603</v>
      </c>
      <c r="C780" s="138" t="s">
        <v>421</v>
      </c>
      <c r="D780" s="15">
        <v>475000000</v>
      </c>
      <c r="E780" s="92">
        <v>0.97354102210000004</v>
      </c>
      <c r="F780" s="150">
        <v>462431985.5</v>
      </c>
      <c r="G780" s="18">
        <v>0.76</v>
      </c>
      <c r="H780" s="13"/>
      <c r="I780" s="13"/>
    </row>
    <row r="781" spans="1:9">
      <c r="A781" s="13" t="s">
        <v>1395</v>
      </c>
      <c r="B781" s="138" t="s">
        <v>560</v>
      </c>
      <c r="C781" s="138" t="s">
        <v>421</v>
      </c>
      <c r="D781" s="18">
        <v>9828483.25</v>
      </c>
      <c r="E781" s="92">
        <v>0.96932691059999998</v>
      </c>
      <c r="F781" s="150">
        <v>9527013.3000000007</v>
      </c>
      <c r="G781" s="18">
        <v>0.02</v>
      </c>
      <c r="H781" s="13"/>
      <c r="I781" s="13"/>
    </row>
    <row r="782" spans="1:9">
      <c r="A782" s="13" t="s">
        <v>1396</v>
      </c>
      <c r="B782" s="138" t="s">
        <v>492</v>
      </c>
      <c r="C782" s="138" t="s">
        <v>421</v>
      </c>
      <c r="D782" s="15">
        <v>5000000</v>
      </c>
      <c r="E782" s="92">
        <v>0.96739997960000002</v>
      </c>
      <c r="F782" s="150">
        <v>4836999.9000000004</v>
      </c>
      <c r="G782" s="18">
        <v>0.01</v>
      </c>
      <c r="H782" s="13"/>
      <c r="I782" s="13"/>
    </row>
    <row r="783" spans="1:9">
      <c r="A783" s="13" t="s">
        <v>1397</v>
      </c>
      <c r="B783" s="138" t="s">
        <v>444</v>
      </c>
      <c r="C783" s="138" t="s">
        <v>421</v>
      </c>
      <c r="D783" s="15">
        <v>5000000</v>
      </c>
      <c r="E783" s="28">
        <v>0.99184786999999996</v>
      </c>
      <c r="F783" s="18">
        <v>4959239.3499999996</v>
      </c>
      <c r="G783" s="18">
        <v>0.01</v>
      </c>
      <c r="H783" s="13"/>
      <c r="I783" s="13"/>
    </row>
    <row r="784" spans="1:9">
      <c r="A784" s="13" t="s">
        <v>1398</v>
      </c>
      <c r="B784" s="138" t="s">
        <v>645</v>
      </c>
      <c r="C784" s="138" t="s">
        <v>421</v>
      </c>
      <c r="D784" s="15">
        <v>5000000</v>
      </c>
      <c r="E784" s="92">
        <v>0.98942809409999999</v>
      </c>
      <c r="F784" s="18">
        <v>4947140.47</v>
      </c>
      <c r="G784" s="18">
        <v>0.01</v>
      </c>
      <c r="H784" s="13"/>
      <c r="I784" s="13"/>
    </row>
    <row r="785" spans="1:9">
      <c r="A785" s="13" t="s">
        <v>1399</v>
      </c>
      <c r="B785" s="138" t="s">
        <v>489</v>
      </c>
      <c r="C785" s="138" t="s">
        <v>421</v>
      </c>
      <c r="D785" s="15">
        <v>5000000</v>
      </c>
      <c r="E785" s="92">
        <v>0.96509789810000002</v>
      </c>
      <c r="F785" s="18">
        <v>4825489.49</v>
      </c>
      <c r="G785" s="18">
        <v>0.01</v>
      </c>
      <c r="H785" s="13"/>
      <c r="I785" s="13"/>
    </row>
    <row r="786" spans="1:9">
      <c r="A786" s="13" t="s">
        <v>1400</v>
      </c>
      <c r="B786" s="138" t="s">
        <v>533</v>
      </c>
      <c r="C786" s="138" t="s">
        <v>421</v>
      </c>
      <c r="D786" s="15">
        <v>5000000</v>
      </c>
      <c r="E786" s="92">
        <v>0.98702001979999998</v>
      </c>
      <c r="F786" s="150">
        <v>4935100.0999999996</v>
      </c>
      <c r="G786" s="18">
        <v>0.01</v>
      </c>
      <c r="H786" s="13"/>
      <c r="I786" s="13"/>
    </row>
    <row r="787" spans="1:9">
      <c r="A787" s="13" t="s">
        <v>1401</v>
      </c>
      <c r="B787" s="138" t="s">
        <v>727</v>
      </c>
      <c r="C787" s="138" t="s">
        <v>421</v>
      </c>
      <c r="D787" s="15">
        <v>5000000</v>
      </c>
      <c r="E787" s="92">
        <v>0.96128523259999998</v>
      </c>
      <c r="F787" s="18">
        <v>4806426.16</v>
      </c>
      <c r="G787" s="18">
        <v>0.01</v>
      </c>
      <c r="H787" s="13"/>
      <c r="I787" s="13"/>
    </row>
    <row r="788" spans="1:9">
      <c r="A788" s="13" t="s">
        <v>1402</v>
      </c>
      <c r="B788" s="138" t="s">
        <v>647</v>
      </c>
      <c r="C788" s="138" t="s">
        <v>421</v>
      </c>
      <c r="D788" s="15">
        <v>5000000</v>
      </c>
      <c r="E788" s="92">
        <v>0.98622001209999999</v>
      </c>
      <c r="F788" s="18">
        <v>4931100.0599999996</v>
      </c>
      <c r="G788" s="18">
        <v>0.01</v>
      </c>
      <c r="H788" s="13"/>
      <c r="I788" s="13"/>
    </row>
    <row r="789" spans="1:9">
      <c r="A789" s="13" t="s">
        <v>1403</v>
      </c>
      <c r="B789" s="138" t="s">
        <v>499</v>
      </c>
      <c r="C789" s="138" t="s">
        <v>421</v>
      </c>
      <c r="D789" s="15">
        <v>5000000</v>
      </c>
      <c r="E789" s="92">
        <v>0.95901212550000003</v>
      </c>
      <c r="F789" s="18">
        <v>4795060.63</v>
      </c>
      <c r="G789" s="18">
        <v>0.01</v>
      </c>
      <c r="H789" s="13"/>
      <c r="I789" s="13"/>
    </row>
    <row r="790" spans="1:9">
      <c r="A790" s="13" t="s">
        <v>1404</v>
      </c>
      <c r="B790" s="138" t="s">
        <v>454</v>
      </c>
      <c r="C790" s="138" t="s">
        <v>421</v>
      </c>
      <c r="D790" s="15">
        <v>5000000</v>
      </c>
      <c r="E790" s="92">
        <v>0.98144664179999996</v>
      </c>
      <c r="F790" s="18">
        <v>4907233.21</v>
      </c>
      <c r="G790" s="18">
        <v>0.01</v>
      </c>
      <c r="H790" s="13"/>
      <c r="I790" s="13"/>
    </row>
    <row r="791" spans="1:9">
      <c r="A791" s="13" t="s">
        <v>1405</v>
      </c>
      <c r="B791" s="138" t="s">
        <v>600</v>
      </c>
      <c r="C791" s="138" t="s">
        <v>421</v>
      </c>
      <c r="D791" s="15">
        <v>5000000</v>
      </c>
      <c r="E791" s="92">
        <v>0.95674973860000001</v>
      </c>
      <c r="F791" s="18">
        <v>4783748.6900000004</v>
      </c>
      <c r="G791" s="18">
        <v>0.01</v>
      </c>
      <c r="H791" s="13"/>
      <c r="I791" s="13"/>
    </row>
    <row r="792" spans="1:9">
      <c r="A792" s="13" t="s">
        <v>1406</v>
      </c>
      <c r="B792" s="138" t="s">
        <v>483</v>
      </c>
      <c r="C792" s="138" t="s">
        <v>421</v>
      </c>
      <c r="D792" s="15">
        <v>5000000</v>
      </c>
      <c r="E792" s="153">
        <v>0.97829001400000004</v>
      </c>
      <c r="F792" s="18">
        <v>4891450.07</v>
      </c>
      <c r="G792" s="18">
        <v>0.01</v>
      </c>
      <c r="H792" s="13"/>
      <c r="I792" s="13"/>
    </row>
    <row r="793" spans="1:9">
      <c r="A793" s="13" t="s">
        <v>1407</v>
      </c>
      <c r="B793" s="138" t="s">
        <v>585</v>
      </c>
      <c r="C793" s="138" t="s">
        <v>421</v>
      </c>
      <c r="D793" s="15">
        <v>5000000</v>
      </c>
      <c r="E793" s="92">
        <v>0.95449800350000003</v>
      </c>
      <c r="F793" s="18">
        <v>4772490.0199999996</v>
      </c>
      <c r="G793" s="18">
        <v>0.01</v>
      </c>
      <c r="H793" s="13"/>
      <c r="I793" s="13"/>
    </row>
    <row r="794" spans="1:9">
      <c r="A794" s="13" t="s">
        <v>1408</v>
      </c>
      <c r="B794" s="138" t="s">
        <v>920</v>
      </c>
      <c r="C794" s="138" t="s">
        <v>421</v>
      </c>
      <c r="D794" s="15">
        <v>5000000</v>
      </c>
      <c r="E794" s="92">
        <v>0.9759358602</v>
      </c>
      <c r="F794" s="150">
        <v>4879679.3</v>
      </c>
      <c r="G794" s="18">
        <v>0.01</v>
      </c>
      <c r="H794" s="13"/>
      <c r="I794" s="13"/>
    </row>
    <row r="795" spans="1:9">
      <c r="A795" s="13" t="s">
        <v>1409</v>
      </c>
      <c r="B795" s="138" t="s">
        <v>603</v>
      </c>
      <c r="C795" s="138" t="s">
        <v>421</v>
      </c>
      <c r="D795" s="15">
        <v>5000000</v>
      </c>
      <c r="E795" s="92">
        <v>0.97515362409999995</v>
      </c>
      <c r="F795" s="18">
        <v>4875768.12</v>
      </c>
      <c r="G795" s="18">
        <v>0.01</v>
      </c>
      <c r="H795" s="13"/>
      <c r="I795" s="13"/>
    </row>
    <row r="796" spans="1:9">
      <c r="A796" s="13" t="s">
        <v>1410</v>
      </c>
      <c r="B796" s="138" t="s">
        <v>1081</v>
      </c>
      <c r="C796" s="138" t="s">
        <v>421</v>
      </c>
      <c r="D796" s="15">
        <v>5000000</v>
      </c>
      <c r="E796" s="92">
        <v>0.97048661759999999</v>
      </c>
      <c r="F796" s="18">
        <v>4852433.09</v>
      </c>
      <c r="G796" s="18">
        <v>0.01</v>
      </c>
      <c r="H796" s="13"/>
      <c r="I796" s="13"/>
    </row>
    <row r="797" spans="1:9">
      <c r="A797" s="13" t="s">
        <v>1411</v>
      </c>
      <c r="B797" s="138" t="s">
        <v>531</v>
      </c>
      <c r="C797" s="138" t="s">
        <v>421</v>
      </c>
      <c r="D797" s="15">
        <v>5000000</v>
      </c>
      <c r="E797" s="153">
        <v>0.96971308199999995</v>
      </c>
      <c r="F797" s="18">
        <v>4848565.41</v>
      </c>
      <c r="G797" s="18">
        <v>0.01</v>
      </c>
      <c r="H797" s="13"/>
      <c r="I797" s="13"/>
    </row>
    <row r="798" spans="1:9">
      <c r="A798" s="13" t="s">
        <v>1412</v>
      </c>
      <c r="B798" s="138" t="s">
        <v>587</v>
      </c>
      <c r="C798" s="138" t="s">
        <v>421</v>
      </c>
      <c r="D798" s="15">
        <v>5000000</v>
      </c>
      <c r="E798" s="92">
        <v>0.95374973070000002</v>
      </c>
      <c r="F798" s="18">
        <v>4768748.6500000004</v>
      </c>
      <c r="G798" s="18">
        <v>0.01</v>
      </c>
      <c r="H798" s="13"/>
      <c r="I798" s="13"/>
    </row>
    <row r="799" spans="1:9">
      <c r="A799" s="13" t="s">
        <v>1413</v>
      </c>
      <c r="B799" s="138" t="s">
        <v>589</v>
      </c>
      <c r="C799" s="138" t="s">
        <v>421</v>
      </c>
      <c r="D799" s="15">
        <v>5000000</v>
      </c>
      <c r="E799" s="92">
        <v>0.95151207469999999</v>
      </c>
      <c r="F799" s="18">
        <v>4757560.37</v>
      </c>
      <c r="G799" s="18">
        <v>0.01</v>
      </c>
      <c r="H799" s="13"/>
      <c r="I799" s="13"/>
    </row>
    <row r="800" spans="1:9">
      <c r="A800" s="13" t="s">
        <v>1414</v>
      </c>
      <c r="B800" s="138" t="s">
        <v>1171</v>
      </c>
      <c r="C800" s="138" t="s">
        <v>421</v>
      </c>
      <c r="D800" s="15">
        <v>5000000</v>
      </c>
      <c r="E800" s="92">
        <v>0.94854476519999997</v>
      </c>
      <c r="F800" s="18">
        <v>4742723.83</v>
      </c>
      <c r="G800" s="18">
        <v>0.01</v>
      </c>
      <c r="H800" s="13"/>
      <c r="I800" s="13"/>
    </row>
    <row r="801" spans="1:9">
      <c r="A801" s="13" t="s">
        <v>1415</v>
      </c>
      <c r="B801" s="138" t="s">
        <v>593</v>
      </c>
      <c r="C801" s="138" t="s">
        <v>421</v>
      </c>
      <c r="D801" s="15">
        <v>5000000</v>
      </c>
      <c r="E801" s="92">
        <v>0.94928489940000005</v>
      </c>
      <c r="F801" s="150">
        <v>4746424.5</v>
      </c>
      <c r="G801" s="18">
        <v>0.01</v>
      </c>
      <c r="H801" s="13"/>
      <c r="I801" s="13"/>
    </row>
    <row r="802" spans="1:9">
      <c r="A802" s="13" t="s">
        <v>1461</v>
      </c>
      <c r="B802" s="138" t="s">
        <v>480</v>
      </c>
      <c r="C802" s="138" t="s">
        <v>343</v>
      </c>
      <c r="D802" s="15">
        <v>969231</v>
      </c>
      <c r="E802" s="92">
        <v>0.99917876130000005</v>
      </c>
      <c r="F802" s="18">
        <v>968435.03</v>
      </c>
      <c r="G802" s="15">
        <v>0</v>
      </c>
      <c r="H802" s="13"/>
      <c r="I802" s="13"/>
    </row>
    <row r="803" spans="1:9">
      <c r="A803" s="13" t="s">
        <v>1462</v>
      </c>
      <c r="B803" s="138" t="s">
        <v>480</v>
      </c>
      <c r="C803" s="138" t="s">
        <v>343</v>
      </c>
      <c r="D803" s="15">
        <v>969231</v>
      </c>
      <c r="E803" s="92">
        <v>0.99917876130000005</v>
      </c>
      <c r="F803" s="18">
        <v>968435.03</v>
      </c>
      <c r="G803" s="15">
        <v>0</v>
      </c>
      <c r="H803" s="13"/>
      <c r="I803" s="13"/>
    </row>
    <row r="804" spans="1:9">
      <c r="A804" s="13" t="s">
        <v>1463</v>
      </c>
      <c r="B804" s="138" t="s">
        <v>610</v>
      </c>
      <c r="C804" s="138" t="s">
        <v>343</v>
      </c>
      <c r="D804" s="18">
        <v>969231.48</v>
      </c>
      <c r="E804" s="92">
        <v>0.99835886470000001</v>
      </c>
      <c r="F804" s="18">
        <v>967640.84</v>
      </c>
      <c r="G804" s="15">
        <v>0</v>
      </c>
      <c r="H804" s="13"/>
      <c r="I804" s="13"/>
    </row>
    <row r="805" spans="1:9">
      <c r="A805" s="13" t="s">
        <v>1457</v>
      </c>
      <c r="B805" s="138" t="s">
        <v>527</v>
      </c>
      <c r="C805" s="138" t="s">
        <v>343</v>
      </c>
      <c r="D805" s="15">
        <v>830000</v>
      </c>
      <c r="E805" s="92">
        <v>0.97671939740000002</v>
      </c>
      <c r="F805" s="150">
        <v>810677.1</v>
      </c>
      <c r="G805" s="15">
        <v>0</v>
      </c>
      <c r="H805" s="13"/>
      <c r="I805" s="13"/>
    </row>
    <row r="806" spans="1:9">
      <c r="A806" s="13" t="s">
        <v>1458</v>
      </c>
      <c r="B806" s="138" t="s">
        <v>577</v>
      </c>
      <c r="C806" s="138" t="s">
        <v>343</v>
      </c>
      <c r="D806" s="15">
        <v>830000</v>
      </c>
      <c r="E806" s="153">
        <v>0.97126144599999997</v>
      </c>
      <c r="F806" s="15">
        <v>806147</v>
      </c>
      <c r="G806" s="15">
        <v>0</v>
      </c>
      <c r="H806" s="13"/>
      <c r="I806" s="13"/>
    </row>
    <row r="807" spans="1:9">
      <c r="A807" s="13" t="s">
        <v>1459</v>
      </c>
      <c r="B807" s="138" t="s">
        <v>415</v>
      </c>
      <c r="C807" s="138" t="s">
        <v>343</v>
      </c>
      <c r="D807" s="15">
        <v>830000</v>
      </c>
      <c r="E807" s="92">
        <v>0.99346763859999998</v>
      </c>
      <c r="F807" s="18">
        <v>824578.14</v>
      </c>
      <c r="G807" s="15">
        <v>0</v>
      </c>
      <c r="H807" s="13"/>
      <c r="I807" s="13"/>
    </row>
    <row r="808" spans="1:9">
      <c r="A808" s="13" t="s">
        <v>1465</v>
      </c>
      <c r="B808" s="138" t="s">
        <v>607</v>
      </c>
      <c r="C808" s="138" t="s">
        <v>343</v>
      </c>
      <c r="D808" s="15">
        <v>2500000</v>
      </c>
      <c r="E808" s="92">
        <v>0.97750403180000001</v>
      </c>
      <c r="F808" s="18">
        <v>2443760.08</v>
      </c>
      <c r="G808" s="15">
        <v>0</v>
      </c>
      <c r="H808" s="13"/>
      <c r="I808" s="13"/>
    </row>
    <row r="809" spans="1:9">
      <c r="A809" s="13" t="s">
        <v>1466</v>
      </c>
      <c r="B809" s="138" t="s">
        <v>577</v>
      </c>
      <c r="C809" s="138" t="s">
        <v>343</v>
      </c>
      <c r="D809" s="15">
        <v>2500000</v>
      </c>
      <c r="E809" s="92">
        <v>0.97126142829999995</v>
      </c>
      <c r="F809" s="18">
        <v>2428153.5699999998</v>
      </c>
      <c r="G809" s="15">
        <v>0</v>
      </c>
      <c r="H809" s="13"/>
      <c r="I809" s="13"/>
    </row>
    <row r="810" spans="1:9">
      <c r="A810" s="13" t="s">
        <v>1467</v>
      </c>
      <c r="B810" s="138" t="s">
        <v>415</v>
      </c>
      <c r="C810" s="138" t="s">
        <v>343</v>
      </c>
      <c r="D810" s="15">
        <v>2500000</v>
      </c>
      <c r="E810" s="153">
        <v>0.99346763599999999</v>
      </c>
      <c r="F810" s="18">
        <v>2483669.09</v>
      </c>
      <c r="G810" s="15">
        <v>0</v>
      </c>
      <c r="H810" s="13"/>
      <c r="I810" s="13"/>
    </row>
    <row r="811" spans="1:9">
      <c r="A811" s="13" t="s">
        <v>1468</v>
      </c>
      <c r="B811" s="138" t="s">
        <v>541</v>
      </c>
      <c r="C811" s="138" t="s">
        <v>343</v>
      </c>
      <c r="D811" s="18">
        <v>2584602.4700000002</v>
      </c>
      <c r="E811" s="92">
        <v>0.96663140650000001</v>
      </c>
      <c r="F811" s="18">
        <v>2498357.92</v>
      </c>
      <c r="G811" s="15">
        <v>0</v>
      </c>
      <c r="H811" s="13"/>
      <c r="I811" s="13"/>
    </row>
    <row r="812" spans="1:9">
      <c r="A812" s="13" t="s">
        <v>1454</v>
      </c>
      <c r="B812" s="138" t="s">
        <v>890</v>
      </c>
      <c r="C812" s="138" t="s">
        <v>343</v>
      </c>
      <c r="D812" s="15">
        <v>100000000</v>
      </c>
      <c r="E812" s="92">
        <v>0.94559595439999999</v>
      </c>
      <c r="F812" s="18">
        <v>94559595.439999998</v>
      </c>
      <c r="G812" s="18">
        <v>0.15</v>
      </c>
      <c r="H812" s="13"/>
      <c r="I812" s="13"/>
    </row>
    <row r="813" spans="1:9">
      <c r="A813" s="13" t="s">
        <v>1472</v>
      </c>
      <c r="B813" s="138" t="s">
        <v>172</v>
      </c>
      <c r="C813" s="138" t="s">
        <v>343</v>
      </c>
      <c r="D813" s="15">
        <v>2500000</v>
      </c>
      <c r="E813" s="92">
        <v>0.99427952389999996</v>
      </c>
      <c r="F813" s="18">
        <v>2485698.81</v>
      </c>
      <c r="G813" s="15">
        <v>0</v>
      </c>
      <c r="H813" s="13"/>
      <c r="I813" s="13"/>
    </row>
    <row r="814" spans="1:9">
      <c r="A814" s="13" t="s">
        <v>1473</v>
      </c>
      <c r="B814" s="138" t="s">
        <v>607</v>
      </c>
      <c r="C814" s="138" t="s">
        <v>343</v>
      </c>
      <c r="D814" s="15">
        <v>2500000</v>
      </c>
      <c r="E814" s="92">
        <v>0.97750403180000001</v>
      </c>
      <c r="F814" s="18">
        <v>2443760.08</v>
      </c>
      <c r="G814" s="15">
        <v>0</v>
      </c>
      <c r="H814" s="13"/>
      <c r="I814" s="13"/>
    </row>
    <row r="815" spans="1:9">
      <c r="A815" s="13" t="s">
        <v>1474</v>
      </c>
      <c r="B815" s="138" t="s">
        <v>456</v>
      </c>
      <c r="C815" s="138" t="s">
        <v>343</v>
      </c>
      <c r="D815" s="15">
        <v>2500000</v>
      </c>
      <c r="E815" s="92">
        <v>0.98303259210000005</v>
      </c>
      <c r="F815" s="18">
        <v>2457581.48</v>
      </c>
      <c r="G815" s="15">
        <v>0</v>
      </c>
      <c r="H815" s="13"/>
      <c r="I815" s="13"/>
    </row>
    <row r="816" spans="1:9">
      <c r="A816" s="13" t="s">
        <v>1475</v>
      </c>
      <c r="B816" s="138" t="s">
        <v>475</v>
      </c>
      <c r="C816" s="138" t="s">
        <v>343</v>
      </c>
      <c r="D816" s="15">
        <v>2500000</v>
      </c>
      <c r="E816" s="153">
        <v>0.98862412399999999</v>
      </c>
      <c r="F816" s="18">
        <v>2471560.31</v>
      </c>
      <c r="G816" s="15">
        <v>0</v>
      </c>
      <c r="H816" s="13"/>
      <c r="I816" s="13"/>
    </row>
    <row r="817" spans="1:9">
      <c r="A817" s="13" t="s">
        <v>1455</v>
      </c>
      <c r="B817" s="138" t="s">
        <v>456</v>
      </c>
      <c r="C817" s="138" t="s">
        <v>343</v>
      </c>
      <c r="D817" s="15">
        <v>500000000</v>
      </c>
      <c r="E817" s="92">
        <v>0.98414581649999999</v>
      </c>
      <c r="F817" s="18">
        <v>492072908.25</v>
      </c>
      <c r="G817" s="18">
        <v>0.81</v>
      </c>
      <c r="H817" s="13"/>
      <c r="I817" s="13"/>
    </row>
    <row r="818" spans="1:9">
      <c r="A818" s="13" t="s">
        <v>1471</v>
      </c>
      <c r="B818" s="138" t="s">
        <v>450</v>
      </c>
      <c r="C818" s="138" t="s">
        <v>343</v>
      </c>
      <c r="D818" s="15">
        <v>73000000</v>
      </c>
      <c r="E818" s="92">
        <v>0.98457063020000002</v>
      </c>
      <c r="F818" s="15">
        <v>71873656</v>
      </c>
      <c r="G818" s="18">
        <v>0.12</v>
      </c>
      <c r="H818" s="13"/>
      <c r="I818" s="13"/>
    </row>
    <row r="819" spans="1:9">
      <c r="A819" s="13" t="s">
        <v>1436</v>
      </c>
      <c r="B819" s="138" t="s">
        <v>890</v>
      </c>
      <c r="C819" s="138" t="s">
        <v>343</v>
      </c>
      <c r="D819" s="18">
        <v>990902.64</v>
      </c>
      <c r="E819" s="153">
        <v>0.93878613499999997</v>
      </c>
      <c r="F819" s="18">
        <v>930245.66</v>
      </c>
      <c r="G819" s="15">
        <v>0</v>
      </c>
      <c r="H819" s="13"/>
      <c r="I819" s="13"/>
    </row>
    <row r="820" spans="1:9">
      <c r="A820" s="13" t="s">
        <v>1437</v>
      </c>
      <c r="B820" s="138" t="s">
        <v>890</v>
      </c>
      <c r="C820" s="138" t="s">
        <v>343</v>
      </c>
      <c r="D820" s="18">
        <v>1020845.65</v>
      </c>
      <c r="E820" s="153">
        <v>0.93878611300000003</v>
      </c>
      <c r="F820" s="18">
        <v>958355.72</v>
      </c>
      <c r="G820" s="15">
        <v>0</v>
      </c>
      <c r="H820" s="13"/>
      <c r="I820" s="13"/>
    </row>
    <row r="821" spans="1:9">
      <c r="A821" s="13" t="s">
        <v>1438</v>
      </c>
      <c r="B821" s="138" t="s">
        <v>950</v>
      </c>
      <c r="C821" s="138" t="s">
        <v>343</v>
      </c>
      <c r="D821" s="18">
        <v>990902.64</v>
      </c>
      <c r="E821" s="92">
        <v>0.93796584260000004</v>
      </c>
      <c r="F821" s="18">
        <v>929432.83</v>
      </c>
      <c r="G821" s="15">
        <v>0</v>
      </c>
      <c r="H821" s="13"/>
      <c r="I821" s="13"/>
    </row>
    <row r="822" spans="1:9">
      <c r="A822" s="13" t="s">
        <v>1439</v>
      </c>
      <c r="B822" s="138" t="s">
        <v>950</v>
      </c>
      <c r="C822" s="138" t="s">
        <v>343</v>
      </c>
      <c r="D822" s="18">
        <v>1020845.65</v>
      </c>
      <c r="E822" s="153">
        <v>0.937965822</v>
      </c>
      <c r="F822" s="18">
        <v>957518.33</v>
      </c>
      <c r="G822" s="15">
        <v>0</v>
      </c>
      <c r="H822" s="13"/>
      <c r="I822" s="13"/>
    </row>
    <row r="823" spans="1:9">
      <c r="A823" s="13" t="s">
        <v>1440</v>
      </c>
      <c r="B823" s="138" t="s">
        <v>587</v>
      </c>
      <c r="C823" s="138" t="s">
        <v>343</v>
      </c>
      <c r="D823" s="18">
        <v>1020845.65</v>
      </c>
      <c r="E823" s="92">
        <v>0.9479042982</v>
      </c>
      <c r="F823" s="18">
        <v>967663.98</v>
      </c>
      <c r="G823" s="15">
        <v>0</v>
      </c>
      <c r="H823" s="13"/>
      <c r="I823" s="13"/>
    </row>
    <row r="824" spans="1:9">
      <c r="A824" s="13" t="s">
        <v>1441</v>
      </c>
      <c r="B824" s="138" t="s">
        <v>587</v>
      </c>
      <c r="C824" s="138" t="s">
        <v>343</v>
      </c>
      <c r="D824" s="18">
        <v>990902.64</v>
      </c>
      <c r="E824" s="92">
        <v>0.9479043171</v>
      </c>
      <c r="F824" s="18">
        <v>939280.89</v>
      </c>
      <c r="G824" s="15">
        <v>0</v>
      </c>
      <c r="H824" s="13"/>
      <c r="I824" s="13"/>
    </row>
    <row r="825" spans="1:9">
      <c r="A825" s="13" t="s">
        <v>1442</v>
      </c>
      <c r="B825" s="138" t="s">
        <v>589</v>
      </c>
      <c r="C825" s="138" t="s">
        <v>343</v>
      </c>
      <c r="D825" s="18">
        <v>1020845.65</v>
      </c>
      <c r="E825" s="92">
        <v>0.94540007049999997</v>
      </c>
      <c r="F825" s="18">
        <v>965107.55</v>
      </c>
      <c r="G825" s="15">
        <v>0</v>
      </c>
      <c r="H825" s="13"/>
      <c r="I825" s="13"/>
    </row>
    <row r="826" spans="1:9">
      <c r="A826" s="13" t="s">
        <v>1443</v>
      </c>
      <c r="B826" s="138" t="s">
        <v>589</v>
      </c>
      <c r="C826" s="138" t="s">
        <v>343</v>
      </c>
      <c r="D826" s="18">
        <v>990902.64</v>
      </c>
      <c r="E826" s="92">
        <v>0.94540004460000004</v>
      </c>
      <c r="F826" s="150">
        <v>936799.4</v>
      </c>
      <c r="G826" s="15">
        <v>0</v>
      </c>
      <c r="H826" s="13"/>
      <c r="I826" s="13"/>
    </row>
    <row r="827" spans="1:9">
      <c r="A827" s="13" t="s">
        <v>1444</v>
      </c>
      <c r="B827" s="138" t="s">
        <v>598</v>
      </c>
      <c r="C827" s="138" t="s">
        <v>343</v>
      </c>
      <c r="D827" s="18">
        <v>1020845.65</v>
      </c>
      <c r="E827" s="153">
        <v>0.94456818200000003</v>
      </c>
      <c r="F827" s="18">
        <v>964258.32</v>
      </c>
      <c r="G827" s="15">
        <v>0</v>
      </c>
      <c r="H827" s="13"/>
      <c r="I827" s="13"/>
    </row>
    <row r="828" spans="1:9">
      <c r="A828" s="13" t="s">
        <v>1445</v>
      </c>
      <c r="B828" s="138" t="s">
        <v>598</v>
      </c>
      <c r="C828" s="138" t="s">
        <v>343</v>
      </c>
      <c r="D828" s="18">
        <v>990902.64</v>
      </c>
      <c r="E828" s="92">
        <v>0.94456818659999997</v>
      </c>
      <c r="F828" s="18">
        <v>935975.11</v>
      </c>
      <c r="G828" s="15">
        <v>0</v>
      </c>
      <c r="H828" s="13"/>
      <c r="I828" s="13"/>
    </row>
    <row r="829" spans="1:9">
      <c r="A829" s="13" t="s">
        <v>1446</v>
      </c>
      <c r="B829" s="138" t="s">
        <v>591</v>
      </c>
      <c r="C829" s="138" t="s">
        <v>343</v>
      </c>
      <c r="D829" s="18">
        <v>1020845.65</v>
      </c>
      <c r="E829" s="92">
        <v>0.94373776220000005</v>
      </c>
      <c r="F829" s="18">
        <v>963410.59</v>
      </c>
      <c r="G829" s="15">
        <v>0</v>
      </c>
      <c r="H829" s="13"/>
      <c r="I829" s="13"/>
    </row>
    <row r="830" spans="1:9">
      <c r="A830" s="13" t="s">
        <v>1447</v>
      </c>
      <c r="B830" s="138" t="s">
        <v>591</v>
      </c>
      <c r="C830" s="138" t="s">
        <v>343</v>
      </c>
      <c r="D830" s="18">
        <v>990902.64</v>
      </c>
      <c r="E830" s="92">
        <v>0.94373777160000005</v>
      </c>
      <c r="F830" s="18">
        <v>935152.25</v>
      </c>
      <c r="G830" s="15">
        <v>0</v>
      </c>
      <c r="H830" s="13"/>
      <c r="I830" s="13"/>
    </row>
    <row r="831" spans="1:9">
      <c r="A831" s="13" t="s">
        <v>1448</v>
      </c>
      <c r="B831" s="138" t="s">
        <v>593</v>
      </c>
      <c r="C831" s="138" t="s">
        <v>343</v>
      </c>
      <c r="D831" s="18">
        <v>1020845.65</v>
      </c>
      <c r="E831" s="92">
        <v>0.94290898010000002</v>
      </c>
      <c r="F831" s="18">
        <v>962564.53</v>
      </c>
      <c r="G831" s="15">
        <v>0</v>
      </c>
      <c r="H831" s="13"/>
      <c r="I831" s="13"/>
    </row>
    <row r="832" spans="1:9">
      <c r="A832" s="13" t="s">
        <v>1449</v>
      </c>
      <c r="B832" s="138" t="s">
        <v>593</v>
      </c>
      <c r="C832" s="138" t="s">
        <v>343</v>
      </c>
      <c r="D832" s="18">
        <v>990902.64</v>
      </c>
      <c r="E832" s="92">
        <v>0.94290897220000003</v>
      </c>
      <c r="F832" s="18">
        <v>934330.99</v>
      </c>
      <c r="G832" s="15">
        <v>0</v>
      </c>
      <c r="H832" s="13"/>
      <c r="I832" s="13"/>
    </row>
    <row r="833" spans="1:9">
      <c r="A833" s="13" t="s">
        <v>1450</v>
      </c>
      <c r="B833" s="138" t="s">
        <v>1171</v>
      </c>
      <c r="C833" s="138" t="s">
        <v>343</v>
      </c>
      <c r="D833" s="18">
        <v>990902.64</v>
      </c>
      <c r="E833" s="92">
        <v>0.94208147490000005</v>
      </c>
      <c r="F833" s="18">
        <v>933511.02</v>
      </c>
      <c r="G833" s="15">
        <v>0</v>
      </c>
      <c r="H833" s="13"/>
      <c r="I833" s="13"/>
    </row>
    <row r="834" spans="1:9">
      <c r="A834" s="13" t="s">
        <v>1451</v>
      </c>
      <c r="B834" s="138" t="s">
        <v>1171</v>
      </c>
      <c r="C834" s="138" t="s">
        <v>343</v>
      </c>
      <c r="D834" s="18">
        <v>1020845.65</v>
      </c>
      <c r="E834" s="92">
        <v>0.94208146049999997</v>
      </c>
      <c r="F834" s="18">
        <v>961719.76</v>
      </c>
      <c r="G834" s="15">
        <v>0</v>
      </c>
      <c r="H834" s="13"/>
      <c r="I834" s="13"/>
    </row>
    <row r="835" spans="1:9">
      <c r="A835" s="13" t="s">
        <v>1432</v>
      </c>
      <c r="B835" s="138" t="s">
        <v>595</v>
      </c>
      <c r="C835" s="138" t="s">
        <v>343</v>
      </c>
      <c r="D835" s="18">
        <v>1020845.65</v>
      </c>
      <c r="E835" s="92">
        <v>0.93960785349999998</v>
      </c>
      <c r="F835" s="18">
        <v>959194.59</v>
      </c>
      <c r="G835" s="15">
        <v>0</v>
      </c>
      <c r="H835" s="13"/>
      <c r="I835" s="13"/>
    </row>
    <row r="836" spans="1:9">
      <c r="A836" s="13" t="s">
        <v>1433</v>
      </c>
      <c r="B836" s="138" t="s">
        <v>595</v>
      </c>
      <c r="C836" s="138" t="s">
        <v>343</v>
      </c>
      <c r="D836" s="18">
        <v>990902.64</v>
      </c>
      <c r="E836" s="92">
        <v>0.93960784019999999</v>
      </c>
      <c r="F836" s="18">
        <v>931059.89</v>
      </c>
      <c r="G836" s="15">
        <v>0</v>
      </c>
      <c r="H836" s="13"/>
      <c r="I836" s="13"/>
    </row>
    <row r="837" spans="1:9">
      <c r="A837" s="13" t="s">
        <v>1434</v>
      </c>
      <c r="B837" s="138" t="s">
        <v>585</v>
      </c>
      <c r="C837" s="138" t="s">
        <v>343</v>
      </c>
      <c r="D837" s="18">
        <v>990902.64</v>
      </c>
      <c r="E837" s="92">
        <v>0.94874209809999999</v>
      </c>
      <c r="F837" s="18">
        <v>940111.05</v>
      </c>
      <c r="G837" s="15">
        <v>0</v>
      </c>
      <c r="H837" s="13"/>
      <c r="I837" s="13"/>
    </row>
    <row r="838" spans="1:9">
      <c r="A838" s="13" t="s">
        <v>1435</v>
      </c>
      <c r="B838" s="138" t="s">
        <v>585</v>
      </c>
      <c r="C838" s="138" t="s">
        <v>343</v>
      </c>
      <c r="D838" s="18">
        <v>1020845.65</v>
      </c>
      <c r="E838" s="92">
        <v>0.94874207519999998</v>
      </c>
      <c r="F838" s="18">
        <v>968519.22</v>
      </c>
      <c r="G838" s="15">
        <v>0</v>
      </c>
      <c r="H838" s="13"/>
      <c r="I838" s="13"/>
    </row>
    <row r="839" spans="1:9">
      <c r="A839" s="13" t="s">
        <v>1452</v>
      </c>
      <c r="B839" s="138" t="s">
        <v>950</v>
      </c>
      <c r="C839" s="138" t="s">
        <v>343</v>
      </c>
      <c r="D839" s="15">
        <v>3000000</v>
      </c>
      <c r="E839" s="92">
        <v>0.93796583060000005</v>
      </c>
      <c r="F839" s="18">
        <v>2813897.49</v>
      </c>
      <c r="G839" s="15">
        <v>0</v>
      </c>
      <c r="H839" s="13"/>
      <c r="I839" s="13"/>
    </row>
    <row r="840" spans="1:9">
      <c r="A840" s="13" t="s">
        <v>1453</v>
      </c>
      <c r="B840" s="138" t="s">
        <v>591</v>
      </c>
      <c r="C840" s="138" t="s">
        <v>343</v>
      </c>
      <c r="D840" s="15">
        <v>3000000</v>
      </c>
      <c r="E840" s="92">
        <v>0.94373775280000005</v>
      </c>
      <c r="F840" s="18">
        <v>2831213.26</v>
      </c>
      <c r="G840" s="15">
        <v>0</v>
      </c>
      <c r="H840" s="13"/>
      <c r="I840" s="13"/>
    </row>
    <row r="841" spans="1:9">
      <c r="A841" s="13" t="s">
        <v>1476</v>
      </c>
      <c r="B841" s="138" t="s">
        <v>587</v>
      </c>
      <c r="C841" s="138" t="s">
        <v>343</v>
      </c>
      <c r="D841" s="18">
        <v>5000300.25</v>
      </c>
      <c r="E841" s="92">
        <v>0.94790433460000001</v>
      </c>
      <c r="F841" s="18">
        <v>4739806.28</v>
      </c>
      <c r="G841" s="18">
        <v>0.01</v>
      </c>
      <c r="H841" s="13"/>
      <c r="I841" s="13"/>
    </row>
    <row r="842" spans="1:9">
      <c r="A842" s="13" t="s">
        <v>1477</v>
      </c>
      <c r="B842" s="138" t="s">
        <v>589</v>
      </c>
      <c r="C842" s="138" t="s">
        <v>343</v>
      </c>
      <c r="D842" s="18">
        <v>5000300.25</v>
      </c>
      <c r="E842" s="92">
        <v>0.94540006129999998</v>
      </c>
      <c r="F842" s="18">
        <v>4727284.16</v>
      </c>
      <c r="G842" s="18">
        <v>0.01</v>
      </c>
      <c r="H842" s="13"/>
      <c r="I842" s="13"/>
    </row>
    <row r="843" spans="1:9">
      <c r="A843" s="13" t="s">
        <v>1478</v>
      </c>
      <c r="B843" s="138" t="s">
        <v>598</v>
      </c>
      <c r="C843" s="138" t="s">
        <v>343</v>
      </c>
      <c r="D843" s="18">
        <v>5000300.25</v>
      </c>
      <c r="E843" s="92">
        <v>0.94456817739999999</v>
      </c>
      <c r="F843" s="18">
        <v>4723124.49</v>
      </c>
      <c r="G843" s="18">
        <v>0.01</v>
      </c>
      <c r="H843" s="13"/>
      <c r="I843" s="13"/>
    </row>
    <row r="844" spans="1:9">
      <c r="A844" s="13" t="s">
        <v>1429</v>
      </c>
      <c r="B844" s="138" t="s">
        <v>598</v>
      </c>
      <c r="C844" s="138" t="s">
        <v>343</v>
      </c>
      <c r="D844" s="18">
        <v>4549416.66</v>
      </c>
      <c r="E844" s="92">
        <v>0.94456818050000002</v>
      </c>
      <c r="F844" s="18">
        <v>4297234.22</v>
      </c>
      <c r="G844" s="18">
        <v>0.01</v>
      </c>
      <c r="H844" s="13"/>
      <c r="I844" s="13"/>
    </row>
    <row r="845" spans="1:9">
      <c r="A845" s="13" t="s">
        <v>1430</v>
      </c>
      <c r="B845" s="138" t="s">
        <v>591</v>
      </c>
      <c r="C845" s="138" t="s">
        <v>343</v>
      </c>
      <c r="D845" s="18">
        <v>4549416.66</v>
      </c>
      <c r="E845" s="92">
        <v>0.9437377575</v>
      </c>
      <c r="F845" s="18">
        <v>4293456.28</v>
      </c>
      <c r="G845" s="18">
        <v>0.01</v>
      </c>
      <c r="H845" s="13"/>
      <c r="I845" s="13"/>
    </row>
    <row r="846" spans="1:9">
      <c r="A846" s="13" t="s">
        <v>1431</v>
      </c>
      <c r="B846" s="138" t="s">
        <v>593</v>
      </c>
      <c r="C846" s="138" t="s">
        <v>343</v>
      </c>
      <c r="D846" s="18">
        <v>4549416.66</v>
      </c>
      <c r="E846" s="92">
        <v>0.94290898329999995</v>
      </c>
      <c r="F846" s="18">
        <v>4289685.84</v>
      </c>
      <c r="G846" s="18">
        <v>0.01</v>
      </c>
      <c r="H846" s="13"/>
      <c r="I846" s="13"/>
    </row>
    <row r="847" spans="1:9">
      <c r="A847" s="13" t="s">
        <v>1483</v>
      </c>
      <c r="B847" s="138" t="s">
        <v>647</v>
      </c>
      <c r="C847" s="138" t="s">
        <v>346</v>
      </c>
      <c r="D847" s="15">
        <v>1070000</v>
      </c>
      <c r="E847" s="92">
        <v>0.9848628317</v>
      </c>
      <c r="F847" s="18">
        <v>1053803.23</v>
      </c>
      <c r="G847" s="15">
        <v>0</v>
      </c>
      <c r="H847" s="13"/>
      <c r="I847" s="13"/>
    </row>
    <row r="848" spans="1:9">
      <c r="A848" s="13" t="s">
        <v>1484</v>
      </c>
      <c r="B848" s="138" t="s">
        <v>546</v>
      </c>
      <c r="C848" s="138" t="s">
        <v>346</v>
      </c>
      <c r="D848" s="15">
        <v>1070000</v>
      </c>
      <c r="E848" s="92">
        <v>0.98223903749999997</v>
      </c>
      <c r="F848" s="18">
        <v>1050995.77</v>
      </c>
      <c r="G848" s="15">
        <v>0</v>
      </c>
      <c r="H848" s="13"/>
      <c r="I848" s="13"/>
    </row>
    <row r="849" spans="1:9">
      <c r="A849" s="13" t="s">
        <v>1485</v>
      </c>
      <c r="B849" s="138" t="s">
        <v>456</v>
      </c>
      <c r="C849" s="138" t="s">
        <v>346</v>
      </c>
      <c r="D849" s="15">
        <v>1070000</v>
      </c>
      <c r="E849" s="92">
        <v>0.98136749540000001</v>
      </c>
      <c r="F849" s="18">
        <v>1050063.22</v>
      </c>
      <c r="G849" s="15">
        <v>0</v>
      </c>
      <c r="H849" s="13"/>
      <c r="I849" s="13"/>
    </row>
    <row r="850" spans="1:9">
      <c r="A850" s="13" t="s">
        <v>1486</v>
      </c>
      <c r="B850" s="138" t="s">
        <v>456</v>
      </c>
      <c r="C850" s="138" t="s">
        <v>346</v>
      </c>
      <c r="D850" s="15">
        <v>1070000</v>
      </c>
      <c r="E850" s="92">
        <v>0.98136749540000001</v>
      </c>
      <c r="F850" s="18">
        <v>1050063.22</v>
      </c>
      <c r="G850" s="15">
        <v>0</v>
      </c>
      <c r="H850" s="13"/>
      <c r="I850" s="13"/>
    </row>
    <row r="851" spans="1:9">
      <c r="A851" s="13" t="s">
        <v>1487</v>
      </c>
      <c r="B851" s="138" t="s">
        <v>450</v>
      </c>
      <c r="C851" s="138" t="s">
        <v>346</v>
      </c>
      <c r="D851" s="15">
        <v>1070000</v>
      </c>
      <c r="E851" s="92">
        <v>0.98049752320000005</v>
      </c>
      <c r="F851" s="18">
        <v>1049132.3500000001</v>
      </c>
      <c r="G851" s="15">
        <v>0</v>
      </c>
      <c r="H851" s="13"/>
      <c r="I851" s="13"/>
    </row>
    <row r="852" spans="1:9">
      <c r="A852" s="13" t="s">
        <v>1488</v>
      </c>
      <c r="B852" s="138" t="s">
        <v>450</v>
      </c>
      <c r="C852" s="138" t="s">
        <v>346</v>
      </c>
      <c r="D852" s="15">
        <v>1070000</v>
      </c>
      <c r="E852" s="92">
        <v>0.98049752320000005</v>
      </c>
      <c r="F852" s="18">
        <v>1049132.3500000001</v>
      </c>
      <c r="G852" s="15">
        <v>0</v>
      </c>
      <c r="H852" s="13"/>
      <c r="I852" s="13"/>
    </row>
    <row r="853" spans="1:9">
      <c r="A853" s="13" t="s">
        <v>1489</v>
      </c>
      <c r="B853" s="138" t="s">
        <v>450</v>
      </c>
      <c r="C853" s="138" t="s">
        <v>346</v>
      </c>
      <c r="D853" s="15">
        <v>1200000</v>
      </c>
      <c r="E853" s="92">
        <v>0.98049750810000003</v>
      </c>
      <c r="F853" s="18">
        <v>1176597.01</v>
      </c>
      <c r="G853" s="15">
        <v>0</v>
      </c>
      <c r="H853" s="13"/>
      <c r="I853" s="13"/>
    </row>
    <row r="854" spans="1:9">
      <c r="A854" s="13" t="s">
        <v>1490</v>
      </c>
      <c r="B854" s="138" t="s">
        <v>499</v>
      </c>
      <c r="C854" s="138" t="s">
        <v>346</v>
      </c>
      <c r="D854" s="15">
        <v>100000000</v>
      </c>
      <c r="E854" s="92">
        <v>0.95379965789999999</v>
      </c>
      <c r="F854" s="18">
        <v>95379965.790000007</v>
      </c>
      <c r="G854" s="18">
        <v>0.16</v>
      </c>
      <c r="H854" s="13"/>
      <c r="I854" s="13"/>
    </row>
    <row r="855" spans="1:9">
      <c r="A855" s="13" t="s">
        <v>1491</v>
      </c>
      <c r="B855" s="138" t="s">
        <v>610</v>
      </c>
      <c r="C855" s="138" t="s">
        <v>346</v>
      </c>
      <c r="D855" s="150">
        <v>6690591.5999999996</v>
      </c>
      <c r="E855" s="153">
        <v>0.99819505200000003</v>
      </c>
      <c r="F855" s="18">
        <v>6678515.4299999997</v>
      </c>
      <c r="G855" s="18">
        <v>0.01</v>
      </c>
      <c r="H855" s="13"/>
      <c r="I855" s="13"/>
    </row>
    <row r="856" spans="1:9">
      <c r="A856" s="13" t="s">
        <v>1492</v>
      </c>
      <c r="B856" s="138" t="s">
        <v>415</v>
      </c>
      <c r="C856" s="138" t="s">
        <v>346</v>
      </c>
      <c r="D856" s="15">
        <v>145500000</v>
      </c>
      <c r="E856" s="92">
        <v>0.99281910809999996</v>
      </c>
      <c r="F856" s="18">
        <v>144455180.22999999</v>
      </c>
      <c r="G856" s="18">
        <v>0.24</v>
      </c>
      <c r="H856" s="13"/>
      <c r="I856" s="13"/>
    </row>
    <row r="857" spans="1:9">
      <c r="A857" s="13" t="s">
        <v>1493</v>
      </c>
      <c r="B857" s="138" t="s">
        <v>622</v>
      </c>
      <c r="C857" s="138" t="s">
        <v>346</v>
      </c>
      <c r="D857" s="15">
        <v>25000000</v>
      </c>
      <c r="E857" s="92">
        <v>0.98983057090000004</v>
      </c>
      <c r="F857" s="18">
        <v>24745764.27</v>
      </c>
      <c r="G857" s="18">
        <v>0.04</v>
      </c>
      <c r="H857" s="13"/>
      <c r="I857" s="13"/>
    </row>
    <row r="858" spans="1:9">
      <c r="A858" s="13" t="s">
        <v>1494</v>
      </c>
      <c r="B858" s="138" t="s">
        <v>581</v>
      </c>
      <c r="C858" s="138" t="s">
        <v>346</v>
      </c>
      <c r="D858" s="15">
        <v>25000000</v>
      </c>
      <c r="E858" s="153">
        <v>0.97009975599999998</v>
      </c>
      <c r="F858" s="150">
        <v>24252493.899999999</v>
      </c>
      <c r="G858" s="18">
        <v>0.04</v>
      </c>
      <c r="H858" s="13"/>
      <c r="I858" s="13"/>
    </row>
    <row r="859" spans="1:9">
      <c r="A859" s="13" t="s">
        <v>1495</v>
      </c>
      <c r="B859" s="138" t="s">
        <v>622</v>
      </c>
      <c r="C859" s="138" t="s">
        <v>346</v>
      </c>
      <c r="D859" s="15">
        <v>25000000</v>
      </c>
      <c r="E859" s="92">
        <v>0.98983057090000004</v>
      </c>
      <c r="F859" s="18">
        <v>24745764.27</v>
      </c>
      <c r="G859" s="18">
        <v>0.04</v>
      </c>
      <c r="H859" s="13"/>
      <c r="I859" s="13"/>
    </row>
    <row r="860" spans="1:9">
      <c r="A860" s="13" t="s">
        <v>1496</v>
      </c>
      <c r="B860" s="138" t="s">
        <v>581</v>
      </c>
      <c r="C860" s="138" t="s">
        <v>346</v>
      </c>
      <c r="D860" s="15">
        <v>25000000</v>
      </c>
      <c r="E860" s="153">
        <v>0.97009975599999998</v>
      </c>
      <c r="F860" s="150">
        <v>24252493.899999999</v>
      </c>
      <c r="G860" s="18">
        <v>0.04</v>
      </c>
      <c r="H860" s="13"/>
      <c r="I860" s="13"/>
    </row>
    <row r="861" spans="1:9">
      <c r="A861" s="13" t="s">
        <v>1497</v>
      </c>
      <c r="B861" s="138" t="s">
        <v>1498</v>
      </c>
      <c r="C861" s="138" t="s">
        <v>346</v>
      </c>
      <c r="D861" s="18">
        <v>5000300.25</v>
      </c>
      <c r="E861" s="92">
        <v>0.92503425439999998</v>
      </c>
      <c r="F861" s="18">
        <v>4625449.01</v>
      </c>
      <c r="G861" s="18">
        <v>0.01</v>
      </c>
      <c r="H861" s="13"/>
      <c r="I861" s="13"/>
    </row>
    <row r="862" spans="1:9">
      <c r="A862" s="13" t="s">
        <v>1499</v>
      </c>
      <c r="B862" s="138" t="s">
        <v>1500</v>
      </c>
      <c r="C862" s="138" t="s">
        <v>346</v>
      </c>
      <c r="D862" s="18">
        <v>5000300.25</v>
      </c>
      <c r="E862" s="92">
        <v>0.92185687029999996</v>
      </c>
      <c r="F862" s="18">
        <v>4609561.1399999997</v>
      </c>
      <c r="G862" s="18">
        <v>0.01</v>
      </c>
      <c r="H862" s="13"/>
      <c r="I862" s="13"/>
    </row>
    <row r="863" spans="1:9">
      <c r="A863" s="13" t="s">
        <v>1501</v>
      </c>
      <c r="B863" s="138" t="s">
        <v>1148</v>
      </c>
      <c r="C863" s="138" t="s">
        <v>346</v>
      </c>
      <c r="D863" s="18">
        <v>5000300.25</v>
      </c>
      <c r="E863" s="92">
        <v>0.91948816840000003</v>
      </c>
      <c r="F863" s="18">
        <v>4597716.92</v>
      </c>
      <c r="G863" s="18">
        <v>0.01</v>
      </c>
      <c r="H863" s="13"/>
      <c r="I863" s="13"/>
    </row>
    <row r="864" spans="1:9">
      <c r="A864" s="13" t="s">
        <v>1502</v>
      </c>
      <c r="B864" s="138" t="s">
        <v>884</v>
      </c>
      <c r="C864" s="138" t="s">
        <v>346</v>
      </c>
      <c r="D864" s="18">
        <v>5000300.25</v>
      </c>
      <c r="E864" s="92">
        <v>0.92027644720000001</v>
      </c>
      <c r="F864" s="18">
        <v>4601658.55</v>
      </c>
      <c r="G864" s="18">
        <v>0.01</v>
      </c>
      <c r="H864" s="13"/>
      <c r="I864" s="13"/>
    </row>
    <row r="865" spans="1:9">
      <c r="A865" s="13" t="s">
        <v>1503</v>
      </c>
      <c r="B865" s="138" t="s">
        <v>884</v>
      </c>
      <c r="C865" s="138" t="s">
        <v>346</v>
      </c>
      <c r="D865" s="18">
        <v>5000300.25</v>
      </c>
      <c r="E865" s="92">
        <v>0.92027644720000001</v>
      </c>
      <c r="F865" s="18">
        <v>4601658.55</v>
      </c>
      <c r="G865" s="18">
        <v>0.01</v>
      </c>
      <c r="H865" s="13"/>
      <c r="I865" s="13"/>
    </row>
    <row r="866" spans="1:9">
      <c r="A866" s="13" t="s">
        <v>1504</v>
      </c>
      <c r="B866" s="138" t="s">
        <v>884</v>
      </c>
      <c r="C866" s="138" t="s">
        <v>346</v>
      </c>
      <c r="D866" s="18">
        <v>5000300.25</v>
      </c>
      <c r="E866" s="92">
        <v>0.92027644720000001</v>
      </c>
      <c r="F866" s="18">
        <v>4601658.55</v>
      </c>
      <c r="G866" s="18">
        <v>0.01</v>
      </c>
      <c r="H866" s="13"/>
      <c r="I866" s="13"/>
    </row>
    <row r="867" spans="1:9">
      <c r="A867" s="13" t="s">
        <v>1505</v>
      </c>
      <c r="B867" s="138" t="s">
        <v>884</v>
      </c>
      <c r="C867" s="138" t="s">
        <v>346</v>
      </c>
      <c r="D867" s="18">
        <v>5000300.25</v>
      </c>
      <c r="E867" s="92">
        <v>0.92027644720000001</v>
      </c>
      <c r="F867" s="18">
        <v>4601658.55</v>
      </c>
      <c r="G867" s="18">
        <v>0.01</v>
      </c>
      <c r="H867" s="13"/>
      <c r="I867" s="13"/>
    </row>
    <row r="868" spans="1:9">
      <c r="A868" s="13" t="s">
        <v>1506</v>
      </c>
      <c r="B868" s="138" t="s">
        <v>573</v>
      </c>
      <c r="C868" s="138" t="s">
        <v>346</v>
      </c>
      <c r="D868" s="18">
        <v>5000300.25</v>
      </c>
      <c r="E868" s="92">
        <v>0.92106608190000006</v>
      </c>
      <c r="F868" s="18">
        <v>4605606.96</v>
      </c>
      <c r="G868" s="18">
        <v>0.01</v>
      </c>
      <c r="H868" s="13"/>
      <c r="I868" s="13"/>
    </row>
    <row r="869" spans="1:9">
      <c r="A869" s="13" t="s">
        <v>1507</v>
      </c>
      <c r="B869" s="138" t="s">
        <v>712</v>
      </c>
      <c r="C869" s="138" t="s">
        <v>346</v>
      </c>
      <c r="D869" s="18">
        <v>1020845.65</v>
      </c>
      <c r="E869" s="92">
        <v>0.93714704140000005</v>
      </c>
      <c r="F869" s="18">
        <v>956682.48</v>
      </c>
      <c r="G869" s="15">
        <v>0</v>
      </c>
      <c r="H869" s="13"/>
      <c r="I869" s="13"/>
    </row>
    <row r="870" spans="1:9">
      <c r="A870" s="13" t="s">
        <v>1508</v>
      </c>
      <c r="B870" s="138" t="s">
        <v>740</v>
      </c>
      <c r="C870" s="138" t="s">
        <v>346</v>
      </c>
      <c r="D870" s="18">
        <v>1020845.65</v>
      </c>
      <c r="E870" s="92">
        <v>0.93307446620000001</v>
      </c>
      <c r="F870" s="18">
        <v>952525.01</v>
      </c>
      <c r="G870" s="15">
        <v>0</v>
      </c>
      <c r="H870" s="13"/>
      <c r="I870" s="13"/>
    </row>
    <row r="871" spans="1:9">
      <c r="A871" s="13" t="s">
        <v>1509</v>
      </c>
      <c r="B871" s="138" t="s">
        <v>575</v>
      </c>
      <c r="C871" s="138" t="s">
        <v>346</v>
      </c>
      <c r="D871" s="18">
        <v>990902.64</v>
      </c>
      <c r="E871" s="92">
        <v>0.93226414160000004</v>
      </c>
      <c r="F871" s="15">
        <v>923783</v>
      </c>
      <c r="G871" s="15">
        <v>0</v>
      </c>
      <c r="H871" s="13"/>
      <c r="I871" s="13"/>
    </row>
    <row r="872" spans="1:9">
      <c r="A872" s="13" t="s">
        <v>1510</v>
      </c>
      <c r="B872" s="138" t="s">
        <v>712</v>
      </c>
      <c r="C872" s="138" t="s">
        <v>346</v>
      </c>
      <c r="D872" s="18">
        <v>990902.64</v>
      </c>
      <c r="E872" s="92">
        <v>0.93714703450000003</v>
      </c>
      <c r="F872" s="18">
        <v>928621.47</v>
      </c>
      <c r="G872" s="15">
        <v>0</v>
      </c>
      <c r="H872" s="13"/>
      <c r="I872" s="13"/>
    </row>
    <row r="873" spans="1:9">
      <c r="A873" s="13" t="s">
        <v>1511</v>
      </c>
      <c r="B873" s="138" t="s">
        <v>575</v>
      </c>
      <c r="C873" s="138" t="s">
        <v>346</v>
      </c>
      <c r="D873" s="18">
        <v>1020845.65</v>
      </c>
      <c r="E873" s="92">
        <v>0.93226411929999997</v>
      </c>
      <c r="F873" s="18">
        <v>951697.77</v>
      </c>
      <c r="G873" s="15">
        <v>0</v>
      </c>
      <c r="H873" s="13"/>
      <c r="I873" s="13"/>
    </row>
    <row r="874" spans="1:9">
      <c r="A874" s="13" t="s">
        <v>1512</v>
      </c>
      <c r="B874" s="138" t="s">
        <v>575</v>
      </c>
      <c r="C874" s="138" t="s">
        <v>346</v>
      </c>
      <c r="D874" s="18">
        <v>1020845.65</v>
      </c>
      <c r="E874" s="92">
        <v>0.93226411929999997</v>
      </c>
      <c r="F874" s="18">
        <v>951697.77</v>
      </c>
      <c r="G874" s="15">
        <v>0</v>
      </c>
      <c r="H874" s="13"/>
      <c r="I874" s="13"/>
    </row>
    <row r="875" spans="1:9">
      <c r="A875" s="13" t="s">
        <v>1513</v>
      </c>
      <c r="B875" s="138" t="s">
        <v>740</v>
      </c>
      <c r="C875" s="138" t="s">
        <v>346</v>
      </c>
      <c r="D875" s="18">
        <v>990902.64</v>
      </c>
      <c r="E875" s="92">
        <v>0.93307447359999995</v>
      </c>
      <c r="F875" s="18">
        <v>924585.96</v>
      </c>
      <c r="G875" s="15">
        <v>0</v>
      </c>
      <c r="H875" s="13"/>
      <c r="I875" s="13"/>
    </row>
    <row r="876" spans="1:9">
      <c r="A876" s="13" t="s">
        <v>1514</v>
      </c>
      <c r="B876" s="138" t="s">
        <v>1391</v>
      </c>
      <c r="C876" s="138" t="s">
        <v>346</v>
      </c>
      <c r="D876" s="18">
        <v>990902.64</v>
      </c>
      <c r="E876" s="92">
        <v>0.9338860672</v>
      </c>
      <c r="F876" s="18">
        <v>925390.17</v>
      </c>
      <c r="G876" s="15">
        <v>0</v>
      </c>
      <c r="H876" s="13"/>
      <c r="I876" s="13"/>
    </row>
    <row r="877" spans="1:9">
      <c r="A877" s="13" t="s">
        <v>1515</v>
      </c>
      <c r="B877" s="138" t="s">
        <v>1391</v>
      </c>
      <c r="C877" s="138" t="s">
        <v>346</v>
      </c>
      <c r="D877" s="18">
        <v>1020845.65</v>
      </c>
      <c r="E877" s="92">
        <v>0.93388602909999996</v>
      </c>
      <c r="F877" s="18">
        <v>953353.49</v>
      </c>
      <c r="G877" s="15">
        <v>0</v>
      </c>
      <c r="H877" s="13"/>
      <c r="I877" s="13"/>
    </row>
    <row r="878" spans="1:9">
      <c r="A878" s="13" t="s">
        <v>1516</v>
      </c>
      <c r="B878" s="138" t="s">
        <v>607</v>
      </c>
      <c r="C878" s="138" t="s">
        <v>346</v>
      </c>
      <c r="D878" s="15">
        <v>10000000</v>
      </c>
      <c r="E878" s="92">
        <v>0.97531000970000004</v>
      </c>
      <c r="F878" s="150">
        <v>9753100.0999999996</v>
      </c>
      <c r="G878" s="18">
        <v>0.02</v>
      </c>
      <c r="H878" s="13"/>
      <c r="I878" s="13"/>
    </row>
    <row r="879" spans="1:9">
      <c r="A879" s="13" t="s">
        <v>1517</v>
      </c>
      <c r="B879" s="138" t="s">
        <v>475</v>
      </c>
      <c r="C879" s="138" t="s">
        <v>346</v>
      </c>
      <c r="D879" s="15">
        <v>10000000</v>
      </c>
      <c r="E879" s="153">
        <v>0.98750069399999996</v>
      </c>
      <c r="F879" s="18">
        <v>9875006.9399999995</v>
      </c>
      <c r="G879" s="18">
        <v>0.02</v>
      </c>
      <c r="H879" s="13"/>
      <c r="I879" s="13"/>
    </row>
    <row r="880" spans="1:9">
      <c r="A880" s="13" t="s">
        <v>1519</v>
      </c>
      <c r="B880" s="138" t="s">
        <v>172</v>
      </c>
      <c r="C880" s="138" t="s">
        <v>346</v>
      </c>
      <c r="D880" s="15">
        <v>10000000</v>
      </c>
      <c r="E880" s="28">
        <v>0.99371103999999999</v>
      </c>
      <c r="F880" s="150">
        <v>9937110.4000000004</v>
      </c>
      <c r="G880" s="18">
        <v>0.02</v>
      </c>
      <c r="H880" s="13"/>
      <c r="I880" s="13"/>
    </row>
    <row r="881" spans="1:9">
      <c r="A881" s="13" t="s">
        <v>1520</v>
      </c>
      <c r="B881" s="138" t="s">
        <v>1081</v>
      </c>
      <c r="C881" s="138" t="s">
        <v>346</v>
      </c>
      <c r="D881" s="15">
        <v>32000000</v>
      </c>
      <c r="E881" s="92">
        <v>0.97528400429999995</v>
      </c>
      <c r="F881" s="18">
        <v>31209088.140000001</v>
      </c>
      <c r="G881" s="18">
        <v>0.05</v>
      </c>
      <c r="H881" s="13"/>
      <c r="I881" s="13"/>
    </row>
    <row r="882" spans="1:9">
      <c r="A882" s="13" t="s">
        <v>1521</v>
      </c>
      <c r="B882" s="138" t="s">
        <v>595</v>
      </c>
      <c r="C882" s="138" t="s">
        <v>346</v>
      </c>
      <c r="D882" s="15">
        <v>32000000</v>
      </c>
      <c r="E882" s="92">
        <v>0.95487248459999996</v>
      </c>
      <c r="F882" s="18">
        <v>30555919.510000002</v>
      </c>
      <c r="G882" s="18">
        <v>0.05</v>
      </c>
      <c r="H882" s="13"/>
      <c r="I882" s="13"/>
    </row>
    <row r="883" spans="1:9">
      <c r="A883" s="13" t="s">
        <v>1522</v>
      </c>
      <c r="B883" s="138" t="s">
        <v>497</v>
      </c>
      <c r="C883" s="138" t="s">
        <v>346</v>
      </c>
      <c r="D883" s="15">
        <v>32000000</v>
      </c>
      <c r="E883" s="153">
        <v>0.94559585899999998</v>
      </c>
      <c r="F883" s="18">
        <v>30259067.489999998</v>
      </c>
      <c r="G883" s="18">
        <v>0.05</v>
      </c>
      <c r="H883" s="13"/>
      <c r="I883" s="13"/>
    </row>
    <row r="884" spans="1:9">
      <c r="A884" s="13" t="s">
        <v>1523</v>
      </c>
      <c r="B884" s="138" t="s">
        <v>450</v>
      </c>
      <c r="C884" s="138" t="s">
        <v>346</v>
      </c>
      <c r="D884" s="15">
        <v>32000000</v>
      </c>
      <c r="E884" s="92">
        <v>0.98515519689999997</v>
      </c>
      <c r="F884" s="150">
        <v>31524966.300000001</v>
      </c>
      <c r="G884" s="18">
        <v>0.05</v>
      </c>
      <c r="H884" s="13"/>
      <c r="I884" s="13"/>
    </row>
    <row r="885" spans="1:9">
      <c r="A885" s="13" t="s">
        <v>1524</v>
      </c>
      <c r="B885" s="138" t="s">
        <v>499</v>
      </c>
      <c r="C885" s="138" t="s">
        <v>346</v>
      </c>
      <c r="D885" s="15">
        <v>32000000</v>
      </c>
      <c r="E885" s="92">
        <v>0.96560857050000004</v>
      </c>
      <c r="F885" s="18">
        <v>30899474.260000002</v>
      </c>
      <c r="G885" s="18">
        <v>0.05</v>
      </c>
      <c r="H885" s="13"/>
      <c r="I885" s="13"/>
    </row>
    <row r="886" spans="1:9">
      <c r="A886" s="13" t="s">
        <v>1525</v>
      </c>
      <c r="B886" s="138" t="s">
        <v>603</v>
      </c>
      <c r="C886" s="138" t="s">
        <v>346</v>
      </c>
      <c r="D886" s="15">
        <v>6000000</v>
      </c>
      <c r="E886" s="92">
        <v>0.97113217669999996</v>
      </c>
      <c r="F886" s="18">
        <v>5826793.0599999996</v>
      </c>
      <c r="G886" s="18">
        <v>0.01</v>
      </c>
      <c r="H886" s="13"/>
      <c r="I886" s="13"/>
    </row>
    <row r="887" spans="1:9">
      <c r="A887" s="13" t="s">
        <v>1526</v>
      </c>
      <c r="B887" s="138" t="s">
        <v>577</v>
      </c>
      <c r="C887" s="138" t="s">
        <v>346</v>
      </c>
      <c r="D887" s="15">
        <v>6000000</v>
      </c>
      <c r="E887" s="92">
        <v>0.96663138630000001</v>
      </c>
      <c r="F887" s="18">
        <v>5799788.3200000003</v>
      </c>
      <c r="G887" s="18">
        <v>0.01</v>
      </c>
      <c r="H887" s="13"/>
      <c r="I887" s="13"/>
    </row>
    <row r="888" spans="1:9">
      <c r="A888" s="13" t="s">
        <v>1527</v>
      </c>
      <c r="B888" s="138" t="s">
        <v>549</v>
      </c>
      <c r="C888" s="138" t="s">
        <v>346</v>
      </c>
      <c r="D888" s="15">
        <v>15000000</v>
      </c>
      <c r="E888" s="92">
        <v>0.96364549310000003</v>
      </c>
      <c r="F888" s="150">
        <v>14454682.4</v>
      </c>
      <c r="G888" s="18">
        <v>0.02</v>
      </c>
      <c r="H888" s="13"/>
      <c r="I888" s="13"/>
    </row>
    <row r="889" spans="1:9">
      <c r="A889" s="13" t="s">
        <v>1528</v>
      </c>
      <c r="B889" s="138" t="s">
        <v>727</v>
      </c>
      <c r="C889" s="138" t="s">
        <v>346</v>
      </c>
      <c r="D889" s="15">
        <v>15000000</v>
      </c>
      <c r="E889" s="92">
        <v>0.96502136839999997</v>
      </c>
      <c r="F889" s="18">
        <v>14475320.529999999</v>
      </c>
      <c r="G889" s="18">
        <v>0.02</v>
      </c>
      <c r="H889" s="13"/>
      <c r="I889" s="13"/>
    </row>
    <row r="890" spans="1:9">
      <c r="A890" s="13" t="s">
        <v>1529</v>
      </c>
      <c r="B890" s="138" t="s">
        <v>494</v>
      </c>
      <c r="C890" s="138" t="s">
        <v>346</v>
      </c>
      <c r="D890" s="15">
        <v>15000000</v>
      </c>
      <c r="E890" s="92">
        <v>0.96917238770000003</v>
      </c>
      <c r="F890" s="18">
        <v>14537585.82</v>
      </c>
      <c r="G890" s="18">
        <v>0.02</v>
      </c>
      <c r="H890" s="13"/>
      <c r="I890" s="13"/>
    </row>
    <row r="891" spans="1:9">
      <c r="A891" s="13" t="s">
        <v>1530</v>
      </c>
      <c r="B891" s="138" t="s">
        <v>499</v>
      </c>
      <c r="C891" s="138" t="s">
        <v>346</v>
      </c>
      <c r="D891" s="15">
        <v>15000000</v>
      </c>
      <c r="E891" s="92">
        <v>0.96295916670000004</v>
      </c>
      <c r="F891" s="150">
        <v>14444387.5</v>
      </c>
      <c r="G891" s="18">
        <v>0.02</v>
      </c>
      <c r="H891" s="13"/>
      <c r="I891" s="13"/>
    </row>
    <row r="892" spans="1:9">
      <c r="A892" s="13" t="s">
        <v>1531</v>
      </c>
      <c r="B892" s="138" t="s">
        <v>591</v>
      </c>
      <c r="C892" s="138" t="s">
        <v>346</v>
      </c>
      <c r="D892" s="15">
        <v>15000000</v>
      </c>
      <c r="E892" s="92">
        <v>0.95479760729999996</v>
      </c>
      <c r="F892" s="18">
        <v>14321964.109999999</v>
      </c>
      <c r="G892" s="18">
        <v>0.02</v>
      </c>
      <c r="H892" s="13"/>
      <c r="I892" s="13"/>
    </row>
    <row r="893" spans="1:9">
      <c r="A893" s="13" t="s">
        <v>1532</v>
      </c>
      <c r="B893" s="138" t="s">
        <v>591</v>
      </c>
      <c r="C893" s="138" t="s">
        <v>346</v>
      </c>
      <c r="D893" s="15">
        <v>15000000</v>
      </c>
      <c r="E893" s="92">
        <v>0.95479760729999996</v>
      </c>
      <c r="F893" s="18">
        <v>14321964.109999999</v>
      </c>
      <c r="G893" s="18">
        <v>0.02</v>
      </c>
      <c r="H893" s="13"/>
      <c r="I893" s="13"/>
    </row>
    <row r="894" spans="1:9">
      <c r="A894" s="13" t="s">
        <v>1533</v>
      </c>
      <c r="B894" s="138" t="s">
        <v>589</v>
      </c>
      <c r="C894" s="138" t="s">
        <v>346</v>
      </c>
      <c r="D894" s="15">
        <v>15000000</v>
      </c>
      <c r="E894" s="92">
        <v>0.95614817139999997</v>
      </c>
      <c r="F894" s="18">
        <v>14342222.57</v>
      </c>
      <c r="G894" s="18">
        <v>0.02</v>
      </c>
      <c r="H894" s="13"/>
      <c r="I894" s="13"/>
    </row>
    <row r="895" spans="1:9">
      <c r="A895" s="13" t="s">
        <v>1534</v>
      </c>
      <c r="B895" s="138" t="s">
        <v>585</v>
      </c>
      <c r="C895" s="138" t="s">
        <v>346</v>
      </c>
      <c r="D895" s="15">
        <v>15000000</v>
      </c>
      <c r="E895" s="92">
        <v>0.95886094769999997</v>
      </c>
      <c r="F895" s="18">
        <v>14382914.220000001</v>
      </c>
      <c r="G895" s="18">
        <v>0.02</v>
      </c>
      <c r="H895" s="13"/>
      <c r="I895" s="13"/>
    </row>
    <row r="896" spans="1:9">
      <c r="A896" s="13" t="s">
        <v>1535</v>
      </c>
      <c r="B896" s="138" t="s">
        <v>555</v>
      </c>
      <c r="C896" s="138" t="s">
        <v>346</v>
      </c>
      <c r="D896" s="15">
        <v>15000000</v>
      </c>
      <c r="E896" s="153">
        <v>0.95954158499999997</v>
      </c>
      <c r="F896" s="18">
        <v>14393123.779999999</v>
      </c>
      <c r="G896" s="18">
        <v>0.02</v>
      </c>
      <c r="H896" s="13"/>
      <c r="I896" s="13"/>
    </row>
    <row r="897" spans="1:9">
      <c r="A897" s="13" t="s">
        <v>1536</v>
      </c>
      <c r="B897" s="138" t="s">
        <v>553</v>
      </c>
      <c r="C897" s="138" t="s">
        <v>346</v>
      </c>
      <c r="D897" s="15">
        <v>15000000</v>
      </c>
      <c r="E897" s="92">
        <v>0.96022318929999995</v>
      </c>
      <c r="F897" s="18">
        <v>14403347.84</v>
      </c>
      <c r="G897" s="18">
        <v>0.02</v>
      </c>
      <c r="H897" s="13"/>
      <c r="I897" s="13"/>
    </row>
    <row r="898" spans="1:9">
      <c r="A898" s="13" t="s">
        <v>1537</v>
      </c>
      <c r="B898" s="138" t="s">
        <v>712</v>
      </c>
      <c r="C898" s="138" t="s">
        <v>346</v>
      </c>
      <c r="D898" s="15">
        <v>60000000</v>
      </c>
      <c r="E898" s="92">
        <v>0.94765816749999998</v>
      </c>
      <c r="F898" s="18">
        <v>56859490.049999997</v>
      </c>
      <c r="G898" s="18">
        <v>0.09</v>
      </c>
      <c r="H898" s="13"/>
      <c r="I898" s="13"/>
    </row>
    <row r="899" spans="1:9">
      <c r="A899" s="13" t="s">
        <v>1538</v>
      </c>
      <c r="B899" s="138" t="s">
        <v>575</v>
      </c>
      <c r="C899" s="138" t="s">
        <v>346</v>
      </c>
      <c r="D899" s="15">
        <v>60000000</v>
      </c>
      <c r="E899" s="92">
        <v>0.94354266019999999</v>
      </c>
      <c r="F899" s="18">
        <v>56612559.609999999</v>
      </c>
      <c r="G899" s="18">
        <v>0.09</v>
      </c>
      <c r="H899" s="13"/>
      <c r="I899" s="13"/>
    </row>
    <row r="900" spans="1:9">
      <c r="A900" s="13" t="s">
        <v>1539</v>
      </c>
      <c r="B900" s="138" t="s">
        <v>587</v>
      </c>
      <c r="C900" s="138" t="s">
        <v>346</v>
      </c>
      <c r="D900" s="15">
        <v>20000000</v>
      </c>
      <c r="E900" s="92">
        <v>0.95818142230000003</v>
      </c>
      <c r="F900" s="18">
        <v>19163628.449999999</v>
      </c>
      <c r="G900" s="18">
        <v>0.03</v>
      </c>
      <c r="H900" s="13"/>
      <c r="I900" s="13"/>
    </row>
    <row r="901" spans="1:9">
      <c r="A901" s="13" t="s">
        <v>1540</v>
      </c>
      <c r="B901" s="138" t="s">
        <v>549</v>
      </c>
      <c r="C901" s="138" t="s">
        <v>346</v>
      </c>
      <c r="D901" s="15">
        <v>20000000</v>
      </c>
      <c r="E901" s="92">
        <v>0.96364549310000003</v>
      </c>
      <c r="F901" s="18">
        <v>19272909.859999999</v>
      </c>
      <c r="G901" s="18">
        <v>0.03</v>
      </c>
      <c r="H901" s="13"/>
      <c r="I901" s="13"/>
    </row>
    <row r="902" spans="1:9">
      <c r="A902" s="13" t="s">
        <v>1541</v>
      </c>
      <c r="B902" s="138" t="s">
        <v>555</v>
      </c>
      <c r="C902" s="138" t="s">
        <v>346</v>
      </c>
      <c r="D902" s="15">
        <v>20000000</v>
      </c>
      <c r="E902" s="153">
        <v>0.95954158499999997</v>
      </c>
      <c r="F902" s="150">
        <v>19190831.699999999</v>
      </c>
      <c r="G902" s="18">
        <v>0.03</v>
      </c>
      <c r="H902" s="13"/>
      <c r="I902" s="13"/>
    </row>
    <row r="903" spans="1:9">
      <c r="A903" s="13" t="s">
        <v>1542</v>
      </c>
      <c r="B903" s="138" t="s">
        <v>549</v>
      </c>
      <c r="C903" s="138" t="s">
        <v>346</v>
      </c>
      <c r="D903" s="15">
        <v>20000000</v>
      </c>
      <c r="E903" s="92">
        <v>0.96364549310000003</v>
      </c>
      <c r="F903" s="18">
        <v>19272909.859999999</v>
      </c>
      <c r="G903" s="18">
        <v>0.03</v>
      </c>
      <c r="H903" s="13"/>
      <c r="I903" s="13"/>
    </row>
    <row r="904" spans="1:9">
      <c r="A904" s="13" t="s">
        <v>1544</v>
      </c>
      <c r="B904" s="138" t="s">
        <v>553</v>
      </c>
      <c r="C904" s="138" t="s">
        <v>339</v>
      </c>
      <c r="D904" s="15">
        <v>100000000</v>
      </c>
      <c r="E904" s="92">
        <v>0.96306081840000002</v>
      </c>
      <c r="F904" s="18">
        <v>96306081.840000004</v>
      </c>
      <c r="G904" s="18">
        <v>0.16</v>
      </c>
      <c r="H904" s="13"/>
      <c r="I904" s="13"/>
    </row>
    <row r="905" spans="1:9">
      <c r="A905" s="13" t="s">
        <v>1545</v>
      </c>
      <c r="B905" s="138" t="s">
        <v>452</v>
      </c>
      <c r="C905" s="138" t="s">
        <v>339</v>
      </c>
      <c r="D905" s="15">
        <v>10000000</v>
      </c>
      <c r="E905" s="153">
        <v>0.99411704499999998</v>
      </c>
      <c r="F905" s="18">
        <v>9941170.4499999993</v>
      </c>
      <c r="G905" s="18">
        <v>0.02</v>
      </c>
      <c r="H905" s="13"/>
      <c r="I905" s="13"/>
    </row>
    <row r="906" spans="1:9">
      <c r="A906" s="13" t="s">
        <v>1546</v>
      </c>
      <c r="B906" s="138" t="s">
        <v>370</v>
      </c>
      <c r="C906" s="138" t="s">
        <v>339</v>
      </c>
      <c r="D906" s="15">
        <v>10000000</v>
      </c>
      <c r="E906" s="92">
        <v>0.99803128890000004</v>
      </c>
      <c r="F906" s="18">
        <v>9980312.8900000006</v>
      </c>
      <c r="G906" s="18">
        <v>0.02</v>
      </c>
      <c r="H906" s="13"/>
      <c r="I906" s="13"/>
    </row>
    <row r="907" spans="1:9">
      <c r="A907" s="13" t="s">
        <v>1547</v>
      </c>
      <c r="B907" s="138" t="s">
        <v>444</v>
      </c>
      <c r="C907" s="138" t="s">
        <v>339</v>
      </c>
      <c r="D907" s="15">
        <v>10000000</v>
      </c>
      <c r="E907" s="92">
        <v>0.99346763810000005</v>
      </c>
      <c r="F907" s="18">
        <v>9934676.3800000008</v>
      </c>
      <c r="G907" s="18">
        <v>0.02</v>
      </c>
      <c r="H907" s="13"/>
      <c r="I907" s="13"/>
    </row>
    <row r="908" spans="1:9">
      <c r="A908" s="13" t="s">
        <v>1548</v>
      </c>
      <c r="B908" s="138" t="s">
        <v>645</v>
      </c>
      <c r="C908" s="138" t="s">
        <v>339</v>
      </c>
      <c r="D908" s="15">
        <v>10000000</v>
      </c>
      <c r="E908" s="153">
        <v>0.99152454800000001</v>
      </c>
      <c r="F908" s="18">
        <v>9915245.4800000004</v>
      </c>
      <c r="G908" s="18">
        <v>0.02</v>
      </c>
      <c r="H908" s="13"/>
      <c r="I908" s="13"/>
    </row>
    <row r="909" spans="1:9">
      <c r="A909" s="13" t="s">
        <v>1550</v>
      </c>
      <c r="B909" s="138" t="s">
        <v>480</v>
      </c>
      <c r="C909" s="138" t="s">
        <v>339</v>
      </c>
      <c r="D909" s="15">
        <v>10000000</v>
      </c>
      <c r="E909" s="153">
        <v>0.99934289799999998</v>
      </c>
      <c r="F909" s="18">
        <v>9993428.9800000004</v>
      </c>
      <c r="G909" s="18">
        <v>0.02</v>
      </c>
      <c r="H909" s="13"/>
      <c r="I909" s="13"/>
    </row>
    <row r="910" spans="1:9">
      <c r="A910" s="13" t="s">
        <v>1551</v>
      </c>
      <c r="B910" s="138" t="s">
        <v>610</v>
      </c>
      <c r="C910" s="138" t="s">
        <v>339</v>
      </c>
      <c r="D910" s="15">
        <v>10000000</v>
      </c>
      <c r="E910" s="153">
        <v>0.99868666800000006</v>
      </c>
      <c r="F910" s="18">
        <v>9986866.6799999997</v>
      </c>
      <c r="G910" s="18">
        <v>0.02</v>
      </c>
      <c r="H910" s="13"/>
      <c r="I910" s="13"/>
    </row>
    <row r="911" spans="1:9">
      <c r="A911" s="13" t="s">
        <v>1552</v>
      </c>
      <c r="B911" s="138" t="s">
        <v>415</v>
      </c>
      <c r="C911" s="138" t="s">
        <v>339</v>
      </c>
      <c r="D911" s="15">
        <v>10000000</v>
      </c>
      <c r="E911" s="153">
        <v>0.99476725799999999</v>
      </c>
      <c r="F911" s="18">
        <v>9947672.5800000001</v>
      </c>
      <c r="G911" s="18">
        <v>0.02</v>
      </c>
      <c r="H911" s="13"/>
      <c r="I911" s="13"/>
    </row>
    <row r="912" spans="1:9">
      <c r="A912" s="13" t="s">
        <v>1553</v>
      </c>
      <c r="B912" s="138" t="s">
        <v>172</v>
      </c>
      <c r="C912" s="138" t="s">
        <v>339</v>
      </c>
      <c r="D912" s="15">
        <v>10000000</v>
      </c>
      <c r="E912" s="92">
        <v>0.99541836309999998</v>
      </c>
      <c r="F912" s="18">
        <v>9954183.6300000008</v>
      </c>
      <c r="G912" s="18">
        <v>0.02</v>
      </c>
      <c r="H912" s="13"/>
      <c r="I912" s="13"/>
    </row>
    <row r="913" spans="1:9">
      <c r="A913" s="13" t="s">
        <v>1554</v>
      </c>
      <c r="B913" s="138" t="s">
        <v>487</v>
      </c>
      <c r="C913" s="138" t="s">
        <v>339</v>
      </c>
      <c r="D913" s="15">
        <v>10000000</v>
      </c>
      <c r="E913" s="153">
        <v>0.99607031899999998</v>
      </c>
      <c r="F913" s="18">
        <v>9960703.1899999995</v>
      </c>
      <c r="G913" s="18">
        <v>0.02</v>
      </c>
      <c r="H913" s="13"/>
      <c r="I913" s="13"/>
    </row>
    <row r="914" spans="1:9">
      <c r="A914" s="13" t="s">
        <v>1555</v>
      </c>
      <c r="B914" s="138" t="s">
        <v>585</v>
      </c>
      <c r="C914" s="138" t="s">
        <v>339</v>
      </c>
      <c r="D914" s="15">
        <v>11000000</v>
      </c>
      <c r="E914" s="92">
        <v>0.9617918902</v>
      </c>
      <c r="F914" s="18">
        <v>10579710.789999999</v>
      </c>
      <c r="G914" s="18">
        <v>0.02</v>
      </c>
      <c r="H914" s="13"/>
      <c r="I914" s="13"/>
    </row>
    <row r="915" spans="1:9">
      <c r="A915" s="13" t="s">
        <v>1556</v>
      </c>
      <c r="B915" s="138" t="s">
        <v>450</v>
      </c>
      <c r="C915" s="138" t="s">
        <v>339</v>
      </c>
      <c r="D915" s="15">
        <v>10000000</v>
      </c>
      <c r="E915" s="153">
        <v>0.98515522200000005</v>
      </c>
      <c r="F915" s="18">
        <v>9851552.2200000007</v>
      </c>
      <c r="G915" s="18">
        <v>0.02</v>
      </c>
      <c r="H915" s="13"/>
      <c r="I915" s="13"/>
    </row>
    <row r="916" spans="1:9">
      <c r="A916" s="13" t="s">
        <v>1557</v>
      </c>
      <c r="B916" s="138" t="s">
        <v>1081</v>
      </c>
      <c r="C916" s="138" t="s">
        <v>339</v>
      </c>
      <c r="D916" s="15">
        <v>10000000</v>
      </c>
      <c r="E916" s="92">
        <v>0.97528392230000005</v>
      </c>
      <c r="F916" s="18">
        <v>9752839.2200000007</v>
      </c>
      <c r="G916" s="18">
        <v>0.02</v>
      </c>
      <c r="H916" s="13"/>
      <c r="I916" s="13"/>
    </row>
    <row r="917" spans="1:9">
      <c r="A917" s="13" t="s">
        <v>1559</v>
      </c>
      <c r="B917" s="138" t="s">
        <v>581</v>
      </c>
      <c r="C917" s="138" t="s">
        <v>339</v>
      </c>
      <c r="D917" s="15">
        <v>6250000</v>
      </c>
      <c r="E917" s="92">
        <v>0.97126142670000004</v>
      </c>
      <c r="F917" s="18">
        <v>6070383.9199999999</v>
      </c>
      <c r="G917" s="18">
        <v>0.01</v>
      </c>
      <c r="H917" s="13"/>
      <c r="I917" s="13"/>
    </row>
    <row r="918" spans="1:9">
      <c r="A918" s="13" t="s">
        <v>1560</v>
      </c>
      <c r="B918" s="138" t="s">
        <v>494</v>
      </c>
      <c r="C918" s="138" t="s">
        <v>339</v>
      </c>
      <c r="D918" s="15">
        <v>6250000</v>
      </c>
      <c r="E918" s="92">
        <v>0.97250352829999998</v>
      </c>
      <c r="F918" s="18">
        <v>6078147.0499999998</v>
      </c>
      <c r="G918" s="18">
        <v>0.01</v>
      </c>
      <c r="H918" s="13"/>
      <c r="I918" s="13"/>
    </row>
    <row r="919" spans="1:9">
      <c r="A919" s="13" t="s">
        <v>1561</v>
      </c>
      <c r="B919" s="138" t="s">
        <v>622</v>
      </c>
      <c r="C919" s="138" t="s">
        <v>339</v>
      </c>
      <c r="D919" s="18">
        <v>70954077.530000001</v>
      </c>
      <c r="E919" s="92">
        <v>0.99023332850000001</v>
      </c>
      <c r="F919" s="18">
        <v>70261092.359999999</v>
      </c>
      <c r="G919" s="18">
        <v>0.11</v>
      </c>
      <c r="H919" s="13"/>
      <c r="I919" s="13"/>
    </row>
    <row r="920" spans="1:9">
      <c r="A920" s="13" t="s">
        <v>1562</v>
      </c>
      <c r="B920" s="138" t="s">
        <v>884</v>
      </c>
      <c r="C920" s="138" t="s">
        <v>339</v>
      </c>
      <c r="D920" s="15">
        <v>15000000</v>
      </c>
      <c r="E920" s="92">
        <v>0.93786950079999998</v>
      </c>
      <c r="F920" s="18">
        <v>14068042.51</v>
      </c>
      <c r="G920" s="18">
        <v>0.02</v>
      </c>
      <c r="H920" s="13"/>
      <c r="I920" s="13"/>
    </row>
    <row r="921" spans="1:9">
      <c r="A921" s="13" t="s">
        <v>1563</v>
      </c>
      <c r="B921" s="138" t="s">
        <v>1271</v>
      </c>
      <c r="C921" s="138" t="s">
        <v>339</v>
      </c>
      <c r="D921" s="15">
        <v>15000000</v>
      </c>
      <c r="E921" s="92">
        <v>0.92489358720000003</v>
      </c>
      <c r="F921" s="18">
        <v>13873403.810000001</v>
      </c>
      <c r="G921" s="18">
        <v>0.02</v>
      </c>
      <c r="H921" s="13"/>
      <c r="I921" s="13"/>
    </row>
    <row r="922" spans="1:9">
      <c r="A922" s="13" t="s">
        <v>1564</v>
      </c>
      <c r="B922" s="138" t="s">
        <v>585</v>
      </c>
      <c r="C922" s="138" t="s">
        <v>339</v>
      </c>
      <c r="D922" s="15">
        <v>20000000</v>
      </c>
      <c r="E922" s="92">
        <v>0.96032420380000005</v>
      </c>
      <c r="F922" s="18">
        <v>19206484.079999998</v>
      </c>
      <c r="G922" s="18">
        <v>0.03</v>
      </c>
      <c r="H922" s="13"/>
      <c r="I922" s="13"/>
    </row>
    <row r="923" spans="1:9">
      <c r="A923" s="13" t="s">
        <v>1565</v>
      </c>
      <c r="B923" s="138" t="s">
        <v>920</v>
      </c>
      <c r="C923" s="138" t="s">
        <v>339</v>
      </c>
      <c r="D923" s="15">
        <v>20000000</v>
      </c>
      <c r="E923" s="92">
        <v>0.97907726350000002</v>
      </c>
      <c r="F923" s="18">
        <v>19581545.27</v>
      </c>
      <c r="G923" s="18">
        <v>0.03</v>
      </c>
      <c r="H923" s="13"/>
      <c r="I923" s="13"/>
    </row>
    <row r="924" spans="1:9">
      <c r="A924" s="13" t="s">
        <v>1566</v>
      </c>
      <c r="B924" s="138" t="s">
        <v>1567</v>
      </c>
      <c r="C924" s="138" t="s">
        <v>339</v>
      </c>
      <c r="D924" s="15">
        <v>25000000</v>
      </c>
      <c r="E924" s="153">
        <v>0.899990234</v>
      </c>
      <c r="F924" s="18">
        <v>22499755.850000001</v>
      </c>
      <c r="G924" s="18">
        <v>0.04</v>
      </c>
      <c r="H924" s="13"/>
      <c r="I924" s="13"/>
    </row>
    <row r="925" spans="1:9">
      <c r="A925" s="13" t="s">
        <v>1568</v>
      </c>
      <c r="B925" s="138" t="s">
        <v>1569</v>
      </c>
      <c r="C925" s="138" t="s">
        <v>339</v>
      </c>
      <c r="D925" s="15">
        <v>25000000</v>
      </c>
      <c r="E925" s="92">
        <v>0.91405391579999995</v>
      </c>
      <c r="F925" s="150">
        <v>22851347.899999999</v>
      </c>
      <c r="G925" s="18">
        <v>0.04</v>
      </c>
      <c r="H925" s="13"/>
      <c r="I925" s="13"/>
    </row>
    <row r="926" spans="1:9">
      <c r="A926" s="13" t="s">
        <v>1570</v>
      </c>
      <c r="B926" s="138" t="s">
        <v>511</v>
      </c>
      <c r="C926" s="138" t="s">
        <v>339</v>
      </c>
      <c r="D926" s="15">
        <v>25000000</v>
      </c>
      <c r="E926" s="92">
        <v>0.90814099420000005</v>
      </c>
      <c r="F926" s="18">
        <v>22703524.859999999</v>
      </c>
      <c r="G926" s="18">
        <v>0.04</v>
      </c>
      <c r="H926" s="13"/>
      <c r="I926" s="13"/>
    </row>
    <row r="927" spans="1:9">
      <c r="A927" s="13" t="s">
        <v>1571</v>
      </c>
      <c r="B927" s="138" t="s">
        <v>541</v>
      </c>
      <c r="C927" s="138" t="s">
        <v>339</v>
      </c>
      <c r="D927" s="15">
        <v>2500000</v>
      </c>
      <c r="E927" s="92">
        <v>0.9731258236</v>
      </c>
      <c r="F927" s="18">
        <v>2432814.56</v>
      </c>
      <c r="G927" s="15">
        <v>0</v>
      </c>
      <c r="H927" s="13"/>
      <c r="I927" s="13"/>
    </row>
    <row r="928" spans="1:9">
      <c r="A928" s="13" t="s">
        <v>1572</v>
      </c>
      <c r="B928" s="138" t="s">
        <v>475</v>
      </c>
      <c r="C928" s="138" t="s">
        <v>339</v>
      </c>
      <c r="D928" s="15">
        <v>4000000</v>
      </c>
      <c r="E928" s="92">
        <v>0.99087851739999999</v>
      </c>
      <c r="F928" s="18">
        <v>3963514.07</v>
      </c>
      <c r="G928" s="18">
        <v>0.01</v>
      </c>
      <c r="H928" s="13"/>
      <c r="I928" s="13"/>
    </row>
    <row r="929" spans="1:9">
      <c r="A929" s="13" t="s">
        <v>1573</v>
      </c>
      <c r="B929" s="138" t="s">
        <v>607</v>
      </c>
      <c r="C929" s="138" t="s">
        <v>339</v>
      </c>
      <c r="D929" s="15">
        <v>2500000</v>
      </c>
      <c r="E929" s="92">
        <v>0.98192194030000002</v>
      </c>
      <c r="F929" s="18">
        <v>2454804.85</v>
      </c>
      <c r="G929" s="15">
        <v>0</v>
      </c>
      <c r="H929" s="13"/>
      <c r="I929" s="13"/>
    </row>
    <row r="930" spans="1:9">
      <c r="A930" s="13" t="s">
        <v>1574</v>
      </c>
      <c r="B930" s="138" t="s">
        <v>607</v>
      </c>
      <c r="C930" s="138" t="s">
        <v>339</v>
      </c>
      <c r="D930" s="15">
        <v>4000000</v>
      </c>
      <c r="E930" s="92">
        <v>0.98192193729999999</v>
      </c>
      <c r="F930" s="18">
        <v>3927687.75</v>
      </c>
      <c r="G930" s="18">
        <v>0.01</v>
      </c>
      <c r="H930" s="13"/>
      <c r="I930" s="13"/>
    </row>
    <row r="931" spans="1:9">
      <c r="A931" s="13" t="s">
        <v>1576</v>
      </c>
      <c r="B931" s="138" t="s">
        <v>560</v>
      </c>
      <c r="C931" s="138" t="s">
        <v>339</v>
      </c>
      <c r="D931" s="15">
        <v>4000000</v>
      </c>
      <c r="E931" s="92">
        <v>0.97750409780000003</v>
      </c>
      <c r="F931" s="18">
        <v>3910016.39</v>
      </c>
      <c r="G931" s="18">
        <v>0.01</v>
      </c>
      <c r="H931" s="13"/>
      <c r="I931" s="13"/>
    </row>
    <row r="932" spans="1:9">
      <c r="A932" s="13" t="s">
        <v>1577</v>
      </c>
      <c r="B932" s="138" t="s">
        <v>527</v>
      </c>
      <c r="C932" s="138" t="s">
        <v>339</v>
      </c>
      <c r="D932" s="15">
        <v>10000000</v>
      </c>
      <c r="E932" s="92">
        <v>0.98128834809999999</v>
      </c>
      <c r="F932" s="18">
        <v>9812883.4800000004</v>
      </c>
      <c r="G932" s="18">
        <v>0.02</v>
      </c>
      <c r="H932" s="13"/>
      <c r="I932" s="13"/>
    </row>
    <row r="933" spans="1:9">
      <c r="A933" s="13" t="s">
        <v>1578</v>
      </c>
      <c r="B933" s="138" t="s">
        <v>549</v>
      </c>
      <c r="C933" s="138" t="s">
        <v>339</v>
      </c>
      <c r="D933" s="15">
        <v>20000000</v>
      </c>
      <c r="E933" s="92">
        <v>0.95464775560000004</v>
      </c>
      <c r="F933" s="18">
        <v>19092955.109999999</v>
      </c>
      <c r="G933" s="18">
        <v>0.03</v>
      </c>
      <c r="H933" s="13"/>
      <c r="I933" s="13"/>
    </row>
    <row r="934" spans="1:9">
      <c r="A934" s="13" t="s">
        <v>1579</v>
      </c>
      <c r="B934" s="138" t="s">
        <v>553</v>
      </c>
      <c r="C934" s="138" t="s">
        <v>339</v>
      </c>
      <c r="D934" s="15">
        <v>20000000</v>
      </c>
      <c r="E934" s="92">
        <v>0.95042200710000002</v>
      </c>
      <c r="F934" s="18">
        <v>19008440.140000001</v>
      </c>
      <c r="G934" s="18">
        <v>0.03</v>
      </c>
      <c r="H934" s="13"/>
      <c r="I934" s="13"/>
    </row>
    <row r="935" spans="1:9">
      <c r="A935" s="13" t="s">
        <v>1580</v>
      </c>
      <c r="B935" s="138" t="s">
        <v>551</v>
      </c>
      <c r="C935" s="138" t="s">
        <v>339</v>
      </c>
      <c r="D935" s="15">
        <v>15000000</v>
      </c>
      <c r="E935" s="92">
        <v>0.97562289680000003</v>
      </c>
      <c r="F935" s="18">
        <v>14634343.449999999</v>
      </c>
      <c r="G935" s="18">
        <v>0.02</v>
      </c>
      <c r="H935" s="13"/>
      <c r="I935" s="13"/>
    </row>
    <row r="936" spans="1:9">
      <c r="A936" s="13" t="s">
        <v>1581</v>
      </c>
      <c r="B936" s="138" t="s">
        <v>456</v>
      </c>
      <c r="C936" s="138" t="s">
        <v>339</v>
      </c>
      <c r="D936" s="15">
        <v>500000000</v>
      </c>
      <c r="E936" s="92">
        <v>0.98461975260000001</v>
      </c>
      <c r="F936" s="150">
        <v>492309876.30000001</v>
      </c>
      <c r="G936" s="18">
        <v>0.81</v>
      </c>
      <c r="H936" s="13"/>
      <c r="I936" s="13"/>
    </row>
    <row r="937" spans="1:9">
      <c r="A937" s="13" t="s">
        <v>1582</v>
      </c>
      <c r="B937" s="138" t="s">
        <v>456</v>
      </c>
      <c r="C937" s="138" t="s">
        <v>339</v>
      </c>
      <c r="D937" s="15">
        <v>1000000000</v>
      </c>
      <c r="E937" s="92">
        <v>0.98461975260000001</v>
      </c>
      <c r="F937" s="150">
        <v>984619752.60000002</v>
      </c>
      <c r="G937" s="18">
        <v>1.61</v>
      </c>
      <c r="H937" s="13"/>
      <c r="I937" s="13"/>
    </row>
    <row r="938" spans="1:9">
      <c r="A938" s="13" t="s">
        <v>1583</v>
      </c>
      <c r="B938" s="138" t="s">
        <v>444</v>
      </c>
      <c r="C938" s="138" t="s">
        <v>339</v>
      </c>
      <c r="D938" s="15">
        <v>30000000</v>
      </c>
      <c r="E938" s="92">
        <v>0.99346763810000005</v>
      </c>
      <c r="F938" s="18">
        <v>29804029.140000001</v>
      </c>
      <c r="G938" s="18">
        <v>0.05</v>
      </c>
      <c r="H938" s="13"/>
      <c r="I938" s="13"/>
    </row>
    <row r="939" spans="1:9">
      <c r="A939" s="13" t="s">
        <v>1584</v>
      </c>
      <c r="B939" s="138" t="s">
        <v>647</v>
      </c>
      <c r="C939" s="138" t="s">
        <v>339</v>
      </c>
      <c r="D939" s="15">
        <v>15000000</v>
      </c>
      <c r="E939" s="92">
        <v>0.98894553389999995</v>
      </c>
      <c r="F939" s="18">
        <v>14834183.01</v>
      </c>
      <c r="G939" s="18">
        <v>0.02</v>
      </c>
      <c r="H939" s="13"/>
      <c r="I939" s="13"/>
    </row>
    <row r="940" spans="1:9">
      <c r="A940" s="13" t="s">
        <v>1585</v>
      </c>
      <c r="B940" s="138" t="s">
        <v>475</v>
      </c>
      <c r="C940" s="138" t="s">
        <v>339</v>
      </c>
      <c r="D940" s="15">
        <v>5000000</v>
      </c>
      <c r="E940" s="153">
        <v>0.99050206799999996</v>
      </c>
      <c r="F940" s="18">
        <v>4952510.34</v>
      </c>
      <c r="G940" s="18">
        <v>0.01</v>
      </c>
      <c r="H940" s="13"/>
      <c r="I940" s="13"/>
    </row>
    <row r="941" spans="1:9">
      <c r="A941" s="13" t="s">
        <v>1586</v>
      </c>
      <c r="B941" s="138" t="s">
        <v>456</v>
      </c>
      <c r="C941" s="138" t="s">
        <v>339</v>
      </c>
      <c r="D941" s="15">
        <v>5000000</v>
      </c>
      <c r="E941" s="92">
        <v>0.9858204397</v>
      </c>
      <c r="F941" s="150">
        <v>4929102.2</v>
      </c>
      <c r="G941" s="18">
        <v>0.01</v>
      </c>
      <c r="H941" s="13"/>
      <c r="I941" s="13"/>
    </row>
    <row r="942" spans="1:9">
      <c r="A942" s="13" t="s">
        <v>1587</v>
      </c>
      <c r="B942" s="138" t="s">
        <v>607</v>
      </c>
      <c r="C942" s="138" t="s">
        <v>339</v>
      </c>
      <c r="D942" s="15">
        <v>5000000</v>
      </c>
      <c r="E942" s="28">
        <v>0.98118285999999999</v>
      </c>
      <c r="F942" s="150">
        <v>4905914.3</v>
      </c>
      <c r="G942" s="18">
        <v>0.01</v>
      </c>
      <c r="H942" s="13"/>
      <c r="I942" s="13"/>
    </row>
    <row r="943" spans="1:9">
      <c r="A943" s="13" t="s">
        <v>1588</v>
      </c>
      <c r="B943" s="138" t="s">
        <v>560</v>
      </c>
      <c r="C943" s="138" t="s">
        <v>339</v>
      </c>
      <c r="D943" s="15">
        <v>5000000</v>
      </c>
      <c r="E943" s="92">
        <v>0.97658871560000005</v>
      </c>
      <c r="F943" s="18">
        <v>4882943.58</v>
      </c>
      <c r="G943" s="18">
        <v>0.01</v>
      </c>
      <c r="H943" s="13"/>
      <c r="I943" s="13"/>
    </row>
    <row r="944" spans="1:9">
      <c r="A944" s="13" t="s">
        <v>1589</v>
      </c>
      <c r="B944" s="138" t="s">
        <v>1590</v>
      </c>
      <c r="C944" s="138" t="s">
        <v>339</v>
      </c>
      <c r="D944" s="15">
        <v>15000000</v>
      </c>
      <c r="E944" s="92">
        <v>0.94608611769999995</v>
      </c>
      <c r="F944" s="18">
        <v>14191291.77</v>
      </c>
      <c r="G944" s="18">
        <v>0.02</v>
      </c>
      <c r="H944" s="13"/>
      <c r="I944" s="13"/>
    </row>
    <row r="945" spans="1:9">
      <c r="A945" s="13" t="s">
        <v>1591</v>
      </c>
      <c r="B945" s="138" t="s">
        <v>571</v>
      </c>
      <c r="C945" s="138" t="s">
        <v>339</v>
      </c>
      <c r="D945" s="15">
        <v>15000000</v>
      </c>
      <c r="E945" s="92">
        <v>0.94290881319999997</v>
      </c>
      <c r="F945" s="150">
        <v>14143632.199999999</v>
      </c>
      <c r="G945" s="18">
        <v>0.02</v>
      </c>
      <c r="H945" s="13"/>
      <c r="I945" s="13"/>
    </row>
    <row r="946" spans="1:9">
      <c r="A946" s="13" t="s">
        <v>1592</v>
      </c>
      <c r="B946" s="138" t="s">
        <v>553</v>
      </c>
      <c r="C946" s="138" t="s">
        <v>339</v>
      </c>
      <c r="D946" s="15">
        <v>15000000</v>
      </c>
      <c r="E946" s="92">
        <v>0.96163993110000001</v>
      </c>
      <c r="F946" s="18">
        <v>14424598.970000001</v>
      </c>
      <c r="G946" s="18">
        <v>0.02</v>
      </c>
      <c r="H946" s="13"/>
      <c r="I946" s="13"/>
    </row>
    <row r="947" spans="1:9">
      <c r="A947" s="13" t="s">
        <v>1593</v>
      </c>
      <c r="B947" s="138" t="s">
        <v>531</v>
      </c>
      <c r="C947" s="138" t="s">
        <v>339</v>
      </c>
      <c r="D947" s="15">
        <v>10000000</v>
      </c>
      <c r="E947" s="92">
        <v>0.97364500929999998</v>
      </c>
      <c r="F947" s="18">
        <v>9736450.0899999999</v>
      </c>
      <c r="G947" s="18">
        <v>0.02</v>
      </c>
      <c r="H947" s="13"/>
      <c r="I947" s="13"/>
    </row>
    <row r="948" spans="1:9">
      <c r="A948" s="13" t="s">
        <v>1594</v>
      </c>
      <c r="B948" s="138" t="s">
        <v>890</v>
      </c>
      <c r="C948" s="138" t="s">
        <v>339</v>
      </c>
      <c r="D948" s="15">
        <v>15000000</v>
      </c>
      <c r="E948" s="92">
        <v>0.95250524010000004</v>
      </c>
      <c r="F948" s="150">
        <v>14287578.6</v>
      </c>
      <c r="G948" s="18">
        <v>0.02</v>
      </c>
      <c r="H948" s="13"/>
      <c r="I948" s="13"/>
    </row>
    <row r="949" spans="1:9">
      <c r="A949" s="13" t="s">
        <v>1595</v>
      </c>
      <c r="B949" s="138" t="s">
        <v>1498</v>
      </c>
      <c r="C949" s="138" t="s">
        <v>339</v>
      </c>
      <c r="D949" s="15">
        <v>15000000</v>
      </c>
      <c r="E949" s="92">
        <v>0.94164395410000001</v>
      </c>
      <c r="F949" s="18">
        <v>14124659.310000001</v>
      </c>
      <c r="G949" s="18">
        <v>0.02</v>
      </c>
      <c r="H949" s="13"/>
      <c r="I949" s="13"/>
    </row>
    <row r="950" spans="1:9">
      <c r="A950" s="13" t="s">
        <v>1596</v>
      </c>
      <c r="B950" s="138" t="s">
        <v>541</v>
      </c>
      <c r="C950" s="138" t="s">
        <v>339</v>
      </c>
      <c r="D950" s="15">
        <v>25000000</v>
      </c>
      <c r="E950" s="92">
        <v>0.97203738260000005</v>
      </c>
      <c r="F950" s="18">
        <v>24300934.57</v>
      </c>
      <c r="G950" s="18">
        <v>0.04</v>
      </c>
      <c r="H950" s="13"/>
      <c r="I950" s="13"/>
    </row>
    <row r="951" spans="1:9">
      <c r="A951" s="13" t="s">
        <v>1597</v>
      </c>
      <c r="B951" s="138" t="s">
        <v>483</v>
      </c>
      <c r="C951" s="138" t="s">
        <v>339</v>
      </c>
      <c r="D951" s="15">
        <v>25000000</v>
      </c>
      <c r="E951" s="92">
        <v>0.98184272669999995</v>
      </c>
      <c r="F951" s="18">
        <v>24546068.170000002</v>
      </c>
      <c r="G951" s="18">
        <v>0.04</v>
      </c>
      <c r="H951" s="13"/>
      <c r="I951" s="13"/>
    </row>
    <row r="952" spans="1:9">
      <c r="A952" s="13" t="s">
        <v>1598</v>
      </c>
      <c r="B952" s="138" t="s">
        <v>555</v>
      </c>
      <c r="C952" s="138" t="s">
        <v>339</v>
      </c>
      <c r="D952" s="15">
        <v>28000000</v>
      </c>
      <c r="E952" s="92">
        <v>0.96242593590000003</v>
      </c>
      <c r="F952" s="18">
        <v>26947926.210000001</v>
      </c>
      <c r="G952" s="18">
        <v>0.04</v>
      </c>
      <c r="H952" s="13"/>
      <c r="I952" s="13"/>
    </row>
    <row r="953" spans="1:9">
      <c r="A953" s="13" t="s">
        <v>1599</v>
      </c>
      <c r="B953" s="138" t="s">
        <v>475</v>
      </c>
      <c r="C953" s="138" t="s">
        <v>339</v>
      </c>
      <c r="D953" s="18">
        <v>35146141.060000002</v>
      </c>
      <c r="E953" s="92">
        <v>0.99106685169999997</v>
      </c>
      <c r="F953" s="18">
        <v>34832175.369999997</v>
      </c>
      <c r="G953" s="18">
        <v>0.06</v>
      </c>
      <c r="H953" s="13"/>
      <c r="I953" s="13"/>
    </row>
    <row r="954" spans="1:9">
      <c r="A954" s="13" t="s">
        <v>1600</v>
      </c>
      <c r="B954" s="138" t="s">
        <v>533</v>
      </c>
      <c r="C954" s="138" t="s">
        <v>339</v>
      </c>
      <c r="D954" s="18">
        <v>28908355.27</v>
      </c>
      <c r="E954" s="92">
        <v>0.98980372859999999</v>
      </c>
      <c r="F954" s="18">
        <v>28613597.829999998</v>
      </c>
      <c r="G954" s="18">
        <v>0.05</v>
      </c>
      <c r="H954" s="13"/>
      <c r="I954" s="13"/>
    </row>
    <row r="955" spans="1:9">
      <c r="A955" s="13" t="s">
        <v>1601</v>
      </c>
      <c r="B955" s="138" t="s">
        <v>647</v>
      </c>
      <c r="C955" s="138" t="s">
        <v>339</v>
      </c>
      <c r="D955" s="18">
        <v>27798498.34</v>
      </c>
      <c r="E955" s="92">
        <v>0.98917334109999999</v>
      </c>
      <c r="F955" s="18">
        <v>27497533.48</v>
      </c>
      <c r="G955" s="18">
        <v>0.05</v>
      </c>
      <c r="H955" s="13"/>
      <c r="I955" s="13"/>
    </row>
    <row r="956" spans="1:9">
      <c r="A956" s="13" t="s">
        <v>1602</v>
      </c>
      <c r="B956" s="138" t="s">
        <v>456</v>
      </c>
      <c r="C956" s="138" t="s">
        <v>339</v>
      </c>
      <c r="D956" s="18">
        <v>32857753.120000001</v>
      </c>
      <c r="E956" s="92">
        <v>0.9866598634</v>
      </c>
      <c r="F956" s="18">
        <v>32419426.210000001</v>
      </c>
      <c r="G956" s="18">
        <v>0.05</v>
      </c>
      <c r="H956" s="13"/>
      <c r="I956" s="13"/>
    </row>
    <row r="957" spans="1:9">
      <c r="A957" s="13" t="s">
        <v>1603</v>
      </c>
      <c r="B957" s="138" t="s">
        <v>607</v>
      </c>
      <c r="C957" s="138" t="s">
        <v>339</v>
      </c>
      <c r="D957" s="18">
        <v>6005225.8799999999</v>
      </c>
      <c r="E957" s="153">
        <v>0.98229189699999997</v>
      </c>
      <c r="F957" s="18">
        <v>5898884.7199999997</v>
      </c>
      <c r="G957" s="18">
        <v>0.01</v>
      </c>
      <c r="H957" s="13"/>
      <c r="I957" s="13"/>
    </row>
    <row r="958" spans="1:9">
      <c r="A958" s="13" t="s">
        <v>1606</v>
      </c>
      <c r="B958" s="138" t="s">
        <v>544</v>
      </c>
      <c r="C958" s="138" t="s">
        <v>383</v>
      </c>
      <c r="D958" s="15">
        <v>50000000</v>
      </c>
      <c r="E958" s="92">
        <v>0.96688747740000003</v>
      </c>
      <c r="F958" s="18">
        <v>48344373.869999997</v>
      </c>
      <c r="G958" s="18">
        <v>0.08</v>
      </c>
      <c r="H958" s="13"/>
      <c r="I958" s="13"/>
    </row>
    <row r="959" spans="1:9">
      <c r="A959" s="13" t="s">
        <v>1607</v>
      </c>
      <c r="B959" s="138" t="s">
        <v>553</v>
      </c>
      <c r="C959" s="138" t="s">
        <v>383</v>
      </c>
      <c r="D959" s="15">
        <v>10000000</v>
      </c>
      <c r="E959" s="92">
        <v>0.96306079840000003</v>
      </c>
      <c r="F959" s="18">
        <v>9630607.9800000004</v>
      </c>
      <c r="G959" s="18">
        <v>0.02</v>
      </c>
      <c r="H959" s="13"/>
      <c r="I959" s="13"/>
    </row>
    <row r="960" spans="1:9">
      <c r="A960" s="13" t="s">
        <v>1608</v>
      </c>
      <c r="B960" s="138" t="s">
        <v>444</v>
      </c>
      <c r="C960" s="138" t="s">
        <v>383</v>
      </c>
      <c r="D960" s="15">
        <v>5000000</v>
      </c>
      <c r="E960" s="152">
        <v>0.99319729999999995</v>
      </c>
      <c r="F960" s="150">
        <v>4965986.5</v>
      </c>
      <c r="G960" s="18">
        <v>0.01</v>
      </c>
      <c r="H960" s="13"/>
      <c r="I960" s="13"/>
    </row>
    <row r="961" spans="1:9">
      <c r="A961" s="13" t="s">
        <v>1609</v>
      </c>
      <c r="B961" s="138" t="s">
        <v>533</v>
      </c>
      <c r="C961" s="138" t="s">
        <v>383</v>
      </c>
      <c r="D961" s="15">
        <v>5000000</v>
      </c>
      <c r="E961" s="92">
        <v>0.9891599499</v>
      </c>
      <c r="F961" s="18">
        <v>4945799.75</v>
      </c>
      <c r="G961" s="18">
        <v>0.01</v>
      </c>
      <c r="H961" s="13"/>
      <c r="I961" s="13"/>
    </row>
    <row r="962" spans="1:9">
      <c r="A962" s="13" t="s">
        <v>1610</v>
      </c>
      <c r="B962" s="138" t="s">
        <v>533</v>
      </c>
      <c r="C962" s="138" t="s">
        <v>383</v>
      </c>
      <c r="D962" s="15">
        <v>5000000</v>
      </c>
      <c r="E962" s="92">
        <v>0.9891599499</v>
      </c>
      <c r="F962" s="18">
        <v>4945799.75</v>
      </c>
      <c r="G962" s="18">
        <v>0.01</v>
      </c>
      <c r="H962" s="13"/>
      <c r="I962" s="13"/>
    </row>
    <row r="963" spans="1:9">
      <c r="A963" s="13" t="s">
        <v>1611</v>
      </c>
      <c r="B963" s="138" t="s">
        <v>622</v>
      </c>
      <c r="C963" s="138" t="s">
        <v>383</v>
      </c>
      <c r="D963" s="15">
        <v>5000000</v>
      </c>
      <c r="E963" s="92">
        <v>0.98983051209999995</v>
      </c>
      <c r="F963" s="18">
        <v>4949152.5599999996</v>
      </c>
      <c r="G963" s="18">
        <v>0.01</v>
      </c>
      <c r="H963" s="13"/>
      <c r="I963" s="13"/>
    </row>
    <row r="964" spans="1:9">
      <c r="A964" s="13" t="s">
        <v>1612</v>
      </c>
      <c r="B964" s="138" t="s">
        <v>622</v>
      </c>
      <c r="C964" s="138" t="s">
        <v>383</v>
      </c>
      <c r="D964" s="15">
        <v>5000000</v>
      </c>
      <c r="E964" s="92">
        <v>0.98983051209999995</v>
      </c>
      <c r="F964" s="18">
        <v>4949152.5599999996</v>
      </c>
      <c r="G964" s="18">
        <v>0.01</v>
      </c>
      <c r="H964" s="13"/>
      <c r="I964" s="13"/>
    </row>
    <row r="965" spans="1:9">
      <c r="A965" s="13" t="s">
        <v>1613</v>
      </c>
      <c r="B965" s="138" t="s">
        <v>475</v>
      </c>
      <c r="C965" s="138" t="s">
        <v>383</v>
      </c>
      <c r="D965" s="15">
        <v>5000000</v>
      </c>
      <c r="E965" s="153">
        <v>0.99050205599999996</v>
      </c>
      <c r="F965" s="18">
        <v>4952510.28</v>
      </c>
      <c r="G965" s="18">
        <v>0.01</v>
      </c>
      <c r="H965" s="13"/>
      <c r="I965" s="13"/>
    </row>
    <row r="966" spans="1:9">
      <c r="A966" s="13" t="s">
        <v>1614</v>
      </c>
      <c r="B966" s="138" t="s">
        <v>475</v>
      </c>
      <c r="C966" s="138" t="s">
        <v>383</v>
      </c>
      <c r="D966" s="15">
        <v>5000000</v>
      </c>
      <c r="E966" s="153">
        <v>0.99050205599999996</v>
      </c>
      <c r="F966" s="18">
        <v>4952510.28</v>
      </c>
      <c r="G966" s="18">
        <v>0.01</v>
      </c>
      <c r="H966" s="13"/>
      <c r="I966" s="13"/>
    </row>
    <row r="967" spans="1:9">
      <c r="A967" s="13" t="s">
        <v>1615</v>
      </c>
      <c r="B967" s="138" t="s">
        <v>444</v>
      </c>
      <c r="C967" s="138" t="s">
        <v>383</v>
      </c>
      <c r="D967" s="15">
        <v>5000000</v>
      </c>
      <c r="E967" s="152">
        <v>0.99319729999999995</v>
      </c>
      <c r="F967" s="150">
        <v>4965986.5</v>
      </c>
      <c r="G967" s="18">
        <v>0.01</v>
      </c>
      <c r="H967" s="13"/>
      <c r="I967" s="13"/>
    </row>
    <row r="968" spans="1:9">
      <c r="A968" s="13" t="s">
        <v>1616</v>
      </c>
      <c r="B968" s="138" t="s">
        <v>704</v>
      </c>
      <c r="C968" s="138" t="s">
        <v>383</v>
      </c>
      <c r="D968" s="15">
        <v>5000000</v>
      </c>
      <c r="E968" s="92">
        <v>0.93536988440000002</v>
      </c>
      <c r="F968" s="18">
        <v>4676849.42</v>
      </c>
      <c r="G968" s="18">
        <v>0.01</v>
      </c>
      <c r="H968" s="13"/>
      <c r="I968" s="13"/>
    </row>
    <row r="969" spans="1:9">
      <c r="A969" s="13" t="s">
        <v>1617</v>
      </c>
      <c r="B969" s="138" t="s">
        <v>1618</v>
      </c>
      <c r="C969" s="138" t="s">
        <v>383</v>
      </c>
      <c r="D969" s="15">
        <v>5000000</v>
      </c>
      <c r="E969" s="92">
        <v>0.92611395029999999</v>
      </c>
      <c r="F969" s="18">
        <v>4630569.75</v>
      </c>
      <c r="G969" s="18">
        <v>0.01</v>
      </c>
      <c r="H969" s="13"/>
      <c r="I969" s="13"/>
    </row>
    <row r="970" spans="1:9">
      <c r="A970" s="13" t="s">
        <v>1619</v>
      </c>
      <c r="B970" s="138" t="s">
        <v>1249</v>
      </c>
      <c r="C970" s="138" t="s">
        <v>383</v>
      </c>
      <c r="D970" s="15">
        <v>5000000</v>
      </c>
      <c r="E970" s="92">
        <v>0.92246273359999997</v>
      </c>
      <c r="F970" s="18">
        <v>4612313.67</v>
      </c>
      <c r="G970" s="18">
        <v>0.01</v>
      </c>
      <c r="H970" s="13"/>
      <c r="I970" s="13"/>
    </row>
    <row r="971" spans="1:9">
      <c r="A971" s="13" t="s">
        <v>1620</v>
      </c>
      <c r="B971" s="138" t="s">
        <v>884</v>
      </c>
      <c r="C971" s="138" t="s">
        <v>383</v>
      </c>
      <c r="D971" s="15">
        <v>5000000</v>
      </c>
      <c r="E971" s="92">
        <v>0.93786947389999997</v>
      </c>
      <c r="F971" s="18">
        <v>4689347.37</v>
      </c>
      <c r="G971" s="18">
        <v>0.01</v>
      </c>
      <c r="H971" s="13"/>
      <c r="I971" s="13"/>
    </row>
    <row r="972" spans="1:9">
      <c r="A972" s="13" t="s">
        <v>1621</v>
      </c>
      <c r="B972" s="138" t="s">
        <v>1221</v>
      </c>
      <c r="C972" s="138" t="s">
        <v>383</v>
      </c>
      <c r="D972" s="15">
        <v>5000000</v>
      </c>
      <c r="E972" s="153">
        <v>0.93412499599999999</v>
      </c>
      <c r="F972" s="18">
        <v>4670624.9800000004</v>
      </c>
      <c r="G972" s="18">
        <v>0.01</v>
      </c>
      <c r="H972" s="13"/>
      <c r="I972" s="13"/>
    </row>
    <row r="973" spans="1:9">
      <c r="A973" s="13" t="s">
        <v>1622</v>
      </c>
      <c r="B973" s="138" t="s">
        <v>1271</v>
      </c>
      <c r="C973" s="138" t="s">
        <v>383</v>
      </c>
      <c r="D973" s="15">
        <v>5000000</v>
      </c>
      <c r="E973" s="92">
        <v>0.92489372619999999</v>
      </c>
      <c r="F973" s="18">
        <v>4624468.63</v>
      </c>
      <c r="G973" s="18">
        <v>0.01</v>
      </c>
      <c r="H973" s="13"/>
      <c r="I973" s="13"/>
    </row>
    <row r="974" spans="1:9">
      <c r="A974" s="13" t="s">
        <v>1623</v>
      </c>
      <c r="B974" s="138" t="s">
        <v>553</v>
      </c>
      <c r="C974" s="138" t="s">
        <v>383</v>
      </c>
      <c r="D974" s="15">
        <v>10000000</v>
      </c>
      <c r="E974" s="92">
        <v>0.96306079840000003</v>
      </c>
      <c r="F974" s="18">
        <v>9630607.9800000004</v>
      </c>
      <c r="G974" s="18">
        <v>0.02</v>
      </c>
      <c r="H974" s="13"/>
      <c r="I974" s="13"/>
    </row>
    <row r="975" spans="1:9">
      <c r="A975" s="13" t="s">
        <v>1624</v>
      </c>
      <c r="B975" s="138" t="s">
        <v>589</v>
      </c>
      <c r="C975" s="138" t="s">
        <v>383</v>
      </c>
      <c r="D975" s="15">
        <v>12500000</v>
      </c>
      <c r="E975" s="153">
        <v>0.95926414800000004</v>
      </c>
      <c r="F975" s="18">
        <v>11990801.85</v>
      </c>
      <c r="G975" s="18">
        <v>0.02</v>
      </c>
      <c r="H975" s="13"/>
      <c r="I975" s="13"/>
    </row>
    <row r="976" spans="1:9">
      <c r="A976" s="13" t="s">
        <v>1625</v>
      </c>
      <c r="B976" s="138" t="s">
        <v>553</v>
      </c>
      <c r="C976" s="138" t="s">
        <v>383</v>
      </c>
      <c r="D976" s="15">
        <v>8650000</v>
      </c>
      <c r="E976" s="92">
        <v>0.96306079840000003</v>
      </c>
      <c r="F976" s="18">
        <v>8330475.9100000001</v>
      </c>
      <c r="G976" s="18">
        <v>0.01</v>
      </c>
      <c r="H976" s="13"/>
      <c r="I976" s="13"/>
    </row>
    <row r="977" spans="1:9">
      <c r="A977" s="13" t="s">
        <v>1626</v>
      </c>
      <c r="B977" s="138" t="s">
        <v>585</v>
      </c>
      <c r="C977" s="138" t="s">
        <v>383</v>
      </c>
      <c r="D977" s="15">
        <v>8650000</v>
      </c>
      <c r="E977" s="92">
        <v>0.96179186660000004</v>
      </c>
      <c r="F977" s="18">
        <v>8319499.6500000004</v>
      </c>
      <c r="G977" s="18">
        <v>0.01</v>
      </c>
      <c r="H977" s="13"/>
      <c r="I977" s="13"/>
    </row>
    <row r="978" spans="1:9">
      <c r="A978" s="13" t="s">
        <v>1627</v>
      </c>
      <c r="B978" s="138" t="s">
        <v>589</v>
      </c>
      <c r="C978" s="138" t="s">
        <v>383</v>
      </c>
      <c r="D978" s="15">
        <v>8650000</v>
      </c>
      <c r="E978" s="153">
        <v>0.95926414800000004</v>
      </c>
      <c r="F978" s="18">
        <v>8297634.8799999999</v>
      </c>
      <c r="G978" s="18">
        <v>0.01</v>
      </c>
      <c r="H978" s="13"/>
      <c r="I978" s="13"/>
    </row>
    <row r="979" spans="1:9">
      <c r="A979" s="13" t="s">
        <v>1628</v>
      </c>
      <c r="B979" s="138" t="s">
        <v>544</v>
      </c>
      <c r="C979" s="138" t="s">
        <v>383</v>
      </c>
      <c r="D979" s="15">
        <v>8650000</v>
      </c>
      <c r="E979" s="92">
        <v>0.96688747610000003</v>
      </c>
      <c r="F979" s="18">
        <v>8363576.6699999999</v>
      </c>
      <c r="G979" s="18">
        <v>0.01</v>
      </c>
      <c r="H979" s="13"/>
      <c r="I979" s="13"/>
    </row>
    <row r="980" spans="1:9">
      <c r="A980" s="13" t="s">
        <v>1629</v>
      </c>
      <c r="B980" s="138" t="s">
        <v>581</v>
      </c>
      <c r="C980" s="138" t="s">
        <v>383</v>
      </c>
      <c r="D980" s="15">
        <v>8650000</v>
      </c>
      <c r="E980" s="92">
        <v>0.97009977339999998</v>
      </c>
      <c r="F980" s="18">
        <v>8391363.0399999991</v>
      </c>
      <c r="G980" s="18">
        <v>0.01</v>
      </c>
      <c r="H980" s="13"/>
      <c r="I980" s="13"/>
    </row>
    <row r="981" spans="1:9">
      <c r="A981" s="13" t="s">
        <v>1630</v>
      </c>
      <c r="B981" s="138" t="s">
        <v>494</v>
      </c>
      <c r="C981" s="138" t="s">
        <v>383</v>
      </c>
      <c r="D981" s="15">
        <v>8650000</v>
      </c>
      <c r="E981" s="92">
        <v>0.97139059780000003</v>
      </c>
      <c r="F981" s="18">
        <v>8402528.6699999999</v>
      </c>
      <c r="G981" s="18">
        <v>0.01</v>
      </c>
      <c r="H981" s="13"/>
      <c r="I981" s="13"/>
    </row>
    <row r="982" spans="1:9">
      <c r="A982" s="13" t="s">
        <v>1631</v>
      </c>
      <c r="B982" s="138" t="s">
        <v>492</v>
      </c>
      <c r="C982" s="138" t="s">
        <v>383</v>
      </c>
      <c r="D982" s="15">
        <v>8650000</v>
      </c>
      <c r="E982" s="92">
        <v>0.97268499050000001</v>
      </c>
      <c r="F982" s="18">
        <v>8413725.1699999999</v>
      </c>
      <c r="G982" s="18">
        <v>0.01</v>
      </c>
      <c r="H982" s="13"/>
      <c r="I982" s="13"/>
    </row>
    <row r="983" spans="1:9">
      <c r="A983" s="13" t="s">
        <v>1632</v>
      </c>
      <c r="B983" s="138" t="s">
        <v>499</v>
      </c>
      <c r="C983" s="138" t="s">
        <v>383</v>
      </c>
      <c r="D983" s="15">
        <v>8650000</v>
      </c>
      <c r="E983" s="92">
        <v>0.96560858780000003</v>
      </c>
      <c r="F983" s="18">
        <v>8352514.2800000003</v>
      </c>
      <c r="G983" s="18">
        <v>0.01</v>
      </c>
      <c r="H983" s="13"/>
      <c r="I983" s="13"/>
    </row>
    <row r="984" spans="1:9">
      <c r="A984" s="13" t="s">
        <v>1633</v>
      </c>
      <c r="B984" s="138" t="s">
        <v>607</v>
      </c>
      <c r="C984" s="138" t="s">
        <v>383</v>
      </c>
      <c r="D984" s="15">
        <v>20000000</v>
      </c>
      <c r="E984" s="92">
        <v>0.98118284440000003</v>
      </c>
      <c r="F984" s="18">
        <v>19623656.890000001</v>
      </c>
      <c r="G984" s="18">
        <v>0.03</v>
      </c>
      <c r="H984" s="13"/>
      <c r="I984" s="13"/>
    </row>
    <row r="985" spans="1:9">
      <c r="A985" s="13" t="s">
        <v>1634</v>
      </c>
      <c r="B985" s="138" t="s">
        <v>1175</v>
      </c>
      <c r="C985" s="138" t="s">
        <v>383</v>
      </c>
      <c r="D985" s="15">
        <v>20000000</v>
      </c>
      <c r="E985" s="92">
        <v>0.91823914679999996</v>
      </c>
      <c r="F985" s="18">
        <v>18364782.940000001</v>
      </c>
      <c r="G985" s="18">
        <v>0.03</v>
      </c>
      <c r="H985" s="13"/>
      <c r="I985" s="13"/>
    </row>
    <row r="986" spans="1:9">
      <c r="A986" s="13" t="s">
        <v>1635</v>
      </c>
      <c r="B986" s="138" t="s">
        <v>999</v>
      </c>
      <c r="C986" s="138" t="s">
        <v>383</v>
      </c>
      <c r="D986" s="15">
        <v>20000000</v>
      </c>
      <c r="E986" s="92">
        <v>0.92125193760000001</v>
      </c>
      <c r="F986" s="18">
        <v>18425038.75</v>
      </c>
      <c r="G986" s="18">
        <v>0.03</v>
      </c>
      <c r="H986" s="13"/>
      <c r="I986" s="13"/>
    </row>
    <row r="987" spans="1:9">
      <c r="A987" s="13" t="s">
        <v>1636</v>
      </c>
      <c r="B987" s="138" t="s">
        <v>906</v>
      </c>
      <c r="C987" s="138" t="s">
        <v>383</v>
      </c>
      <c r="D987" s="15">
        <v>20000000</v>
      </c>
      <c r="E987" s="92">
        <v>0.92185693840000005</v>
      </c>
      <c r="F987" s="18">
        <v>18437138.77</v>
      </c>
      <c r="G987" s="18">
        <v>0.03</v>
      </c>
      <c r="H987" s="13"/>
      <c r="I987" s="13"/>
    </row>
    <row r="988" spans="1:9">
      <c r="A988" s="13" t="s">
        <v>1637</v>
      </c>
      <c r="B988" s="138" t="s">
        <v>1249</v>
      </c>
      <c r="C988" s="138" t="s">
        <v>383</v>
      </c>
      <c r="D988" s="15">
        <v>20000000</v>
      </c>
      <c r="E988" s="92">
        <v>0.92246273359999997</v>
      </c>
      <c r="F988" s="18">
        <v>18449254.670000002</v>
      </c>
      <c r="G988" s="18">
        <v>0.03</v>
      </c>
      <c r="H988" s="13"/>
      <c r="I988" s="13"/>
    </row>
    <row r="989" spans="1:9">
      <c r="A989" s="13" t="s">
        <v>1638</v>
      </c>
      <c r="B989" s="138" t="s">
        <v>1639</v>
      </c>
      <c r="C989" s="138" t="s">
        <v>383</v>
      </c>
      <c r="D989" s="15">
        <v>20000000</v>
      </c>
      <c r="E989" s="92">
        <v>0.91763888179999997</v>
      </c>
      <c r="F989" s="18">
        <v>18352777.640000001</v>
      </c>
      <c r="G989" s="18">
        <v>0.03</v>
      </c>
      <c r="H989" s="13"/>
      <c r="I989" s="13"/>
    </row>
    <row r="990" spans="1:9">
      <c r="A990" s="13" t="s">
        <v>1640</v>
      </c>
      <c r="B990" s="138" t="s">
        <v>541</v>
      </c>
      <c r="C990" s="138" t="s">
        <v>383</v>
      </c>
      <c r="D990" s="15">
        <v>6000000</v>
      </c>
      <c r="E990" s="92">
        <v>0.96128533360000001</v>
      </c>
      <c r="F990" s="15">
        <v>5767712</v>
      </c>
      <c r="G990" s="18">
        <v>0.01</v>
      </c>
      <c r="H990" s="13"/>
      <c r="I990" s="13"/>
    </row>
    <row r="991" spans="1:9">
      <c r="A991" s="13" t="s">
        <v>1641</v>
      </c>
      <c r="B991" s="138" t="s">
        <v>645</v>
      </c>
      <c r="C991" s="138" t="s">
        <v>383</v>
      </c>
      <c r="D991" s="15">
        <v>100000000</v>
      </c>
      <c r="E991" s="92">
        <v>0.98803534930000003</v>
      </c>
      <c r="F991" s="18">
        <v>98803534.930000007</v>
      </c>
      <c r="G991" s="18">
        <v>0.16</v>
      </c>
      <c r="H991" s="13"/>
      <c r="I991" s="13"/>
    </row>
    <row r="992" spans="1:9">
      <c r="A992" s="13" t="s">
        <v>1642</v>
      </c>
      <c r="B992" s="138" t="s">
        <v>610</v>
      </c>
      <c r="C992" s="138" t="s">
        <v>383</v>
      </c>
      <c r="D992" s="18">
        <v>2870567.11</v>
      </c>
      <c r="E992" s="92">
        <v>0.99835887479999996</v>
      </c>
      <c r="F992" s="18">
        <v>2865856.15</v>
      </c>
      <c r="G992" s="15">
        <v>0</v>
      </c>
      <c r="H992" s="13"/>
      <c r="I992" s="13"/>
    </row>
    <row r="993" spans="1:9">
      <c r="A993" s="13" t="s">
        <v>1643</v>
      </c>
      <c r="B993" s="138" t="s">
        <v>645</v>
      </c>
      <c r="C993" s="138" t="s">
        <v>383</v>
      </c>
      <c r="D993" s="18">
        <v>2870567.11</v>
      </c>
      <c r="E993" s="92">
        <v>0.98942807150000001</v>
      </c>
      <c r="F993" s="18">
        <v>2840219.68</v>
      </c>
      <c r="G993" s="15">
        <v>0</v>
      </c>
      <c r="H993" s="13"/>
      <c r="I993" s="13"/>
    </row>
    <row r="994" spans="1:9">
      <c r="A994" s="13" t="s">
        <v>1644</v>
      </c>
      <c r="B994" s="138" t="s">
        <v>533</v>
      </c>
      <c r="C994" s="138" t="s">
        <v>383</v>
      </c>
      <c r="D994" s="18">
        <v>2870567.11</v>
      </c>
      <c r="E994" s="153">
        <v>0.98702007700000005</v>
      </c>
      <c r="F994" s="18">
        <v>2833307.37</v>
      </c>
      <c r="G994" s="15">
        <v>0</v>
      </c>
      <c r="H994" s="13"/>
      <c r="I994" s="13"/>
    </row>
    <row r="995" spans="1:9">
      <c r="A995" s="13" t="s">
        <v>1645</v>
      </c>
      <c r="B995" s="138" t="s">
        <v>487</v>
      </c>
      <c r="C995" s="138" t="s">
        <v>383</v>
      </c>
      <c r="D995" s="18">
        <v>2870567.11</v>
      </c>
      <c r="E995" s="92">
        <v>0.99509271519999998</v>
      </c>
      <c r="F995" s="18">
        <v>2856480.42</v>
      </c>
      <c r="G995" s="15">
        <v>0</v>
      </c>
      <c r="H995" s="13"/>
      <c r="I995" s="13"/>
    </row>
    <row r="996" spans="1:9">
      <c r="A996" s="13" t="s">
        <v>1646</v>
      </c>
      <c r="B996" s="138" t="s">
        <v>546</v>
      </c>
      <c r="C996" s="138" t="s">
        <v>383</v>
      </c>
      <c r="D996" s="18">
        <v>2870567.11</v>
      </c>
      <c r="E996" s="92">
        <v>0.98382756490000001</v>
      </c>
      <c r="F996" s="18">
        <v>2824143.05</v>
      </c>
      <c r="G996" s="15">
        <v>0</v>
      </c>
      <c r="H996" s="13"/>
      <c r="I996" s="13"/>
    </row>
    <row r="997" spans="1:9">
      <c r="A997" s="13" t="s">
        <v>1647</v>
      </c>
      <c r="B997" s="138" t="s">
        <v>454</v>
      </c>
      <c r="C997" s="138" t="s">
        <v>383</v>
      </c>
      <c r="D997" s="18">
        <v>2870567.11</v>
      </c>
      <c r="E997" s="92">
        <v>0.98144671829999997</v>
      </c>
      <c r="F997" s="18">
        <v>2817308.67</v>
      </c>
      <c r="G997" s="15">
        <v>0</v>
      </c>
      <c r="H997" s="13"/>
      <c r="I997" s="13"/>
    </row>
    <row r="998" spans="1:9">
      <c r="A998" s="13" t="s">
        <v>1648</v>
      </c>
      <c r="B998" s="138" t="s">
        <v>483</v>
      </c>
      <c r="C998" s="138" t="s">
        <v>383</v>
      </c>
      <c r="D998" s="18">
        <v>2870567.11</v>
      </c>
      <c r="E998" s="92">
        <v>0.97829009469999995</v>
      </c>
      <c r="F998" s="18">
        <v>2808247.37</v>
      </c>
      <c r="G998" s="15">
        <v>0</v>
      </c>
      <c r="H998" s="13"/>
      <c r="I998" s="13"/>
    </row>
    <row r="999" spans="1:9">
      <c r="A999" s="13" t="s">
        <v>1649</v>
      </c>
      <c r="B999" s="138" t="s">
        <v>920</v>
      </c>
      <c r="C999" s="138" t="s">
        <v>383</v>
      </c>
      <c r="D999" s="18">
        <v>2870567.11</v>
      </c>
      <c r="E999" s="92">
        <v>0.97593594319999999</v>
      </c>
      <c r="F999" s="18">
        <v>2801489.62</v>
      </c>
      <c r="G999" s="15">
        <v>0</v>
      </c>
      <c r="H999" s="13"/>
      <c r="I999" s="13"/>
    </row>
    <row r="1000" spans="1:9">
      <c r="A1000" s="13" t="s">
        <v>1650</v>
      </c>
      <c r="B1000" s="138" t="s">
        <v>930</v>
      </c>
      <c r="C1000" s="138" t="s">
        <v>383</v>
      </c>
      <c r="D1000" s="18">
        <v>2870567.11</v>
      </c>
      <c r="E1000" s="92">
        <v>0.97281461179999995</v>
      </c>
      <c r="F1000" s="18">
        <v>2792529.63</v>
      </c>
      <c r="G1000" s="15">
        <v>0</v>
      </c>
      <c r="H1000" s="13"/>
      <c r="I1000" s="13"/>
    </row>
    <row r="1001" spans="1:9">
      <c r="A1001" s="13" t="s">
        <v>1651</v>
      </c>
      <c r="B1001" s="138" t="s">
        <v>577</v>
      </c>
      <c r="C1001" s="138" t="s">
        <v>383</v>
      </c>
      <c r="D1001" s="18">
        <v>2870567.11</v>
      </c>
      <c r="E1001" s="92">
        <v>0.9712613511</v>
      </c>
      <c r="F1001" s="18">
        <v>2788070.89</v>
      </c>
      <c r="G1001" s="15">
        <v>0</v>
      </c>
      <c r="H1001" s="13"/>
      <c r="I1001" s="13"/>
    </row>
    <row r="1002" spans="1:9">
      <c r="A1002" s="13" t="s">
        <v>1652</v>
      </c>
      <c r="B1002" s="138" t="s">
        <v>172</v>
      </c>
      <c r="C1002" s="138" t="s">
        <v>383</v>
      </c>
      <c r="D1002" s="18">
        <v>1768326.86</v>
      </c>
      <c r="E1002" s="92">
        <v>0.99427950210000005</v>
      </c>
      <c r="F1002" s="18">
        <v>1758211.15</v>
      </c>
      <c r="G1002" s="15">
        <v>0</v>
      </c>
      <c r="H1002" s="13"/>
      <c r="I1002" s="13"/>
    </row>
    <row r="1003" spans="1:9">
      <c r="A1003" s="13" t="s">
        <v>1653</v>
      </c>
      <c r="B1003" s="138" t="s">
        <v>480</v>
      </c>
      <c r="C1003" s="138" t="s">
        <v>383</v>
      </c>
      <c r="D1003" s="15">
        <v>830000</v>
      </c>
      <c r="E1003" s="92">
        <v>0.99917877109999997</v>
      </c>
      <c r="F1003" s="18">
        <v>829318.38</v>
      </c>
      <c r="G1003" s="15">
        <v>0</v>
      </c>
      <c r="H1003" s="13"/>
      <c r="I1003" s="13"/>
    </row>
    <row r="1004" spans="1:9">
      <c r="A1004" s="13" t="s">
        <v>1654</v>
      </c>
      <c r="B1004" s="138" t="s">
        <v>475</v>
      </c>
      <c r="C1004" s="138" t="s">
        <v>383</v>
      </c>
      <c r="D1004" s="15">
        <v>1579236</v>
      </c>
      <c r="E1004" s="92">
        <v>0.98862407519999995</v>
      </c>
      <c r="F1004" s="18">
        <v>1561270.73</v>
      </c>
      <c r="G1004" s="15">
        <v>0</v>
      </c>
      <c r="H1004" s="13"/>
      <c r="I1004" s="13"/>
    </row>
    <row r="1005" spans="1:9">
      <c r="A1005" s="13" t="s">
        <v>1655</v>
      </c>
      <c r="B1005" s="138" t="s">
        <v>622</v>
      </c>
      <c r="C1005" s="138" t="s">
        <v>383</v>
      </c>
      <c r="D1005" s="15">
        <v>1579236</v>
      </c>
      <c r="E1005" s="153">
        <v>0.98782137699999994</v>
      </c>
      <c r="F1005" s="18">
        <v>1560003.08</v>
      </c>
      <c r="G1005" s="15">
        <v>0</v>
      </c>
      <c r="H1005" s="13"/>
      <c r="I1005" s="13"/>
    </row>
    <row r="1006" spans="1:9">
      <c r="A1006" s="13" t="s">
        <v>1656</v>
      </c>
      <c r="B1006" s="138" t="s">
        <v>622</v>
      </c>
      <c r="C1006" s="138" t="s">
        <v>383</v>
      </c>
      <c r="D1006" s="15">
        <v>1579236</v>
      </c>
      <c r="E1006" s="153">
        <v>0.98782137699999994</v>
      </c>
      <c r="F1006" s="18">
        <v>1560003.08</v>
      </c>
      <c r="G1006" s="15">
        <v>0</v>
      </c>
      <c r="H1006" s="13"/>
      <c r="I1006" s="13"/>
    </row>
    <row r="1007" spans="1:9">
      <c r="A1007" s="13" t="s">
        <v>1657</v>
      </c>
      <c r="B1007" s="138" t="s">
        <v>622</v>
      </c>
      <c r="C1007" s="138" t="s">
        <v>383</v>
      </c>
      <c r="D1007" s="15">
        <v>1579236</v>
      </c>
      <c r="E1007" s="153">
        <v>0.98782137699999994</v>
      </c>
      <c r="F1007" s="18">
        <v>1560003.08</v>
      </c>
      <c r="G1007" s="15">
        <v>0</v>
      </c>
      <c r="H1007" s="13"/>
      <c r="I1007" s="13"/>
    </row>
    <row r="1008" spans="1:9">
      <c r="A1008" s="13" t="s">
        <v>1658</v>
      </c>
      <c r="B1008" s="138" t="s">
        <v>444</v>
      </c>
      <c r="C1008" s="138" t="s">
        <v>383</v>
      </c>
      <c r="D1008" s="15">
        <v>1579236</v>
      </c>
      <c r="E1008" s="92">
        <v>0.99184785549999999</v>
      </c>
      <c r="F1008" s="18">
        <v>1566361.84</v>
      </c>
      <c r="G1008" s="15">
        <v>0</v>
      </c>
      <c r="H1008" s="13"/>
      <c r="I1008" s="13"/>
    </row>
    <row r="1009" spans="1:9">
      <c r="A1009" s="13" t="s">
        <v>1659</v>
      </c>
      <c r="B1009" s="138" t="s">
        <v>533</v>
      </c>
      <c r="C1009" s="138" t="s">
        <v>383</v>
      </c>
      <c r="D1009" s="15">
        <v>1579236</v>
      </c>
      <c r="E1009" s="92">
        <v>0.98702008429999999</v>
      </c>
      <c r="F1009" s="18">
        <v>1558737.65</v>
      </c>
      <c r="G1009" s="15">
        <v>0</v>
      </c>
      <c r="H1009" s="13"/>
      <c r="I1009" s="13"/>
    </row>
    <row r="1010" spans="1:9">
      <c r="A1010" s="13" t="s">
        <v>1660</v>
      </c>
      <c r="B1010" s="138" t="s">
        <v>647</v>
      </c>
      <c r="C1010" s="138" t="s">
        <v>383</v>
      </c>
      <c r="D1010" s="15">
        <v>1579236</v>
      </c>
      <c r="E1010" s="92">
        <v>0.98621998860000004</v>
      </c>
      <c r="F1010" s="18">
        <v>1557474.11</v>
      </c>
      <c r="G1010" s="15">
        <v>0</v>
      </c>
      <c r="H1010" s="13"/>
      <c r="I1010" s="13"/>
    </row>
    <row r="1011" spans="1:9">
      <c r="A1011" s="13" t="s">
        <v>1661</v>
      </c>
      <c r="B1011" s="138" t="s">
        <v>546</v>
      </c>
      <c r="C1011" s="138" t="s">
        <v>383</v>
      </c>
      <c r="D1011" s="15">
        <v>1579236</v>
      </c>
      <c r="E1011" s="92">
        <v>0.98382756589999998</v>
      </c>
      <c r="F1011" s="18">
        <v>1553695.91</v>
      </c>
      <c r="G1011" s="15">
        <v>0</v>
      </c>
      <c r="H1011" s="13"/>
      <c r="I1011" s="13"/>
    </row>
    <row r="1012" spans="1:9">
      <c r="A1012" s="13" t="s">
        <v>1662</v>
      </c>
      <c r="B1012" s="138" t="s">
        <v>456</v>
      </c>
      <c r="C1012" s="138" t="s">
        <v>383</v>
      </c>
      <c r="D1012" s="18">
        <v>1579238.43</v>
      </c>
      <c r="E1012" s="92">
        <v>0.98303263819999998</v>
      </c>
      <c r="F1012" s="18">
        <v>1552442.92</v>
      </c>
      <c r="G1012" s="15">
        <v>0</v>
      </c>
      <c r="H1012" s="13"/>
      <c r="I1012" s="13"/>
    </row>
    <row r="1013" spans="1:9">
      <c r="A1013" s="13" t="s">
        <v>1663</v>
      </c>
      <c r="B1013" s="138" t="s">
        <v>645</v>
      </c>
      <c r="C1013" s="138" t="s">
        <v>383</v>
      </c>
      <c r="D1013" s="15">
        <v>1579236</v>
      </c>
      <c r="E1013" s="92">
        <v>0.98942807769999996</v>
      </c>
      <c r="F1013" s="18">
        <v>1562540.44</v>
      </c>
      <c r="G1013" s="15">
        <v>0</v>
      </c>
      <c r="H1013" s="13"/>
      <c r="I1013" s="13"/>
    </row>
    <row r="1014" spans="1:9">
      <c r="A1014" s="13" t="s">
        <v>1664</v>
      </c>
      <c r="B1014" s="138" t="s">
        <v>475</v>
      </c>
      <c r="C1014" s="138" t="s">
        <v>383</v>
      </c>
      <c r="D1014" s="18">
        <v>8778036.6500000004</v>
      </c>
      <c r="E1014" s="92">
        <v>0.99163227229999995</v>
      </c>
      <c r="F1014" s="18">
        <v>8704584.4299999997</v>
      </c>
      <c r="G1014" s="18">
        <v>0.01</v>
      </c>
      <c r="H1014" s="13"/>
      <c r="I1014" s="13"/>
    </row>
    <row r="1015" spans="1:9">
      <c r="A1015" s="13" t="s">
        <v>1665</v>
      </c>
      <c r="B1015" s="138" t="s">
        <v>475</v>
      </c>
      <c r="C1015" s="138" t="s">
        <v>383</v>
      </c>
      <c r="D1015" s="18">
        <v>65327733.979999997</v>
      </c>
      <c r="E1015" s="153">
        <v>0.99163227200000004</v>
      </c>
      <c r="F1015" s="18">
        <v>64781089.270000003</v>
      </c>
      <c r="G1015" s="18">
        <v>0.11</v>
      </c>
      <c r="H1015" s="13"/>
      <c r="I1015" s="13"/>
    </row>
    <row r="1016" spans="1:9">
      <c r="A1016" s="13" t="s">
        <v>1666</v>
      </c>
      <c r="B1016" s="138" t="s">
        <v>415</v>
      </c>
      <c r="C1016" s="138" t="s">
        <v>383</v>
      </c>
      <c r="D1016" s="15">
        <v>750000000</v>
      </c>
      <c r="E1016" s="92">
        <v>0.99174009249999995</v>
      </c>
      <c r="F1016" s="18">
        <v>743805069.38</v>
      </c>
      <c r="G1016" s="18">
        <v>1.22</v>
      </c>
      <c r="H1016" s="13"/>
      <c r="I1016" s="13"/>
    </row>
    <row r="1017" spans="1:9">
      <c r="A1017" s="13" t="s">
        <v>1667</v>
      </c>
      <c r="B1017" s="138" t="s">
        <v>555</v>
      </c>
      <c r="C1017" s="138" t="s">
        <v>383</v>
      </c>
      <c r="D1017" s="15">
        <v>125000000</v>
      </c>
      <c r="E1017" s="92">
        <v>0.9509914706</v>
      </c>
      <c r="F1017" s="18">
        <v>118873933.83</v>
      </c>
      <c r="G1017" s="18">
        <v>0.19</v>
      </c>
      <c r="H1017" s="13"/>
      <c r="I1017" s="13"/>
    </row>
    <row r="1018" spans="1:9">
      <c r="A1018" s="13" t="s">
        <v>1670</v>
      </c>
      <c r="B1018" s="138" t="s">
        <v>499</v>
      </c>
      <c r="C1018" s="138" t="s">
        <v>161</v>
      </c>
      <c r="D1018" s="15">
        <v>10000000</v>
      </c>
      <c r="E1018" s="92">
        <v>0.96693866709999998</v>
      </c>
      <c r="F1018" s="18">
        <v>9669386.6699999999</v>
      </c>
      <c r="G1018" s="18">
        <v>0.02</v>
      </c>
      <c r="H1018" s="13"/>
      <c r="I1018" s="13"/>
    </row>
    <row r="1019" spans="1:9">
      <c r="A1019" s="13" t="s">
        <v>1671</v>
      </c>
      <c r="B1019" s="138" t="s">
        <v>549</v>
      </c>
      <c r="C1019" s="138" t="s">
        <v>161</v>
      </c>
      <c r="D1019" s="15">
        <v>5000000</v>
      </c>
      <c r="E1019" s="92">
        <v>0.96755387339999999</v>
      </c>
      <c r="F1019" s="18">
        <v>4837769.37</v>
      </c>
      <c r="G1019" s="18">
        <v>0.01</v>
      </c>
      <c r="H1019" s="13"/>
      <c r="I1019" s="13"/>
    </row>
    <row r="1020" spans="1:9">
      <c r="A1020" s="13" t="s">
        <v>1672</v>
      </c>
      <c r="B1020" s="138" t="s">
        <v>541</v>
      </c>
      <c r="C1020" s="138" t="s">
        <v>161</v>
      </c>
      <c r="D1020" s="15">
        <v>5000000</v>
      </c>
      <c r="E1020" s="92">
        <v>0.9731258465</v>
      </c>
      <c r="F1020" s="18">
        <v>4865629.2300000004</v>
      </c>
      <c r="G1020" s="18">
        <v>0.01</v>
      </c>
      <c r="H1020" s="13"/>
      <c r="I1020" s="13"/>
    </row>
    <row r="1021" spans="1:9">
      <c r="A1021" s="13" t="s">
        <v>1673</v>
      </c>
      <c r="B1021" s="138" t="s">
        <v>489</v>
      </c>
      <c r="C1021" s="138" t="s">
        <v>161</v>
      </c>
      <c r="D1021" s="15">
        <v>5000000</v>
      </c>
      <c r="E1021" s="153">
        <v>0.97188203399999995</v>
      </c>
      <c r="F1021" s="18">
        <v>4859410.17</v>
      </c>
      <c r="G1021" s="18">
        <v>0.01</v>
      </c>
      <c r="H1021" s="13"/>
      <c r="I1021" s="13"/>
    </row>
    <row r="1022" spans="1:9">
      <c r="A1022" s="13" t="s">
        <v>1674</v>
      </c>
      <c r="B1022" s="138" t="s">
        <v>544</v>
      </c>
      <c r="C1022" s="138" t="s">
        <v>161</v>
      </c>
      <c r="D1022" s="15">
        <v>5000000</v>
      </c>
      <c r="E1022" s="92">
        <v>0.96816985629999996</v>
      </c>
      <c r="F1022" s="18">
        <v>4840849.28</v>
      </c>
      <c r="G1022" s="18">
        <v>0.01</v>
      </c>
      <c r="H1022" s="13"/>
      <c r="I1022" s="13"/>
    </row>
    <row r="1023" spans="1:9">
      <c r="A1023" s="13" t="s">
        <v>1675</v>
      </c>
      <c r="B1023" s="138" t="s">
        <v>603</v>
      </c>
      <c r="C1023" s="138" t="s">
        <v>161</v>
      </c>
      <c r="D1023" s="15">
        <v>25000000</v>
      </c>
      <c r="E1023" s="92">
        <v>0.9800237275</v>
      </c>
      <c r="F1023" s="18">
        <v>24500593.190000001</v>
      </c>
      <c r="G1023" s="18">
        <v>0.04</v>
      </c>
      <c r="H1023" s="13"/>
      <c r="I1023" s="13"/>
    </row>
    <row r="1024" spans="1:9">
      <c r="A1024" s="13" t="s">
        <v>1676</v>
      </c>
      <c r="B1024" s="138" t="s">
        <v>444</v>
      </c>
      <c r="C1024" s="138" t="s">
        <v>161</v>
      </c>
      <c r="D1024" s="15">
        <v>3750000</v>
      </c>
      <c r="E1024" s="92">
        <v>0.99373812260000005</v>
      </c>
      <c r="F1024" s="18">
        <v>3726517.96</v>
      </c>
      <c r="G1024" s="18">
        <v>0.01</v>
      </c>
      <c r="H1024" s="13"/>
      <c r="I1024" s="13"/>
    </row>
    <row r="1025" spans="1:9">
      <c r="A1025" s="13" t="s">
        <v>1677</v>
      </c>
      <c r="B1025" s="138" t="s">
        <v>553</v>
      </c>
      <c r="C1025" s="138" t="s">
        <v>161</v>
      </c>
      <c r="D1025" s="15">
        <v>50000000</v>
      </c>
      <c r="E1025" s="92">
        <v>0.95320172569999995</v>
      </c>
      <c r="F1025" s="18">
        <v>47660086.289999999</v>
      </c>
      <c r="G1025" s="18">
        <v>0.08</v>
      </c>
      <c r="H1025" s="13"/>
      <c r="I1025" s="13"/>
    </row>
    <row r="1026" spans="1:9">
      <c r="A1026" s="13" t="s">
        <v>1678</v>
      </c>
      <c r="B1026" s="138" t="s">
        <v>555</v>
      </c>
      <c r="C1026" s="138" t="s">
        <v>161</v>
      </c>
      <c r="D1026" s="15">
        <v>50000000</v>
      </c>
      <c r="E1026" s="92">
        <v>0.95240594619999996</v>
      </c>
      <c r="F1026" s="18">
        <v>47620297.310000002</v>
      </c>
      <c r="G1026" s="18">
        <v>0.08</v>
      </c>
      <c r="H1026" s="13"/>
      <c r="I1026" s="13"/>
    </row>
    <row r="1027" spans="1:9">
      <c r="A1027" s="13" t="s">
        <v>1679</v>
      </c>
      <c r="B1027" s="138" t="s">
        <v>555</v>
      </c>
      <c r="C1027" s="138" t="s">
        <v>161</v>
      </c>
      <c r="D1027" s="15">
        <v>100000000</v>
      </c>
      <c r="E1027" s="92">
        <v>0.95240594619999996</v>
      </c>
      <c r="F1027" s="18">
        <v>95240594.620000005</v>
      </c>
      <c r="G1027" s="18">
        <v>0.16</v>
      </c>
      <c r="H1027" s="13"/>
      <c r="I1027" s="13"/>
    </row>
    <row r="1028" spans="1:9">
      <c r="A1028" s="13" t="s">
        <v>1680</v>
      </c>
      <c r="B1028" s="138" t="s">
        <v>589</v>
      </c>
      <c r="C1028" s="138" t="s">
        <v>161</v>
      </c>
      <c r="D1028" s="15">
        <v>20000000</v>
      </c>
      <c r="E1028" s="92">
        <v>0.94388423269999999</v>
      </c>
      <c r="F1028" s="18">
        <v>18877684.649999999</v>
      </c>
      <c r="G1028" s="18">
        <v>0.03</v>
      </c>
      <c r="H1028" s="13"/>
      <c r="I1028" s="13"/>
    </row>
    <row r="1029" spans="1:9">
      <c r="A1029" s="13" t="s">
        <v>1681</v>
      </c>
      <c r="B1029" s="138" t="s">
        <v>487</v>
      </c>
      <c r="C1029" s="138" t="s">
        <v>161</v>
      </c>
      <c r="D1029" s="15">
        <v>700000000</v>
      </c>
      <c r="E1029" s="92">
        <v>0.99460464719999997</v>
      </c>
      <c r="F1029" s="18">
        <v>696223253.03999996</v>
      </c>
      <c r="G1029" s="18">
        <v>1.1399999999999999</v>
      </c>
      <c r="H1029" s="13"/>
      <c r="I1029" s="13"/>
    </row>
    <row r="1030" spans="1:9">
      <c r="A1030" s="13" t="s">
        <v>1683</v>
      </c>
      <c r="B1030" s="138" t="s">
        <v>730</v>
      </c>
      <c r="C1030" s="138" t="s">
        <v>161</v>
      </c>
      <c r="D1030" s="18">
        <v>15040535.109999999</v>
      </c>
      <c r="E1030" s="92">
        <v>0.92785618950000004</v>
      </c>
      <c r="F1030" s="150">
        <v>13955453.6</v>
      </c>
      <c r="G1030" s="18">
        <v>0.02</v>
      </c>
      <c r="H1030" s="13"/>
      <c r="I1030" s="13"/>
    </row>
    <row r="1031" spans="1:9">
      <c r="A1031" s="13" t="s">
        <v>1684</v>
      </c>
      <c r="B1031" s="138" t="s">
        <v>573</v>
      </c>
      <c r="C1031" s="138" t="s">
        <v>161</v>
      </c>
      <c r="D1031" s="18">
        <v>15040535.109999999</v>
      </c>
      <c r="E1031" s="92">
        <v>0.92320926790000002</v>
      </c>
      <c r="F1031" s="18">
        <v>13885561.41</v>
      </c>
      <c r="G1031" s="18">
        <v>0.02</v>
      </c>
      <c r="H1031" s="13"/>
      <c r="I1031" s="13"/>
    </row>
    <row r="1032" spans="1:9">
      <c r="A1032" s="13" t="s">
        <v>1685</v>
      </c>
      <c r="B1032" s="138" t="s">
        <v>884</v>
      </c>
      <c r="C1032" s="138" t="s">
        <v>161</v>
      </c>
      <c r="D1032" s="15">
        <v>300000000</v>
      </c>
      <c r="E1032" s="92">
        <v>0.92243947410000005</v>
      </c>
      <c r="F1032" s="18">
        <v>276731842.23000002</v>
      </c>
      <c r="G1032" s="18">
        <v>0.45</v>
      </c>
      <c r="H1032" s="13"/>
      <c r="I1032" s="13"/>
    </row>
    <row r="1033" spans="1:9">
      <c r="A1033" s="13" t="s">
        <v>1686</v>
      </c>
      <c r="B1033" s="138" t="s">
        <v>1391</v>
      </c>
      <c r="C1033" s="138" t="s">
        <v>161</v>
      </c>
      <c r="D1033" s="15">
        <v>85000000</v>
      </c>
      <c r="E1033" s="153">
        <v>0.93570561299999999</v>
      </c>
      <c r="F1033" s="18">
        <v>79534977.109999999</v>
      </c>
      <c r="G1033" s="18">
        <v>0.13</v>
      </c>
      <c r="H1033" s="13"/>
      <c r="I1033" s="13"/>
    </row>
    <row r="1034" spans="1:9">
      <c r="A1034" s="13" t="s">
        <v>1687</v>
      </c>
      <c r="B1034" s="138" t="s">
        <v>581</v>
      </c>
      <c r="C1034" s="138" t="s">
        <v>161</v>
      </c>
      <c r="D1034" s="15">
        <v>85000000</v>
      </c>
      <c r="E1034" s="92">
        <v>0.96090563429999998</v>
      </c>
      <c r="F1034" s="18">
        <v>81676978.920000002</v>
      </c>
      <c r="G1034" s="18">
        <v>0.13</v>
      </c>
      <c r="H1034" s="13"/>
      <c r="I1034" s="13"/>
    </row>
    <row r="1035" spans="1:9">
      <c r="A1035" s="13" t="s">
        <v>1688</v>
      </c>
      <c r="B1035" s="138" t="s">
        <v>541</v>
      </c>
      <c r="C1035" s="138" t="s">
        <v>161</v>
      </c>
      <c r="D1035" s="15">
        <v>5000000</v>
      </c>
      <c r="E1035" s="92">
        <v>0.96341672040000004</v>
      </c>
      <c r="F1035" s="150">
        <v>4817083.5999999996</v>
      </c>
      <c r="G1035" s="18">
        <v>0.01</v>
      </c>
      <c r="H1035" s="13"/>
      <c r="I1035" s="13"/>
    </row>
    <row r="1036" spans="1:9">
      <c r="A1036" s="13" t="s">
        <v>1689</v>
      </c>
      <c r="B1036" s="138" t="s">
        <v>489</v>
      </c>
      <c r="C1036" s="138" t="s">
        <v>161</v>
      </c>
      <c r="D1036" s="15">
        <v>5000000</v>
      </c>
      <c r="E1036" s="92">
        <v>0.9617412058</v>
      </c>
      <c r="F1036" s="18">
        <v>4808706.03</v>
      </c>
      <c r="G1036" s="18">
        <v>0.01</v>
      </c>
      <c r="H1036" s="13"/>
      <c r="I1036" s="13"/>
    </row>
    <row r="1037" spans="1:9">
      <c r="A1037" s="13" t="s">
        <v>1690</v>
      </c>
      <c r="B1037" s="138" t="s">
        <v>533</v>
      </c>
      <c r="C1037" s="138" t="s">
        <v>161</v>
      </c>
      <c r="D1037" s="15">
        <v>5000000</v>
      </c>
      <c r="E1037" s="92">
        <v>0.98574051979999999</v>
      </c>
      <c r="F1037" s="150">
        <v>4928702.5999999996</v>
      </c>
      <c r="G1037" s="18">
        <v>0.01</v>
      </c>
      <c r="H1037" s="13"/>
      <c r="I1037" s="13"/>
    </row>
    <row r="1038" spans="1:9">
      <c r="A1038" s="13" t="s">
        <v>1691</v>
      </c>
      <c r="B1038" s="138" t="s">
        <v>546</v>
      </c>
      <c r="C1038" s="138" t="s">
        <v>161</v>
      </c>
      <c r="D1038" s="15">
        <v>5000000</v>
      </c>
      <c r="E1038" s="92">
        <v>0.98223907389999998</v>
      </c>
      <c r="F1038" s="18">
        <v>4911195.37</v>
      </c>
      <c r="G1038" s="18">
        <v>0.01</v>
      </c>
      <c r="H1038" s="13"/>
      <c r="I1038" s="13"/>
    </row>
    <row r="1039" spans="1:9">
      <c r="A1039" s="13" t="s">
        <v>1692</v>
      </c>
      <c r="B1039" s="138" t="s">
        <v>450</v>
      </c>
      <c r="C1039" s="138" t="s">
        <v>161</v>
      </c>
      <c r="D1039" s="15">
        <v>5000000</v>
      </c>
      <c r="E1039" s="92">
        <v>0.98049754980000003</v>
      </c>
      <c r="F1039" s="18">
        <v>4902487.75</v>
      </c>
      <c r="G1039" s="18">
        <v>0.01</v>
      </c>
      <c r="H1039" s="13"/>
      <c r="I1039" s="13"/>
    </row>
    <row r="1040" spans="1:9">
      <c r="A1040" s="13" t="s">
        <v>1693</v>
      </c>
      <c r="B1040" s="138" t="s">
        <v>551</v>
      </c>
      <c r="C1040" s="138" t="s">
        <v>161</v>
      </c>
      <c r="D1040" s="15">
        <v>5000000</v>
      </c>
      <c r="E1040" s="28">
        <v>0.97876231000000002</v>
      </c>
      <c r="F1040" s="18">
        <v>4893811.55</v>
      </c>
      <c r="G1040" s="18">
        <v>0.01</v>
      </c>
      <c r="H1040" s="13"/>
      <c r="I1040" s="13"/>
    </row>
    <row r="1041" spans="1:9">
      <c r="A1041" s="13" t="s">
        <v>1694</v>
      </c>
      <c r="B1041" s="138" t="s">
        <v>607</v>
      </c>
      <c r="C1041" s="138" t="s">
        <v>161</v>
      </c>
      <c r="D1041" s="15">
        <v>5000000</v>
      </c>
      <c r="E1041" s="92">
        <v>0.97531006590000002</v>
      </c>
      <c r="F1041" s="18">
        <v>4876550.33</v>
      </c>
      <c r="G1041" s="18">
        <v>0.01</v>
      </c>
      <c r="H1041" s="13"/>
      <c r="I1041" s="13"/>
    </row>
    <row r="1042" spans="1:9">
      <c r="A1042" s="13" t="s">
        <v>1695</v>
      </c>
      <c r="B1042" s="138" t="s">
        <v>920</v>
      </c>
      <c r="C1042" s="138" t="s">
        <v>161</v>
      </c>
      <c r="D1042" s="15">
        <v>5000000</v>
      </c>
      <c r="E1042" s="92">
        <v>0.97359298620000001</v>
      </c>
      <c r="F1042" s="18">
        <v>4867964.93</v>
      </c>
      <c r="G1042" s="18">
        <v>0.01</v>
      </c>
      <c r="H1042" s="13"/>
      <c r="I1042" s="13"/>
    </row>
    <row r="1043" spans="1:9">
      <c r="A1043" s="13" t="s">
        <v>1696</v>
      </c>
      <c r="B1043" s="138" t="s">
        <v>930</v>
      </c>
      <c r="C1043" s="138" t="s">
        <v>161</v>
      </c>
      <c r="D1043" s="15">
        <v>5000000</v>
      </c>
      <c r="E1043" s="92">
        <v>0.97017704159999996</v>
      </c>
      <c r="F1043" s="18">
        <v>4850885.21</v>
      </c>
      <c r="G1043" s="18">
        <v>0.01</v>
      </c>
      <c r="H1043" s="13"/>
      <c r="I1043" s="13"/>
    </row>
    <row r="1044" spans="1:9">
      <c r="A1044" s="13" t="s">
        <v>1697</v>
      </c>
      <c r="B1044" s="138" t="s">
        <v>577</v>
      </c>
      <c r="C1044" s="138" t="s">
        <v>161</v>
      </c>
      <c r="D1044" s="15">
        <v>5000000</v>
      </c>
      <c r="E1044" s="92">
        <v>0.96847811429999997</v>
      </c>
      <c r="F1044" s="18">
        <v>4842390.57</v>
      </c>
      <c r="G1044" s="18">
        <v>0.01</v>
      </c>
      <c r="H1044" s="13"/>
      <c r="I1044" s="13"/>
    </row>
    <row r="1045" spans="1:9">
      <c r="A1045" s="13" t="s">
        <v>1698</v>
      </c>
      <c r="B1045" s="138" t="s">
        <v>531</v>
      </c>
      <c r="C1045" s="138" t="s">
        <v>161</v>
      </c>
      <c r="D1045" s="15">
        <v>5000000</v>
      </c>
      <c r="E1045" s="92">
        <v>0.96678497640000005</v>
      </c>
      <c r="F1045" s="18">
        <v>4833924.88</v>
      </c>
      <c r="G1045" s="18">
        <v>0.01</v>
      </c>
      <c r="H1045" s="13"/>
      <c r="I1045" s="13"/>
    </row>
    <row r="1046" spans="1:9">
      <c r="A1046" s="13" t="s">
        <v>1703</v>
      </c>
      <c r="B1046" s="138" t="s">
        <v>444</v>
      </c>
      <c r="C1046" s="138" t="s">
        <v>387</v>
      </c>
      <c r="D1046" s="15">
        <v>17883558</v>
      </c>
      <c r="E1046" s="92">
        <v>0.99184788940000002</v>
      </c>
      <c r="F1046" s="18">
        <v>17737769.260000002</v>
      </c>
      <c r="G1046" s="18">
        <v>0.03</v>
      </c>
      <c r="H1046" s="13"/>
      <c r="I1046" s="13"/>
    </row>
    <row r="1047" spans="1:9">
      <c r="A1047" s="13" t="s">
        <v>1704</v>
      </c>
      <c r="B1047" s="138" t="s">
        <v>546</v>
      </c>
      <c r="C1047" s="138" t="s">
        <v>387</v>
      </c>
      <c r="D1047" s="15">
        <v>14427072</v>
      </c>
      <c r="E1047" s="92">
        <v>0.98382751550000003</v>
      </c>
      <c r="F1047" s="150">
        <v>14193750.4</v>
      </c>
      <c r="G1047" s="18">
        <v>0.02</v>
      </c>
      <c r="H1047" s="13"/>
      <c r="I1047" s="13"/>
    </row>
    <row r="1048" spans="1:9">
      <c r="A1048" s="13" t="s">
        <v>1705</v>
      </c>
      <c r="B1048" s="138" t="s">
        <v>454</v>
      </c>
      <c r="C1048" s="138" t="s">
        <v>387</v>
      </c>
      <c r="D1048" s="15">
        <v>20498755</v>
      </c>
      <c r="E1048" s="92">
        <v>0.9814466704</v>
      </c>
      <c r="F1048" s="18">
        <v>20118434.84</v>
      </c>
      <c r="G1048" s="18">
        <v>0.03</v>
      </c>
      <c r="H1048" s="13"/>
      <c r="I1048" s="13"/>
    </row>
    <row r="1049" spans="1:9">
      <c r="A1049" s="13" t="s">
        <v>1707</v>
      </c>
      <c r="B1049" s="138" t="s">
        <v>531</v>
      </c>
      <c r="C1049" s="138" t="s">
        <v>387</v>
      </c>
      <c r="D1049" s="15">
        <v>6500000</v>
      </c>
      <c r="E1049" s="153">
        <v>0.96484276300000005</v>
      </c>
      <c r="F1049" s="18">
        <v>6271477.96</v>
      </c>
      <c r="G1049" s="18">
        <v>0.01</v>
      </c>
      <c r="H1049" s="13"/>
      <c r="I1049" s="13"/>
    </row>
    <row r="1050" spans="1:9">
      <c r="A1050" s="13" t="s">
        <v>1708</v>
      </c>
      <c r="B1050" s="138" t="s">
        <v>587</v>
      </c>
      <c r="C1050" s="138" t="s">
        <v>387</v>
      </c>
      <c r="D1050" s="15">
        <v>10000000</v>
      </c>
      <c r="E1050" s="92">
        <v>0.94790432290000004</v>
      </c>
      <c r="F1050" s="18">
        <v>9479043.2300000004</v>
      </c>
      <c r="G1050" s="18">
        <v>0.02</v>
      </c>
      <c r="H1050" s="13"/>
      <c r="I1050" s="13"/>
    </row>
    <row r="1051" spans="1:9">
      <c r="A1051" s="13" t="s">
        <v>1709</v>
      </c>
      <c r="B1051" s="138" t="s">
        <v>527</v>
      </c>
      <c r="C1051" s="138" t="s">
        <v>387</v>
      </c>
      <c r="D1051" s="18">
        <v>9833333.3300000001</v>
      </c>
      <c r="E1051" s="92">
        <v>0.97520583110000003</v>
      </c>
      <c r="F1051" s="15">
        <v>9589524</v>
      </c>
      <c r="G1051" s="18">
        <v>0.02</v>
      </c>
      <c r="H1051" s="13"/>
      <c r="I1051" s="13"/>
    </row>
    <row r="1052" spans="1:9">
      <c r="A1052" s="13" t="s">
        <v>1710</v>
      </c>
      <c r="B1052" s="138" t="s">
        <v>920</v>
      </c>
      <c r="C1052" s="138" t="s">
        <v>387</v>
      </c>
      <c r="D1052" s="15">
        <v>6501880</v>
      </c>
      <c r="E1052" s="92">
        <v>0.97437272740000003</v>
      </c>
      <c r="F1052" s="18">
        <v>6335254.5499999998</v>
      </c>
      <c r="G1052" s="18">
        <v>0.01</v>
      </c>
      <c r="H1052" s="13"/>
      <c r="I1052" s="13"/>
    </row>
    <row r="1053" spans="1:9">
      <c r="A1053" s="13" t="s">
        <v>1711</v>
      </c>
      <c r="B1053" s="138" t="s">
        <v>712</v>
      </c>
      <c r="C1053" s="138" t="s">
        <v>387</v>
      </c>
      <c r="D1053" s="15">
        <v>40000000</v>
      </c>
      <c r="E1053" s="92">
        <v>0.94062486290000002</v>
      </c>
      <c r="F1053" s="18">
        <v>37624994.520000003</v>
      </c>
      <c r="G1053" s="18">
        <v>0.06</v>
      </c>
      <c r="H1053" s="13"/>
      <c r="I1053" s="13"/>
    </row>
    <row r="1054" spans="1:9">
      <c r="A1054" s="13" t="s">
        <v>1712</v>
      </c>
      <c r="B1054" s="138" t="s">
        <v>1391</v>
      </c>
      <c r="C1054" s="138" t="s">
        <v>387</v>
      </c>
      <c r="D1054" s="15">
        <v>40000000</v>
      </c>
      <c r="E1054" s="92">
        <v>0.93753227559999996</v>
      </c>
      <c r="F1054" s="18">
        <v>37501291.020000003</v>
      </c>
      <c r="G1054" s="18">
        <v>0.06</v>
      </c>
      <c r="H1054" s="13"/>
      <c r="I1054" s="13"/>
    </row>
    <row r="1055" spans="1:9">
      <c r="A1055" s="13" t="s">
        <v>1713</v>
      </c>
      <c r="B1055" s="138" t="s">
        <v>740</v>
      </c>
      <c r="C1055" s="138" t="s">
        <v>387</v>
      </c>
      <c r="D1055" s="15">
        <v>40000000</v>
      </c>
      <c r="E1055" s="92">
        <v>0.93676225420000003</v>
      </c>
      <c r="F1055" s="18">
        <v>37470490.170000002</v>
      </c>
      <c r="G1055" s="18">
        <v>0.06</v>
      </c>
      <c r="H1055" s="13"/>
      <c r="I1055" s="13"/>
    </row>
    <row r="1056" spans="1:9">
      <c r="A1056" s="13" t="s">
        <v>1714</v>
      </c>
      <c r="B1056" s="138" t="s">
        <v>1081</v>
      </c>
      <c r="C1056" s="138" t="s">
        <v>387</v>
      </c>
      <c r="D1056" s="15">
        <v>1391500</v>
      </c>
      <c r="E1056" s="92">
        <v>0.96858091950000003</v>
      </c>
      <c r="F1056" s="18">
        <v>1347780.35</v>
      </c>
      <c r="G1056" s="15">
        <v>0</v>
      </c>
      <c r="H1056" s="13"/>
      <c r="I1056" s="13"/>
    </row>
    <row r="1057" spans="1:9">
      <c r="A1057" s="13" t="s">
        <v>1715</v>
      </c>
      <c r="B1057" s="138" t="s">
        <v>560</v>
      </c>
      <c r="C1057" s="138" t="s">
        <v>387</v>
      </c>
      <c r="D1057" s="18">
        <v>4615815.71</v>
      </c>
      <c r="E1057" s="92">
        <v>0.97022861439999997</v>
      </c>
      <c r="F1057" s="18">
        <v>4478396.4800000004</v>
      </c>
      <c r="G1057" s="18">
        <v>0.01</v>
      </c>
      <c r="H1057" s="13"/>
      <c r="I1057" s="13"/>
    </row>
    <row r="1058" spans="1:9">
      <c r="A1058" s="13" t="s">
        <v>1716</v>
      </c>
      <c r="B1058" s="138" t="s">
        <v>527</v>
      </c>
      <c r="C1058" s="138" t="s">
        <v>387</v>
      </c>
      <c r="D1058" s="18">
        <v>22110202.949999999</v>
      </c>
      <c r="E1058" s="92">
        <v>0.97520583189999999</v>
      </c>
      <c r="F1058" s="18">
        <v>21561998.859999999</v>
      </c>
      <c r="G1058" s="18">
        <v>0.04</v>
      </c>
      <c r="H1058" s="13"/>
      <c r="I1058" s="13"/>
    </row>
    <row r="1059" spans="1:9">
      <c r="A1059" s="13" t="s">
        <v>1717</v>
      </c>
      <c r="B1059" s="138" t="s">
        <v>603</v>
      </c>
      <c r="C1059" s="138" t="s">
        <v>387</v>
      </c>
      <c r="D1059" s="18">
        <v>3921022.75</v>
      </c>
      <c r="E1059" s="92">
        <v>0.97354105349999998</v>
      </c>
      <c r="F1059" s="18">
        <v>3817276.62</v>
      </c>
      <c r="G1059" s="18">
        <v>0.01</v>
      </c>
      <c r="H1059" s="13"/>
      <c r="I1059" s="13"/>
    </row>
    <row r="1060" spans="1:9">
      <c r="A1060" s="13" t="s">
        <v>1718</v>
      </c>
      <c r="B1060" s="138" t="s">
        <v>607</v>
      </c>
      <c r="C1060" s="138" t="s">
        <v>387</v>
      </c>
      <c r="D1060" s="18">
        <v>1345452.79</v>
      </c>
      <c r="E1060" s="92">
        <v>0.97604022189999995</v>
      </c>
      <c r="F1060" s="18">
        <v>1313216.04</v>
      </c>
      <c r="G1060" s="15">
        <v>0</v>
      </c>
      <c r="H1060" s="13"/>
      <c r="I1060" s="13"/>
    </row>
    <row r="1061" spans="1:9">
      <c r="A1061" s="13" t="s">
        <v>1719</v>
      </c>
      <c r="B1061" s="138" t="s">
        <v>607</v>
      </c>
      <c r="C1061" s="138" t="s">
        <v>387</v>
      </c>
      <c r="D1061" s="15">
        <v>2000000</v>
      </c>
      <c r="E1061" s="92">
        <v>0.97604021969999999</v>
      </c>
      <c r="F1061" s="18">
        <v>1952080.44</v>
      </c>
      <c r="G1061" s="15">
        <v>0</v>
      </c>
      <c r="H1061" s="13"/>
      <c r="I1061" s="13"/>
    </row>
    <row r="1062" spans="1:9">
      <c r="A1062" s="13" t="s">
        <v>1720</v>
      </c>
      <c r="B1062" s="138" t="s">
        <v>531</v>
      </c>
      <c r="C1062" s="138" t="s">
        <v>387</v>
      </c>
      <c r="D1062" s="18">
        <v>21607710.25</v>
      </c>
      <c r="E1062" s="92">
        <v>0.96775908420000001</v>
      </c>
      <c r="F1062" s="18">
        <v>20911057.879999999</v>
      </c>
      <c r="G1062" s="18">
        <v>0.03</v>
      </c>
      <c r="H1062" s="13"/>
      <c r="I1062" s="13"/>
    </row>
    <row r="1063" spans="1:9">
      <c r="A1063" s="13" t="s">
        <v>1721</v>
      </c>
      <c r="B1063" s="138" t="s">
        <v>603</v>
      </c>
      <c r="C1063" s="138" t="s">
        <v>387</v>
      </c>
      <c r="D1063" s="18">
        <v>1015583.27</v>
      </c>
      <c r="E1063" s="153">
        <v>0.97354104699999999</v>
      </c>
      <c r="F1063" s="15">
        <v>988712</v>
      </c>
      <c r="G1063" s="15">
        <v>0</v>
      </c>
      <c r="H1063" s="13"/>
      <c r="I1063" s="13"/>
    </row>
    <row r="1064" spans="1:9">
      <c r="A1064" s="13" t="s">
        <v>1722</v>
      </c>
      <c r="B1064" s="138" t="s">
        <v>603</v>
      </c>
      <c r="C1064" s="138" t="s">
        <v>387</v>
      </c>
      <c r="D1064" s="15">
        <v>5880854</v>
      </c>
      <c r="E1064" s="153">
        <v>0.97354104699999999</v>
      </c>
      <c r="F1064" s="18">
        <v>5725252.7599999998</v>
      </c>
      <c r="G1064" s="18">
        <v>0.01</v>
      </c>
      <c r="H1064" s="13"/>
      <c r="I1064" s="13"/>
    </row>
    <row r="1065" spans="1:9">
      <c r="A1065" s="13" t="s">
        <v>1723</v>
      </c>
      <c r="B1065" s="138" t="s">
        <v>607</v>
      </c>
      <c r="C1065" s="138" t="s">
        <v>387</v>
      </c>
      <c r="D1065" s="15">
        <v>4000000</v>
      </c>
      <c r="E1065" s="92">
        <v>0.97604021750000003</v>
      </c>
      <c r="F1065" s="18">
        <v>3904160.87</v>
      </c>
      <c r="G1065" s="18">
        <v>0.01</v>
      </c>
      <c r="H1065" s="13"/>
      <c r="I1065" s="13"/>
    </row>
    <row r="1066" spans="1:9">
      <c r="A1066" s="13" t="s">
        <v>1724</v>
      </c>
      <c r="B1066" s="138" t="s">
        <v>560</v>
      </c>
      <c r="C1066" s="138" t="s">
        <v>387</v>
      </c>
      <c r="D1066" s="150">
        <v>2097348.4</v>
      </c>
      <c r="E1066" s="153">
        <v>0.97022860899999996</v>
      </c>
      <c r="F1066" s="18">
        <v>2034907.42</v>
      </c>
      <c r="G1066" s="15">
        <v>0</v>
      </c>
      <c r="H1066" s="13"/>
      <c r="I1066" s="13"/>
    </row>
    <row r="1067" spans="1:9">
      <c r="A1067" s="13" t="s">
        <v>1725</v>
      </c>
      <c r="B1067" s="138" t="s">
        <v>577</v>
      </c>
      <c r="C1067" s="138" t="s">
        <v>387</v>
      </c>
      <c r="D1067" s="150">
        <v>2097348.4</v>
      </c>
      <c r="E1067" s="92">
        <v>0.96940414360000005</v>
      </c>
      <c r="F1067" s="18">
        <v>2033178.23</v>
      </c>
      <c r="G1067" s="15">
        <v>0</v>
      </c>
      <c r="H1067" s="13"/>
      <c r="I1067" s="13"/>
    </row>
    <row r="1068" spans="1:9">
      <c r="A1068" s="13" t="s">
        <v>1726</v>
      </c>
      <c r="B1068" s="138" t="s">
        <v>920</v>
      </c>
      <c r="C1068" s="138" t="s">
        <v>387</v>
      </c>
      <c r="D1068" s="150">
        <v>2097348.4</v>
      </c>
      <c r="E1068" s="92">
        <v>0.97437273209999997</v>
      </c>
      <c r="F1068" s="18">
        <v>2043599.09</v>
      </c>
      <c r="G1068" s="15">
        <v>0</v>
      </c>
      <c r="H1068" s="13"/>
      <c r="I1068" s="13"/>
    </row>
    <row r="1069" spans="1:9">
      <c r="A1069" s="13" t="s">
        <v>1727</v>
      </c>
      <c r="B1069" s="138" t="s">
        <v>551</v>
      </c>
      <c r="C1069" s="138" t="s">
        <v>387</v>
      </c>
      <c r="D1069" s="150">
        <v>2097348.4</v>
      </c>
      <c r="E1069" s="92">
        <v>0.97939251270000005</v>
      </c>
      <c r="F1069" s="18">
        <v>2054127.32</v>
      </c>
      <c r="G1069" s="15">
        <v>0</v>
      </c>
      <c r="H1069" s="13"/>
      <c r="I1069" s="13"/>
    </row>
    <row r="1070" spans="1:9">
      <c r="A1070" s="13" t="s">
        <v>1728</v>
      </c>
      <c r="B1070" s="138" t="s">
        <v>527</v>
      </c>
      <c r="C1070" s="138" t="s">
        <v>387</v>
      </c>
      <c r="D1070" s="15">
        <v>1000000</v>
      </c>
      <c r="E1070" s="92">
        <v>0.97520583029999997</v>
      </c>
      <c r="F1070" s="18">
        <v>975205.83</v>
      </c>
      <c r="G1070" s="15">
        <v>0</v>
      </c>
      <c r="H1070" s="13"/>
      <c r="I1070" s="13"/>
    </row>
    <row r="1071" spans="1:9">
      <c r="A1071" s="13" t="s">
        <v>1729</v>
      </c>
      <c r="B1071" s="138" t="s">
        <v>607</v>
      </c>
      <c r="C1071" s="138" t="s">
        <v>387</v>
      </c>
      <c r="D1071" s="150">
        <v>1587931.5</v>
      </c>
      <c r="E1071" s="92">
        <v>0.9760402131</v>
      </c>
      <c r="F1071" s="15">
        <v>1549885</v>
      </c>
      <c r="G1071" s="15">
        <v>0</v>
      </c>
      <c r="H1071" s="13"/>
      <c r="I1071" s="13"/>
    </row>
    <row r="1072" spans="1:9">
      <c r="A1072" s="13" t="s">
        <v>1730</v>
      </c>
      <c r="B1072" s="138" t="s">
        <v>607</v>
      </c>
      <c r="C1072" s="138" t="s">
        <v>387</v>
      </c>
      <c r="D1072" s="15">
        <v>1500000</v>
      </c>
      <c r="E1072" s="92">
        <v>0.97604021969999999</v>
      </c>
      <c r="F1072" s="18">
        <v>1464060.33</v>
      </c>
      <c r="G1072" s="15">
        <v>0</v>
      </c>
      <c r="H1072" s="13"/>
      <c r="I1072" s="13"/>
    </row>
    <row r="1073" spans="1:9">
      <c r="A1073" s="13" t="s">
        <v>1731</v>
      </c>
      <c r="B1073" s="138" t="s">
        <v>950</v>
      </c>
      <c r="C1073" s="138" t="s">
        <v>387</v>
      </c>
      <c r="D1073" s="18">
        <v>11829797.539999999</v>
      </c>
      <c r="E1073" s="92">
        <v>0.94140105590000001</v>
      </c>
      <c r="F1073" s="150">
        <v>11136583.9</v>
      </c>
      <c r="G1073" s="18">
        <v>0.02</v>
      </c>
      <c r="H1073" s="13"/>
      <c r="I1073" s="13"/>
    </row>
    <row r="1074" spans="1:9">
      <c r="A1074" s="13" t="s">
        <v>1732</v>
      </c>
      <c r="B1074" s="138" t="s">
        <v>950</v>
      </c>
      <c r="C1074" s="138" t="s">
        <v>387</v>
      </c>
      <c r="D1074" s="18">
        <v>16498838.289999999</v>
      </c>
      <c r="E1074" s="92">
        <v>0.94140105590000001</v>
      </c>
      <c r="F1074" s="18">
        <v>15532023.789999999</v>
      </c>
      <c r="G1074" s="18">
        <v>0.03</v>
      </c>
      <c r="H1074" s="13"/>
      <c r="I1074" s="13"/>
    </row>
    <row r="1075" spans="1:9">
      <c r="A1075" s="13" t="s">
        <v>1733</v>
      </c>
      <c r="B1075" s="138" t="s">
        <v>950</v>
      </c>
      <c r="C1075" s="138" t="s">
        <v>387</v>
      </c>
      <c r="D1075" s="150">
        <v>11490967.4</v>
      </c>
      <c r="E1075" s="92">
        <v>0.94140105590000001</v>
      </c>
      <c r="F1075" s="18">
        <v>10817608.84</v>
      </c>
      <c r="G1075" s="18">
        <v>0.02</v>
      </c>
      <c r="H1075" s="13"/>
      <c r="I1075" s="13"/>
    </row>
    <row r="1076" spans="1:9">
      <c r="A1076" s="13" t="s">
        <v>1734</v>
      </c>
      <c r="B1076" s="138" t="s">
        <v>890</v>
      </c>
      <c r="C1076" s="138" t="s">
        <v>387</v>
      </c>
      <c r="D1076" s="18">
        <v>11829797.539999999</v>
      </c>
      <c r="E1076" s="92">
        <v>0.94217872380000001</v>
      </c>
      <c r="F1076" s="18">
        <v>11145783.550000001</v>
      </c>
      <c r="G1076" s="18">
        <v>0.02</v>
      </c>
      <c r="H1076" s="13"/>
      <c r="I1076" s="13"/>
    </row>
    <row r="1077" spans="1:9">
      <c r="A1077" s="13" t="s">
        <v>1735</v>
      </c>
      <c r="B1077" s="138" t="s">
        <v>890</v>
      </c>
      <c r="C1077" s="138" t="s">
        <v>387</v>
      </c>
      <c r="D1077" s="18">
        <v>16498838.289999999</v>
      </c>
      <c r="E1077" s="92">
        <v>0.94217872380000001</v>
      </c>
      <c r="F1077" s="150">
        <v>15544854.4</v>
      </c>
      <c r="G1077" s="18">
        <v>0.03</v>
      </c>
      <c r="H1077" s="13"/>
      <c r="I1077" s="13"/>
    </row>
    <row r="1078" spans="1:9">
      <c r="A1078" s="13" t="s">
        <v>1736</v>
      </c>
      <c r="B1078" s="138" t="s">
        <v>595</v>
      </c>
      <c r="C1078" s="138" t="s">
        <v>387</v>
      </c>
      <c r="D1078" s="18">
        <v>11829797.539999999</v>
      </c>
      <c r="E1078" s="92">
        <v>0.94295767779999995</v>
      </c>
      <c r="F1078" s="18">
        <v>11154998.42</v>
      </c>
      <c r="G1078" s="18">
        <v>0.02</v>
      </c>
      <c r="H1078" s="13"/>
      <c r="I1078" s="13"/>
    </row>
    <row r="1079" spans="1:9">
      <c r="A1079" s="13" t="s">
        <v>1737</v>
      </c>
      <c r="B1079" s="138" t="s">
        <v>950</v>
      </c>
      <c r="C1079" s="138" t="s">
        <v>387</v>
      </c>
      <c r="D1079" s="18">
        <v>9142894.3200000003</v>
      </c>
      <c r="E1079" s="92">
        <v>0.94140105590000001</v>
      </c>
      <c r="F1079" s="18">
        <v>8607130.3699999992</v>
      </c>
      <c r="G1079" s="18">
        <v>0.01</v>
      </c>
      <c r="H1079" s="13"/>
      <c r="I1079" s="13"/>
    </row>
    <row r="1080" spans="1:9">
      <c r="A1080" s="13" t="s">
        <v>1738</v>
      </c>
      <c r="B1080" s="138" t="s">
        <v>483</v>
      </c>
      <c r="C1080" s="138" t="s">
        <v>387</v>
      </c>
      <c r="D1080" s="15">
        <v>5000000</v>
      </c>
      <c r="E1080" s="92">
        <v>0.97546639390000001</v>
      </c>
      <c r="F1080" s="18">
        <v>4877331.97</v>
      </c>
      <c r="G1080" s="18">
        <v>0.01</v>
      </c>
      <c r="H1080" s="13"/>
      <c r="I1080" s="13"/>
    </row>
    <row r="1081" spans="1:9">
      <c r="A1081" s="13" t="s">
        <v>1739</v>
      </c>
      <c r="B1081" s="138" t="s">
        <v>483</v>
      </c>
      <c r="C1081" s="138" t="s">
        <v>387</v>
      </c>
      <c r="D1081" s="15">
        <v>5000000</v>
      </c>
      <c r="E1081" s="92">
        <v>0.97546639390000001</v>
      </c>
      <c r="F1081" s="18">
        <v>4877331.97</v>
      </c>
      <c r="G1081" s="18">
        <v>0.01</v>
      </c>
      <c r="H1081" s="13"/>
      <c r="I1081" s="13"/>
    </row>
    <row r="1082" spans="1:9">
      <c r="A1082" s="13" t="s">
        <v>1740</v>
      </c>
      <c r="B1082" s="138" t="s">
        <v>483</v>
      </c>
      <c r="C1082" s="138" t="s">
        <v>387</v>
      </c>
      <c r="D1082" s="15">
        <v>5000000</v>
      </c>
      <c r="E1082" s="92">
        <v>0.97546639390000001</v>
      </c>
      <c r="F1082" s="18">
        <v>4877331.97</v>
      </c>
      <c r="G1082" s="18">
        <v>0.01</v>
      </c>
      <c r="H1082" s="13"/>
      <c r="I1082" s="13"/>
    </row>
    <row r="1083" spans="1:9">
      <c r="A1083" s="13" t="s">
        <v>1741</v>
      </c>
      <c r="B1083" s="138" t="s">
        <v>551</v>
      </c>
      <c r="C1083" s="138" t="s">
        <v>387</v>
      </c>
      <c r="D1083" s="15">
        <v>5000000</v>
      </c>
      <c r="E1083" s="92">
        <v>0.97813272019999997</v>
      </c>
      <c r="F1083" s="150">
        <v>4890663.5999999996</v>
      </c>
      <c r="G1083" s="18">
        <v>0.01</v>
      </c>
      <c r="H1083" s="13"/>
      <c r="I1083" s="13"/>
    </row>
    <row r="1084" spans="1:9">
      <c r="A1084" s="13" t="s">
        <v>1742</v>
      </c>
      <c r="B1084" s="138" t="s">
        <v>527</v>
      </c>
      <c r="C1084" s="138" t="s">
        <v>387</v>
      </c>
      <c r="D1084" s="15">
        <v>5000000</v>
      </c>
      <c r="E1084" s="153">
        <v>0.97369695599999995</v>
      </c>
      <c r="F1084" s="18">
        <v>4868484.78</v>
      </c>
      <c r="G1084" s="18">
        <v>0.01</v>
      </c>
      <c r="H1084" s="13"/>
      <c r="I1084" s="13"/>
    </row>
    <row r="1085" spans="1:9">
      <c r="A1085" s="13" t="s">
        <v>1743</v>
      </c>
      <c r="B1085" s="138" t="s">
        <v>527</v>
      </c>
      <c r="C1085" s="138" t="s">
        <v>387</v>
      </c>
      <c r="D1085" s="15">
        <v>5000000</v>
      </c>
      <c r="E1085" s="153">
        <v>0.97369695599999995</v>
      </c>
      <c r="F1085" s="18">
        <v>4868484.78</v>
      </c>
      <c r="G1085" s="18">
        <v>0.01</v>
      </c>
      <c r="H1085" s="13"/>
      <c r="I1085" s="13"/>
    </row>
    <row r="1086" spans="1:9">
      <c r="A1086" s="13" t="s">
        <v>1761</v>
      </c>
      <c r="B1086" s="138" t="s">
        <v>555</v>
      </c>
      <c r="C1086" s="138" t="s">
        <v>481</v>
      </c>
      <c r="D1086" s="18">
        <v>2502550.36</v>
      </c>
      <c r="E1086" s="92">
        <v>0.95099143529999997</v>
      </c>
      <c r="F1086" s="18">
        <v>2379903.96</v>
      </c>
      <c r="G1086" s="15">
        <v>0</v>
      </c>
      <c r="H1086" s="13"/>
      <c r="I1086" s="13"/>
    </row>
    <row r="1087" spans="1:9">
      <c r="A1087" s="13" t="s">
        <v>1762</v>
      </c>
      <c r="B1087" s="138" t="s">
        <v>589</v>
      </c>
      <c r="C1087" s="138" t="s">
        <v>481</v>
      </c>
      <c r="D1087" s="18">
        <v>2502550.36</v>
      </c>
      <c r="E1087" s="92">
        <v>0.94692074059999998</v>
      </c>
      <c r="F1087" s="18">
        <v>2369716.84</v>
      </c>
      <c r="G1087" s="15">
        <v>0</v>
      </c>
      <c r="H1087" s="13"/>
      <c r="I1087" s="13"/>
    </row>
    <row r="1088" spans="1:9">
      <c r="A1088" s="13" t="s">
        <v>1763</v>
      </c>
      <c r="B1088" s="138" t="s">
        <v>593</v>
      </c>
      <c r="C1088" s="138" t="s">
        <v>481</v>
      </c>
      <c r="D1088" s="18">
        <v>2502550.36</v>
      </c>
      <c r="E1088" s="92">
        <v>0.94449479179999996</v>
      </c>
      <c r="F1088" s="18">
        <v>2363645.7799999998</v>
      </c>
      <c r="G1088" s="15">
        <v>0</v>
      </c>
      <c r="H1088" s="13"/>
      <c r="I1088" s="13"/>
    </row>
    <row r="1089" spans="1:9">
      <c r="A1089" s="13" t="s">
        <v>1764</v>
      </c>
      <c r="B1089" s="138" t="s">
        <v>593</v>
      </c>
      <c r="C1089" s="138" t="s">
        <v>481</v>
      </c>
      <c r="D1089" s="18">
        <v>2502550.36</v>
      </c>
      <c r="E1089" s="92">
        <v>0.94449479179999996</v>
      </c>
      <c r="F1089" s="18">
        <v>2363645.7799999998</v>
      </c>
      <c r="G1089" s="15">
        <v>0</v>
      </c>
      <c r="H1089" s="13"/>
      <c r="I1089" s="13"/>
    </row>
    <row r="1090" spans="1:9">
      <c r="A1090" s="13" t="s">
        <v>1765</v>
      </c>
      <c r="B1090" s="138" t="s">
        <v>1171</v>
      </c>
      <c r="C1090" s="138" t="s">
        <v>481</v>
      </c>
      <c r="D1090" s="18">
        <v>2502550.36</v>
      </c>
      <c r="E1090" s="92">
        <v>0.94368908460000001</v>
      </c>
      <c r="F1090" s="18">
        <v>2361629.46</v>
      </c>
      <c r="G1090" s="15">
        <v>0</v>
      </c>
      <c r="H1090" s="13"/>
      <c r="I1090" s="13"/>
    </row>
    <row r="1091" spans="1:9">
      <c r="A1091" s="13" t="s">
        <v>1766</v>
      </c>
      <c r="B1091" s="138" t="s">
        <v>600</v>
      </c>
      <c r="C1091" s="138" t="s">
        <v>481</v>
      </c>
      <c r="D1091" s="18">
        <v>2502550.36</v>
      </c>
      <c r="E1091" s="92">
        <v>0.95262967710000002</v>
      </c>
      <c r="F1091" s="18">
        <v>2384003.7400000002</v>
      </c>
      <c r="G1091" s="15">
        <v>0</v>
      </c>
      <c r="H1091" s="13"/>
      <c r="I1091" s="13"/>
    </row>
    <row r="1092" spans="1:9">
      <c r="A1092" s="13" t="s">
        <v>1767</v>
      </c>
      <c r="B1092" s="138" t="s">
        <v>600</v>
      </c>
      <c r="C1092" s="138" t="s">
        <v>481</v>
      </c>
      <c r="D1092" s="18">
        <v>2502550.36</v>
      </c>
      <c r="E1092" s="92">
        <v>0.95262967710000002</v>
      </c>
      <c r="F1092" s="18">
        <v>2384003.7400000002</v>
      </c>
      <c r="G1092" s="15">
        <v>0</v>
      </c>
      <c r="H1092" s="13"/>
      <c r="I1092" s="13"/>
    </row>
    <row r="1093" spans="1:9">
      <c r="A1093" s="13" t="s">
        <v>1768</v>
      </c>
      <c r="B1093" s="138" t="s">
        <v>555</v>
      </c>
      <c r="C1093" s="138" t="s">
        <v>481</v>
      </c>
      <c r="D1093" s="18">
        <v>2502550.36</v>
      </c>
      <c r="E1093" s="92">
        <v>0.95099143529999997</v>
      </c>
      <c r="F1093" s="18">
        <v>2379903.96</v>
      </c>
      <c r="G1093" s="15">
        <v>0</v>
      </c>
      <c r="H1093" s="13"/>
      <c r="I1093" s="13"/>
    </row>
    <row r="1094" spans="1:9">
      <c r="A1094" s="13" t="s">
        <v>1769</v>
      </c>
      <c r="B1094" s="138" t="s">
        <v>587</v>
      </c>
      <c r="C1094" s="138" t="s">
        <v>481</v>
      </c>
      <c r="D1094" s="18">
        <v>2502550.36</v>
      </c>
      <c r="E1094" s="92">
        <v>0.94935900920000005</v>
      </c>
      <c r="F1094" s="18">
        <v>2375818.73</v>
      </c>
      <c r="G1094" s="15">
        <v>0</v>
      </c>
      <c r="H1094" s="13"/>
      <c r="I1094" s="13"/>
    </row>
    <row r="1095" spans="1:9">
      <c r="A1095" s="13" t="s">
        <v>1770</v>
      </c>
      <c r="B1095" s="138" t="s">
        <v>587</v>
      </c>
      <c r="C1095" s="138" t="s">
        <v>481</v>
      </c>
      <c r="D1095" s="18">
        <v>2502550.36</v>
      </c>
      <c r="E1095" s="92">
        <v>0.94935900920000005</v>
      </c>
      <c r="F1095" s="18">
        <v>2375818.73</v>
      </c>
      <c r="G1095" s="15">
        <v>0</v>
      </c>
      <c r="H1095" s="13"/>
      <c r="I1095" s="13"/>
    </row>
    <row r="1096" spans="1:9">
      <c r="A1096" s="13" t="s">
        <v>1771</v>
      </c>
      <c r="B1096" s="138" t="s">
        <v>589</v>
      </c>
      <c r="C1096" s="138" t="s">
        <v>481</v>
      </c>
      <c r="D1096" s="18">
        <v>2502550.36</v>
      </c>
      <c r="E1096" s="92">
        <v>0.94692074059999998</v>
      </c>
      <c r="F1096" s="18">
        <v>2369716.84</v>
      </c>
      <c r="G1096" s="15">
        <v>0</v>
      </c>
      <c r="H1096" s="13"/>
      <c r="I1096" s="13"/>
    </row>
    <row r="1097" spans="1:9">
      <c r="A1097" s="13" t="s">
        <v>1772</v>
      </c>
      <c r="B1097" s="138" t="s">
        <v>487</v>
      </c>
      <c r="C1097" s="138" t="s">
        <v>481</v>
      </c>
      <c r="D1097" s="15">
        <v>7500000</v>
      </c>
      <c r="E1097" s="92">
        <v>0.99460462670000005</v>
      </c>
      <c r="F1097" s="150">
        <v>7459534.7000000002</v>
      </c>
      <c r="G1097" s="18">
        <v>0.01</v>
      </c>
      <c r="H1097" s="13"/>
      <c r="I1097" s="13"/>
    </row>
    <row r="1098" spans="1:9">
      <c r="A1098" s="13" t="s">
        <v>1773</v>
      </c>
      <c r="B1098" s="138" t="s">
        <v>172</v>
      </c>
      <c r="C1098" s="138" t="s">
        <v>481</v>
      </c>
      <c r="D1098" s="15">
        <v>2000000</v>
      </c>
      <c r="E1098" s="28">
        <v>0.99371103999999999</v>
      </c>
      <c r="F1098" s="18">
        <v>1987422.08</v>
      </c>
      <c r="G1098" s="15">
        <v>0</v>
      </c>
      <c r="H1098" s="13"/>
      <c r="I1098" s="13"/>
    </row>
    <row r="1099" spans="1:9">
      <c r="A1099" s="13" t="s">
        <v>1774</v>
      </c>
      <c r="B1099" s="138" t="s">
        <v>480</v>
      </c>
      <c r="C1099" s="138" t="s">
        <v>481</v>
      </c>
      <c r="D1099" s="15">
        <v>100000000</v>
      </c>
      <c r="E1099" s="92">
        <v>0.99909671369999997</v>
      </c>
      <c r="F1099" s="18">
        <v>99909671.370000005</v>
      </c>
      <c r="G1099" s="18">
        <v>0.16</v>
      </c>
      <c r="H1099" s="13"/>
      <c r="I1099" s="13"/>
    </row>
    <row r="1100" spans="1:9">
      <c r="A1100" s="13" t="s">
        <v>1775</v>
      </c>
      <c r="B1100" s="138" t="s">
        <v>475</v>
      </c>
      <c r="C1100" s="138" t="s">
        <v>481</v>
      </c>
      <c r="D1100" s="15">
        <v>136000000</v>
      </c>
      <c r="E1100" s="92">
        <v>0.98563405959999995</v>
      </c>
      <c r="F1100" s="18">
        <v>134046232.11</v>
      </c>
      <c r="G1100" s="18">
        <v>0.22</v>
      </c>
      <c r="H1100" s="13"/>
      <c r="I1100" s="13"/>
    </row>
    <row r="1101" spans="1:9">
      <c r="A1101" s="13" t="s">
        <v>1776</v>
      </c>
      <c r="B1101" s="138" t="s">
        <v>589</v>
      </c>
      <c r="C1101" s="138" t="s">
        <v>481</v>
      </c>
      <c r="D1101" s="15">
        <v>10000000</v>
      </c>
      <c r="E1101" s="92">
        <v>0.94540010990000001</v>
      </c>
      <c r="F1101" s="150">
        <v>9454001.0999999996</v>
      </c>
      <c r="G1101" s="18">
        <v>0.02</v>
      </c>
      <c r="H1101" s="13"/>
      <c r="I1101" s="13"/>
    </row>
    <row r="1102" spans="1:9">
      <c r="A1102" s="13" t="s">
        <v>1782</v>
      </c>
      <c r="B1102" s="138" t="s">
        <v>603</v>
      </c>
      <c r="C1102" s="138" t="s">
        <v>384</v>
      </c>
      <c r="D1102" s="15">
        <v>70000000</v>
      </c>
      <c r="E1102" s="92">
        <v>0.97434676109999996</v>
      </c>
      <c r="F1102" s="18">
        <v>68204273.280000001</v>
      </c>
      <c r="G1102" s="18">
        <v>0.11</v>
      </c>
      <c r="H1102" s="13"/>
      <c r="I1102" s="13"/>
    </row>
    <row r="1103" spans="1:9">
      <c r="A1103" s="13" t="s">
        <v>1783</v>
      </c>
      <c r="B1103" s="138" t="s">
        <v>480</v>
      </c>
      <c r="C1103" s="138" t="s">
        <v>384</v>
      </c>
      <c r="D1103" s="15">
        <v>70000000</v>
      </c>
      <c r="E1103" s="92">
        <v>0.99915141470000002</v>
      </c>
      <c r="F1103" s="18">
        <v>69940599.030000001</v>
      </c>
      <c r="G1103" s="18">
        <v>0.11</v>
      </c>
      <c r="H1103" s="13"/>
      <c r="I1103" s="13"/>
    </row>
    <row r="1104" spans="1:9">
      <c r="A1104" s="13" t="s">
        <v>1784</v>
      </c>
      <c r="B1104" s="138" t="s">
        <v>589</v>
      </c>
      <c r="C1104" s="138" t="s">
        <v>384</v>
      </c>
      <c r="D1104" s="15">
        <v>100000000</v>
      </c>
      <c r="E1104" s="92">
        <v>0.94844615480000005</v>
      </c>
      <c r="F1104" s="18">
        <v>94844615.480000004</v>
      </c>
      <c r="G1104" s="18">
        <v>0.16</v>
      </c>
      <c r="H1104" s="13"/>
      <c r="I1104" s="13"/>
    </row>
    <row r="1105" spans="1:9">
      <c r="A1105" s="13" t="s">
        <v>1785</v>
      </c>
      <c r="B1105" s="138" t="s">
        <v>172</v>
      </c>
      <c r="C1105" s="138" t="s">
        <v>384</v>
      </c>
      <c r="D1105" s="18">
        <v>751008.82</v>
      </c>
      <c r="E1105" s="92">
        <v>0.99427950779999996</v>
      </c>
      <c r="F1105" s="18">
        <v>746712.68</v>
      </c>
      <c r="G1105" s="15">
        <v>0</v>
      </c>
      <c r="H1105" s="13"/>
      <c r="I1105" s="13"/>
    </row>
    <row r="1106" spans="1:9">
      <c r="A1106" s="13" t="s">
        <v>1786</v>
      </c>
      <c r="B1106" s="138" t="s">
        <v>622</v>
      </c>
      <c r="C1106" s="138" t="s">
        <v>384</v>
      </c>
      <c r="D1106" s="15">
        <v>1836000</v>
      </c>
      <c r="E1106" s="92">
        <v>0.98782139430000004</v>
      </c>
      <c r="F1106" s="18">
        <v>1813640.08</v>
      </c>
      <c r="G1106" s="15">
        <v>0</v>
      </c>
      <c r="H1106" s="13"/>
      <c r="I1106" s="13"/>
    </row>
    <row r="1107" spans="1:9">
      <c r="A1107" s="13" t="s">
        <v>1787</v>
      </c>
      <c r="B1107" s="138" t="s">
        <v>546</v>
      </c>
      <c r="C1107" s="138" t="s">
        <v>384</v>
      </c>
      <c r="D1107" s="15">
        <v>2531177</v>
      </c>
      <c r="E1107" s="92">
        <v>0.98382757919999997</v>
      </c>
      <c r="F1107" s="18">
        <v>2490241.7400000002</v>
      </c>
      <c r="G1107" s="15">
        <v>0</v>
      </c>
      <c r="H1107" s="13"/>
      <c r="I1107" s="13"/>
    </row>
    <row r="1108" spans="1:9">
      <c r="A1108" s="13" t="s">
        <v>1788</v>
      </c>
      <c r="B1108" s="138" t="s">
        <v>549</v>
      </c>
      <c r="C1108" s="138" t="s">
        <v>384</v>
      </c>
      <c r="D1108" s="18">
        <v>2531175.63</v>
      </c>
      <c r="E1108" s="92">
        <v>0.95976865140000001</v>
      </c>
      <c r="F1108" s="18">
        <v>2429343.02</v>
      </c>
      <c r="G1108" s="15">
        <v>0</v>
      </c>
      <c r="H1108" s="13"/>
      <c r="I1108" s="13"/>
    </row>
    <row r="1109" spans="1:9">
      <c r="A1109" s="13" t="s">
        <v>1789</v>
      </c>
      <c r="B1109" s="138" t="s">
        <v>452</v>
      </c>
      <c r="C1109" s="138" t="s">
        <v>384</v>
      </c>
      <c r="D1109" s="15">
        <v>1500000</v>
      </c>
      <c r="E1109" s="92">
        <v>0.99265711329999995</v>
      </c>
      <c r="F1109" s="18">
        <v>1488985.67</v>
      </c>
      <c r="G1109" s="15">
        <v>0</v>
      </c>
      <c r="H1109" s="13"/>
      <c r="I1109" s="13"/>
    </row>
    <row r="1110" spans="1:9">
      <c r="A1110" s="13" t="s">
        <v>1790</v>
      </c>
      <c r="B1110" s="138" t="s">
        <v>450</v>
      </c>
      <c r="C1110" s="138" t="s">
        <v>384</v>
      </c>
      <c r="D1110" s="15">
        <v>1500000</v>
      </c>
      <c r="E1110" s="92">
        <v>0.98223898639999996</v>
      </c>
      <c r="F1110" s="18">
        <v>1473358.48</v>
      </c>
      <c r="G1110" s="15">
        <v>0</v>
      </c>
      <c r="H1110" s="13"/>
      <c r="I1110" s="13"/>
    </row>
    <row r="1111" spans="1:9">
      <c r="A1111" s="13" t="s">
        <v>1791</v>
      </c>
      <c r="B1111" s="138" t="s">
        <v>603</v>
      </c>
      <c r="C1111" s="138" t="s">
        <v>384</v>
      </c>
      <c r="D1111" s="15">
        <v>1500000</v>
      </c>
      <c r="E1111" s="92">
        <v>0.9751537267</v>
      </c>
      <c r="F1111" s="18">
        <v>1462730.59</v>
      </c>
      <c r="G1111" s="15">
        <v>0</v>
      </c>
      <c r="H1111" s="13"/>
      <c r="I1111" s="13"/>
    </row>
    <row r="1112" spans="1:9">
      <c r="A1112" s="13" t="s">
        <v>1792</v>
      </c>
      <c r="B1112" s="138" t="s">
        <v>577</v>
      </c>
      <c r="C1112" s="138" t="s">
        <v>384</v>
      </c>
      <c r="D1112" s="15">
        <v>1500000</v>
      </c>
      <c r="E1112" s="92">
        <v>0.97126136689999998</v>
      </c>
      <c r="F1112" s="18">
        <v>1456892.05</v>
      </c>
      <c r="G1112" s="15">
        <v>0</v>
      </c>
      <c r="H1112" s="13"/>
      <c r="I1112" s="13"/>
    </row>
    <row r="1113" spans="1:9">
      <c r="A1113" s="13" t="s">
        <v>1793</v>
      </c>
      <c r="B1113" s="138" t="s">
        <v>622</v>
      </c>
      <c r="C1113" s="138" t="s">
        <v>384</v>
      </c>
      <c r="D1113" s="15">
        <v>1500000</v>
      </c>
      <c r="E1113" s="92">
        <v>0.98782139349999998</v>
      </c>
      <c r="F1113" s="18">
        <v>1481732.09</v>
      </c>
      <c r="G1113" s="15">
        <v>0</v>
      </c>
      <c r="H1113" s="13"/>
      <c r="I1113" s="13"/>
    </row>
    <row r="1114" spans="1:9">
      <c r="A1114" s="13" t="s">
        <v>1794</v>
      </c>
      <c r="B1114" s="138" t="s">
        <v>647</v>
      </c>
      <c r="C1114" s="138" t="s">
        <v>384</v>
      </c>
      <c r="D1114" s="15">
        <v>1500000</v>
      </c>
      <c r="E1114" s="92">
        <v>0.98622001349999999</v>
      </c>
      <c r="F1114" s="18">
        <v>1479330.02</v>
      </c>
      <c r="G1114" s="15">
        <v>0</v>
      </c>
      <c r="H1114" s="13"/>
      <c r="I1114" s="13"/>
    </row>
    <row r="1115" spans="1:9">
      <c r="A1115" s="13" t="s">
        <v>1795</v>
      </c>
      <c r="B1115" s="138" t="s">
        <v>551</v>
      </c>
      <c r="C1115" s="138" t="s">
        <v>384</v>
      </c>
      <c r="D1115" s="15">
        <v>1500000</v>
      </c>
      <c r="E1115" s="92">
        <v>0.98065564689999996</v>
      </c>
      <c r="F1115" s="18">
        <v>1470983.47</v>
      </c>
      <c r="G1115" s="15">
        <v>0</v>
      </c>
      <c r="H1115" s="13"/>
      <c r="I1115" s="13"/>
    </row>
    <row r="1116" spans="1:9">
      <c r="A1116" s="13" t="s">
        <v>1796</v>
      </c>
      <c r="B1116" s="138" t="s">
        <v>527</v>
      </c>
      <c r="C1116" s="138" t="s">
        <v>384</v>
      </c>
      <c r="D1116" s="15">
        <v>1500000</v>
      </c>
      <c r="E1116" s="92">
        <v>0.97671932689999996</v>
      </c>
      <c r="F1116" s="18">
        <v>1465078.99</v>
      </c>
      <c r="G1116" s="15">
        <v>0</v>
      </c>
      <c r="H1116" s="13"/>
      <c r="I1116" s="13"/>
    </row>
    <row r="1117" spans="1:9">
      <c r="A1117" s="13" t="s">
        <v>1797</v>
      </c>
      <c r="B1117" s="138" t="s">
        <v>531</v>
      </c>
      <c r="C1117" s="138" t="s">
        <v>384</v>
      </c>
      <c r="D1117" s="15">
        <v>1500000</v>
      </c>
      <c r="E1117" s="92">
        <v>0.96971320039999997</v>
      </c>
      <c r="F1117" s="150">
        <v>1454569.8</v>
      </c>
      <c r="G1117" s="15">
        <v>0</v>
      </c>
      <c r="H1117" s="13"/>
      <c r="I1117" s="13"/>
    </row>
    <row r="1118" spans="1:9">
      <c r="A1118" s="13" t="s">
        <v>1798</v>
      </c>
      <c r="B1118" s="138" t="s">
        <v>531</v>
      </c>
      <c r="C1118" s="138" t="s">
        <v>384</v>
      </c>
      <c r="D1118" s="18">
        <v>11504835.23</v>
      </c>
      <c r="E1118" s="92">
        <v>0.9667851127</v>
      </c>
      <c r="F1118" s="18">
        <v>11122703.42</v>
      </c>
      <c r="G1118" s="18">
        <v>0.02</v>
      </c>
      <c r="H1118" s="13"/>
      <c r="I1118" s="13"/>
    </row>
    <row r="1119" spans="1:9">
      <c r="A1119" s="13" t="s">
        <v>1799</v>
      </c>
      <c r="B1119" s="138" t="s">
        <v>573</v>
      </c>
      <c r="C1119" s="138" t="s">
        <v>384</v>
      </c>
      <c r="D1119" s="18">
        <v>5898583.8099999996</v>
      </c>
      <c r="E1119" s="92">
        <v>0.92320923129999999</v>
      </c>
      <c r="F1119" s="18">
        <v>5445627.0199999996</v>
      </c>
      <c r="G1119" s="18">
        <v>0.01</v>
      </c>
      <c r="H1119" s="13"/>
      <c r="I1119" s="13"/>
    </row>
    <row r="1120" spans="1:9">
      <c r="A1120" s="13" t="s">
        <v>1800</v>
      </c>
      <c r="B1120" s="138" t="s">
        <v>587</v>
      </c>
      <c r="C1120" s="138" t="s">
        <v>384</v>
      </c>
      <c r="D1120" s="18">
        <v>24012581.18</v>
      </c>
      <c r="E1120" s="92">
        <v>0.94935887080000003</v>
      </c>
      <c r="F1120" s="18">
        <v>22796556.949999999</v>
      </c>
      <c r="G1120" s="18">
        <v>0.04</v>
      </c>
      <c r="H1120" s="13"/>
      <c r="I1120" s="13"/>
    </row>
    <row r="1121" spans="1:9">
      <c r="A1121" s="13" t="s">
        <v>1801</v>
      </c>
      <c r="B1121" s="138" t="s">
        <v>531</v>
      </c>
      <c r="C1121" s="138" t="s">
        <v>384</v>
      </c>
      <c r="D1121" s="18">
        <v>2113037.46</v>
      </c>
      <c r="E1121" s="92">
        <v>0.96678510880000001</v>
      </c>
      <c r="F1121" s="18">
        <v>2042853.15</v>
      </c>
      <c r="G1121" s="15">
        <v>0</v>
      </c>
      <c r="H1121" s="13"/>
      <c r="I1121" s="13"/>
    </row>
    <row r="1122" spans="1:9">
      <c r="A1122" s="13" t="s">
        <v>1802</v>
      </c>
      <c r="B1122" s="138" t="s">
        <v>575</v>
      </c>
      <c r="C1122" s="138" t="s">
        <v>384</v>
      </c>
      <c r="D1122" s="18">
        <v>4296661.99</v>
      </c>
      <c r="E1122" s="92">
        <v>0.93412516889999997</v>
      </c>
      <c r="F1122" s="18">
        <v>4013620.11</v>
      </c>
      <c r="G1122" s="18">
        <v>0.01</v>
      </c>
      <c r="H1122" s="13"/>
      <c r="I1122" s="13"/>
    </row>
    <row r="1123" spans="1:9">
      <c r="A1123" s="13" t="s">
        <v>1803</v>
      </c>
      <c r="B1123" s="138" t="s">
        <v>610</v>
      </c>
      <c r="C1123" s="138" t="s">
        <v>384</v>
      </c>
      <c r="D1123" s="15">
        <v>100000000</v>
      </c>
      <c r="E1123" s="92">
        <v>0.99819505779999995</v>
      </c>
      <c r="F1123" s="18">
        <v>99819505.780000001</v>
      </c>
      <c r="G1123" s="18">
        <v>0.16</v>
      </c>
      <c r="H1123" s="13"/>
      <c r="I1123" s="13"/>
    </row>
    <row r="1124" spans="1:9">
      <c r="A1124" s="13" t="s">
        <v>1804</v>
      </c>
      <c r="B1124" s="138" t="s">
        <v>589</v>
      </c>
      <c r="C1124" s="138" t="s">
        <v>384</v>
      </c>
      <c r="D1124" s="15">
        <v>50000000</v>
      </c>
      <c r="E1124" s="92">
        <v>0.94388419940000001</v>
      </c>
      <c r="F1124" s="18">
        <v>47194209.969999999</v>
      </c>
      <c r="G1124" s="18">
        <v>0.08</v>
      </c>
      <c r="H1124" s="13"/>
      <c r="I1124" s="13"/>
    </row>
    <row r="1125" spans="1:9">
      <c r="A1125" s="13" t="s">
        <v>1813</v>
      </c>
      <c r="B1125" s="138" t="s">
        <v>549</v>
      </c>
      <c r="C1125" s="138" t="s">
        <v>386</v>
      </c>
      <c r="D1125" s="15">
        <v>1600000</v>
      </c>
      <c r="E1125" s="92">
        <v>0.96364550609999999</v>
      </c>
      <c r="F1125" s="18">
        <v>1541832.81</v>
      </c>
      <c r="G1125" s="15">
        <v>0</v>
      </c>
      <c r="H1125" s="13"/>
      <c r="I1125" s="13"/>
    </row>
    <row r="1126" spans="1:9">
      <c r="A1126" s="13" t="s">
        <v>1814</v>
      </c>
      <c r="B1126" s="138" t="s">
        <v>549</v>
      </c>
      <c r="C1126" s="138" t="s">
        <v>386</v>
      </c>
      <c r="D1126" s="15">
        <v>19000000</v>
      </c>
      <c r="E1126" s="153">
        <v>0.96364549700000002</v>
      </c>
      <c r="F1126" s="18">
        <v>18309264.440000001</v>
      </c>
      <c r="G1126" s="18">
        <v>0.03</v>
      </c>
      <c r="H1126" s="13"/>
      <c r="I1126" s="13"/>
    </row>
    <row r="1127" spans="1:9">
      <c r="A1127" s="13" t="s">
        <v>1815</v>
      </c>
      <c r="B1127" s="138" t="s">
        <v>549</v>
      </c>
      <c r="C1127" s="138" t="s">
        <v>386</v>
      </c>
      <c r="D1127" s="15">
        <v>8100000</v>
      </c>
      <c r="E1127" s="153">
        <v>0.96364549700000002</v>
      </c>
      <c r="F1127" s="18">
        <v>7805528.5300000003</v>
      </c>
      <c r="G1127" s="18">
        <v>0.01</v>
      </c>
      <c r="H1127" s="13"/>
      <c r="I1127" s="13"/>
    </row>
    <row r="1128" spans="1:9">
      <c r="A1128" s="13" t="s">
        <v>1816</v>
      </c>
      <c r="B1128" s="138" t="s">
        <v>549</v>
      </c>
      <c r="C1128" s="138" t="s">
        <v>386</v>
      </c>
      <c r="D1128" s="15">
        <v>2000000</v>
      </c>
      <c r="E1128" s="28">
        <v>0.96364550999999998</v>
      </c>
      <c r="F1128" s="18">
        <v>1927291.02</v>
      </c>
      <c r="G1128" s="15">
        <v>0</v>
      </c>
      <c r="H1128" s="13"/>
      <c r="I1128" s="13"/>
    </row>
    <row r="1129" spans="1:9">
      <c r="A1129" s="13" t="s">
        <v>1817</v>
      </c>
      <c r="B1129" s="138" t="s">
        <v>549</v>
      </c>
      <c r="C1129" s="138" t="s">
        <v>386</v>
      </c>
      <c r="D1129" s="15">
        <v>13000000</v>
      </c>
      <c r="E1129" s="153">
        <v>0.96364549700000002</v>
      </c>
      <c r="F1129" s="18">
        <v>12527391.460000001</v>
      </c>
      <c r="G1129" s="18">
        <v>0.02</v>
      </c>
      <c r="H1129" s="13"/>
      <c r="I1129" s="13"/>
    </row>
    <row r="1130" spans="1:9">
      <c r="A1130" s="13" t="s">
        <v>1818</v>
      </c>
      <c r="B1130" s="138" t="s">
        <v>549</v>
      </c>
      <c r="C1130" s="138" t="s">
        <v>386</v>
      </c>
      <c r="D1130" s="15">
        <v>15500000</v>
      </c>
      <c r="E1130" s="153">
        <v>0.96364549700000002</v>
      </c>
      <c r="F1130" s="150">
        <v>14936505.199999999</v>
      </c>
      <c r="G1130" s="18">
        <v>0.02</v>
      </c>
      <c r="H1130" s="13"/>
      <c r="I1130" s="13"/>
    </row>
    <row r="1131" spans="1:9">
      <c r="A1131" s="13" t="s">
        <v>1819</v>
      </c>
      <c r="B1131" s="138" t="s">
        <v>549</v>
      </c>
      <c r="C1131" s="138" t="s">
        <v>386</v>
      </c>
      <c r="D1131" s="15">
        <v>16300000</v>
      </c>
      <c r="E1131" s="153">
        <v>0.96364549700000002</v>
      </c>
      <c r="F1131" s="150">
        <v>15707421.6</v>
      </c>
      <c r="G1131" s="18">
        <v>0.03</v>
      </c>
      <c r="H1131" s="13"/>
      <c r="I1131" s="13"/>
    </row>
    <row r="1132" spans="1:9">
      <c r="A1132" s="13" t="s">
        <v>1820</v>
      </c>
      <c r="B1132" s="138" t="s">
        <v>549</v>
      </c>
      <c r="C1132" s="138" t="s">
        <v>386</v>
      </c>
      <c r="D1132" s="15">
        <v>23800000</v>
      </c>
      <c r="E1132" s="153">
        <v>0.96364549700000002</v>
      </c>
      <c r="F1132" s="18">
        <v>22934762.829999998</v>
      </c>
      <c r="G1132" s="18">
        <v>0.04</v>
      </c>
      <c r="H1132" s="13"/>
      <c r="I1132" s="13"/>
    </row>
    <row r="1133" spans="1:9">
      <c r="A1133" s="13" t="s">
        <v>1821</v>
      </c>
      <c r="B1133" s="138" t="s">
        <v>549</v>
      </c>
      <c r="C1133" s="138" t="s">
        <v>386</v>
      </c>
      <c r="D1133" s="15">
        <v>20000000</v>
      </c>
      <c r="E1133" s="153">
        <v>0.96364549700000002</v>
      </c>
      <c r="F1133" s="18">
        <v>19272909.940000001</v>
      </c>
      <c r="G1133" s="18">
        <v>0.03</v>
      </c>
      <c r="H1133" s="13"/>
      <c r="I1133" s="13"/>
    </row>
    <row r="1134" spans="1:9">
      <c r="A1134" s="13" t="s">
        <v>1822</v>
      </c>
      <c r="B1134" s="138" t="s">
        <v>549</v>
      </c>
      <c r="C1134" s="138" t="s">
        <v>386</v>
      </c>
      <c r="D1134" s="15">
        <v>12500000</v>
      </c>
      <c r="E1134" s="153">
        <v>0.96364549700000002</v>
      </c>
      <c r="F1134" s="18">
        <v>12045568.710000001</v>
      </c>
      <c r="G1134" s="18">
        <v>0.02</v>
      </c>
      <c r="H1134" s="13"/>
      <c r="I1134" s="13"/>
    </row>
    <row r="1135" spans="1:9">
      <c r="A1135" s="13" t="s">
        <v>1823</v>
      </c>
      <c r="B1135" s="138" t="s">
        <v>549</v>
      </c>
      <c r="C1135" s="138" t="s">
        <v>386</v>
      </c>
      <c r="D1135" s="15">
        <v>11500000</v>
      </c>
      <c r="E1135" s="153">
        <v>0.96364549700000002</v>
      </c>
      <c r="F1135" s="18">
        <v>11081923.220000001</v>
      </c>
      <c r="G1135" s="18">
        <v>0.02</v>
      </c>
      <c r="H1135" s="13"/>
      <c r="I1135" s="13"/>
    </row>
    <row r="1136" spans="1:9">
      <c r="A1136" s="13" t="s">
        <v>1824</v>
      </c>
      <c r="B1136" s="138" t="s">
        <v>549</v>
      </c>
      <c r="C1136" s="138" t="s">
        <v>386</v>
      </c>
      <c r="D1136" s="15">
        <v>29000000</v>
      </c>
      <c r="E1136" s="153">
        <v>0.96364549700000002</v>
      </c>
      <c r="F1136" s="18">
        <v>27945719.41</v>
      </c>
      <c r="G1136" s="18">
        <v>0.05</v>
      </c>
      <c r="H1136" s="13"/>
      <c r="I1136" s="13"/>
    </row>
    <row r="1137" spans="1:9">
      <c r="A1137" s="13" t="s">
        <v>1825</v>
      </c>
      <c r="B1137" s="138" t="s">
        <v>549</v>
      </c>
      <c r="C1137" s="138" t="s">
        <v>386</v>
      </c>
      <c r="D1137" s="15">
        <v>10795000</v>
      </c>
      <c r="E1137" s="153">
        <v>0.96364549700000002</v>
      </c>
      <c r="F1137" s="18">
        <v>10402553.140000001</v>
      </c>
      <c r="G1137" s="18">
        <v>0.02</v>
      </c>
      <c r="H1137" s="13"/>
      <c r="I1137" s="13"/>
    </row>
    <row r="1138" spans="1:9">
      <c r="A1138" s="13" t="s">
        <v>1826</v>
      </c>
      <c r="B1138" s="138" t="s">
        <v>549</v>
      </c>
      <c r="C1138" s="138" t="s">
        <v>386</v>
      </c>
      <c r="D1138" s="15">
        <v>20000000</v>
      </c>
      <c r="E1138" s="153">
        <v>0.96364549700000002</v>
      </c>
      <c r="F1138" s="18">
        <v>19272909.940000001</v>
      </c>
      <c r="G1138" s="18">
        <v>0.03</v>
      </c>
      <c r="H1138" s="13"/>
      <c r="I1138" s="13"/>
    </row>
    <row r="1139" spans="1:9">
      <c r="A1139" s="13" t="s">
        <v>1827</v>
      </c>
      <c r="B1139" s="138" t="s">
        <v>610</v>
      </c>
      <c r="C1139" s="138" t="s">
        <v>386</v>
      </c>
      <c r="D1139" s="15">
        <v>5000000</v>
      </c>
      <c r="E1139" s="153">
        <v>0.99819505600000002</v>
      </c>
      <c r="F1139" s="18">
        <v>4990975.28</v>
      </c>
      <c r="G1139" s="18">
        <v>0.01</v>
      </c>
      <c r="H1139" s="13"/>
      <c r="I1139" s="13"/>
    </row>
    <row r="1140" spans="1:9">
      <c r="A1140" s="13" t="s">
        <v>1828</v>
      </c>
      <c r="B1140" s="138" t="s">
        <v>370</v>
      </c>
      <c r="C1140" s="138" t="s">
        <v>386</v>
      </c>
      <c r="D1140" s="15">
        <v>7500000</v>
      </c>
      <c r="E1140" s="92">
        <v>0.99729501470000004</v>
      </c>
      <c r="F1140" s="18">
        <v>7479712.6100000003</v>
      </c>
      <c r="G1140" s="18">
        <v>0.01</v>
      </c>
      <c r="H1140" s="13"/>
      <c r="I1140" s="13"/>
    </row>
    <row r="1141" spans="1:9">
      <c r="A1141" s="13" t="s">
        <v>1829</v>
      </c>
      <c r="B1141" s="138" t="s">
        <v>610</v>
      </c>
      <c r="C1141" s="138" t="s">
        <v>386</v>
      </c>
      <c r="D1141" s="15">
        <v>4000000</v>
      </c>
      <c r="E1141" s="153">
        <v>0.99819505500000005</v>
      </c>
      <c r="F1141" s="18">
        <v>3992780.22</v>
      </c>
      <c r="G1141" s="18">
        <v>0.01</v>
      </c>
      <c r="H1141" s="13"/>
      <c r="I1141" s="13"/>
    </row>
    <row r="1142" spans="1:9">
      <c r="A1142" s="13" t="s">
        <v>1830</v>
      </c>
      <c r="B1142" s="138" t="s">
        <v>610</v>
      </c>
      <c r="C1142" s="138" t="s">
        <v>386</v>
      </c>
      <c r="D1142" s="15">
        <v>7500000</v>
      </c>
      <c r="E1142" s="92">
        <v>0.99819505460000002</v>
      </c>
      <c r="F1142" s="18">
        <v>7486462.9100000001</v>
      </c>
      <c r="G1142" s="18">
        <v>0.01</v>
      </c>
      <c r="H1142" s="13"/>
      <c r="I1142" s="13"/>
    </row>
    <row r="1143" spans="1:9">
      <c r="A1143" s="13" t="s">
        <v>1831</v>
      </c>
      <c r="B1143" s="138" t="s">
        <v>370</v>
      </c>
      <c r="C1143" s="138" t="s">
        <v>386</v>
      </c>
      <c r="D1143" s="15">
        <v>5350000</v>
      </c>
      <c r="E1143" s="92">
        <v>0.99729501490000005</v>
      </c>
      <c r="F1143" s="18">
        <v>5335528.33</v>
      </c>
      <c r="G1143" s="18">
        <v>0.01</v>
      </c>
      <c r="H1143" s="13"/>
      <c r="I1143" s="13"/>
    </row>
    <row r="1144" spans="1:9">
      <c r="A1144" s="13" t="s">
        <v>1832</v>
      </c>
      <c r="B1144" s="138" t="s">
        <v>1391</v>
      </c>
      <c r="C1144" s="138" t="s">
        <v>386</v>
      </c>
      <c r="D1144" s="18">
        <v>2502550.36</v>
      </c>
      <c r="E1144" s="92">
        <v>0.93570554549999996</v>
      </c>
      <c r="F1144" s="18">
        <v>2341650.25</v>
      </c>
      <c r="G1144" s="15">
        <v>0</v>
      </c>
      <c r="H1144" s="13"/>
      <c r="I1144" s="13"/>
    </row>
    <row r="1145" spans="1:9">
      <c r="A1145" s="13" t="s">
        <v>1833</v>
      </c>
      <c r="B1145" s="138" t="s">
        <v>1391</v>
      </c>
      <c r="C1145" s="138" t="s">
        <v>386</v>
      </c>
      <c r="D1145" s="18">
        <v>2502550.36</v>
      </c>
      <c r="E1145" s="92">
        <v>0.93570554549999996</v>
      </c>
      <c r="F1145" s="18">
        <v>2341650.25</v>
      </c>
      <c r="G1145" s="15">
        <v>0</v>
      </c>
      <c r="H1145" s="13"/>
      <c r="I1145" s="13"/>
    </row>
    <row r="1146" spans="1:9">
      <c r="A1146" s="13" t="s">
        <v>1834</v>
      </c>
      <c r="B1146" s="138" t="s">
        <v>740</v>
      </c>
      <c r="C1146" s="138" t="s">
        <v>386</v>
      </c>
      <c r="D1146" s="18">
        <v>2502550.36</v>
      </c>
      <c r="E1146" s="92">
        <v>0.93491477239999998</v>
      </c>
      <c r="F1146" s="150">
        <v>2339671.2999999998</v>
      </c>
      <c r="G1146" s="15">
        <v>0</v>
      </c>
      <c r="H1146" s="13"/>
      <c r="I1146" s="13"/>
    </row>
    <row r="1147" spans="1:9">
      <c r="A1147" s="13" t="s">
        <v>1835</v>
      </c>
      <c r="B1147" s="138" t="s">
        <v>595</v>
      </c>
      <c r="C1147" s="138" t="s">
        <v>386</v>
      </c>
      <c r="D1147" s="18">
        <v>2502550.36</v>
      </c>
      <c r="E1147" s="92">
        <v>0.94127965970000005</v>
      </c>
      <c r="F1147" s="18">
        <v>2355599.75</v>
      </c>
      <c r="G1147" s="15">
        <v>0</v>
      </c>
      <c r="H1147" s="13"/>
      <c r="I1147" s="13"/>
    </row>
    <row r="1148" spans="1:9">
      <c r="A1148" s="13" t="s">
        <v>1836</v>
      </c>
      <c r="B1148" s="138" t="s">
        <v>1391</v>
      </c>
      <c r="C1148" s="138" t="s">
        <v>386</v>
      </c>
      <c r="D1148" s="15">
        <v>2250000</v>
      </c>
      <c r="E1148" s="92">
        <v>0.9357055474</v>
      </c>
      <c r="F1148" s="18">
        <v>2105337.48</v>
      </c>
      <c r="G1148" s="15">
        <v>0</v>
      </c>
      <c r="H1148" s="13"/>
      <c r="I1148" s="13"/>
    </row>
    <row r="1149" spans="1:9">
      <c r="A1149" s="13" t="s">
        <v>1837</v>
      </c>
      <c r="B1149" s="138" t="s">
        <v>1171</v>
      </c>
      <c r="C1149" s="138" t="s">
        <v>386</v>
      </c>
      <c r="D1149" s="18">
        <v>2502550.36</v>
      </c>
      <c r="E1149" s="92">
        <v>0.94368912490000001</v>
      </c>
      <c r="F1149" s="18">
        <v>2361629.56</v>
      </c>
      <c r="G1149" s="15">
        <v>0</v>
      </c>
      <c r="H1149" s="13"/>
      <c r="I1149" s="13"/>
    </row>
    <row r="1150" spans="1:9">
      <c r="A1150" s="13" t="s">
        <v>1838</v>
      </c>
      <c r="B1150" s="138" t="s">
        <v>595</v>
      </c>
      <c r="C1150" s="138" t="s">
        <v>386</v>
      </c>
      <c r="D1150" s="18">
        <v>2502550.36</v>
      </c>
      <c r="E1150" s="92">
        <v>0.94127965970000005</v>
      </c>
      <c r="F1150" s="18">
        <v>2355599.75</v>
      </c>
      <c r="G1150" s="15">
        <v>0</v>
      </c>
      <c r="H1150" s="13"/>
      <c r="I1150" s="13"/>
    </row>
    <row r="1151" spans="1:9">
      <c r="A1151" s="13" t="s">
        <v>1839</v>
      </c>
      <c r="B1151" s="138" t="s">
        <v>890</v>
      </c>
      <c r="C1151" s="138" t="s">
        <v>386</v>
      </c>
      <c r="D1151" s="18">
        <v>2502550.36</v>
      </c>
      <c r="E1151" s="92">
        <v>0.94047943940000001</v>
      </c>
      <c r="F1151" s="18">
        <v>2353597.16</v>
      </c>
      <c r="G1151" s="15">
        <v>0</v>
      </c>
      <c r="H1151" s="13"/>
      <c r="I1151" s="13"/>
    </row>
    <row r="1152" spans="1:9">
      <c r="A1152" s="13" t="s">
        <v>1840</v>
      </c>
      <c r="B1152" s="138" t="s">
        <v>890</v>
      </c>
      <c r="C1152" s="138" t="s">
        <v>386</v>
      </c>
      <c r="D1152" s="18">
        <v>2502550.36</v>
      </c>
      <c r="E1152" s="92">
        <v>0.94047943940000001</v>
      </c>
      <c r="F1152" s="18">
        <v>2353597.16</v>
      </c>
      <c r="G1152" s="15">
        <v>0</v>
      </c>
      <c r="H1152" s="13"/>
      <c r="I1152" s="13"/>
    </row>
    <row r="1153" spans="1:9">
      <c r="A1153" s="13" t="s">
        <v>1841</v>
      </c>
      <c r="B1153" s="138" t="s">
        <v>531</v>
      </c>
      <c r="C1153" s="138" t="s">
        <v>386</v>
      </c>
      <c r="D1153" s="15">
        <v>100000000</v>
      </c>
      <c r="E1153" s="153">
        <v>0.96971317400000001</v>
      </c>
      <c r="F1153" s="150">
        <v>96971317.400000006</v>
      </c>
      <c r="G1153" s="18">
        <v>0.16</v>
      </c>
      <c r="H1153" s="13"/>
      <c r="I1153" s="13"/>
    </row>
    <row r="1154" spans="1:9">
      <c r="A1154" s="13" t="s">
        <v>1842</v>
      </c>
      <c r="B1154" s="138" t="s">
        <v>531</v>
      </c>
      <c r="C1154" s="138" t="s">
        <v>386</v>
      </c>
      <c r="D1154" s="15">
        <v>100000000</v>
      </c>
      <c r="E1154" s="153">
        <v>0.96971317400000001</v>
      </c>
      <c r="F1154" s="150">
        <v>96971317.400000006</v>
      </c>
      <c r="G1154" s="18">
        <v>0.16</v>
      </c>
      <c r="H1154" s="13"/>
      <c r="I1154" s="13"/>
    </row>
    <row r="1155" spans="1:9">
      <c r="A1155" s="13" t="s">
        <v>1843</v>
      </c>
      <c r="B1155" s="138" t="s">
        <v>531</v>
      </c>
      <c r="C1155" s="138" t="s">
        <v>386</v>
      </c>
      <c r="D1155" s="15">
        <v>100000000</v>
      </c>
      <c r="E1155" s="153">
        <v>0.96971317400000001</v>
      </c>
      <c r="F1155" s="150">
        <v>96971317.400000006</v>
      </c>
      <c r="G1155" s="18">
        <v>0.16</v>
      </c>
      <c r="H1155" s="13"/>
      <c r="I1155" s="13"/>
    </row>
    <row r="1156" spans="1:9">
      <c r="A1156" s="13" t="s">
        <v>1844</v>
      </c>
      <c r="B1156" s="138" t="s">
        <v>531</v>
      </c>
      <c r="C1156" s="138" t="s">
        <v>386</v>
      </c>
      <c r="D1156" s="15">
        <v>100000000</v>
      </c>
      <c r="E1156" s="153">
        <v>0.96971317400000001</v>
      </c>
      <c r="F1156" s="150">
        <v>96971317.400000006</v>
      </c>
      <c r="G1156" s="18">
        <v>0.16</v>
      </c>
      <c r="H1156" s="13"/>
      <c r="I1156" s="13"/>
    </row>
    <row r="1157" spans="1:9">
      <c r="A1157" s="13" t="s">
        <v>1845</v>
      </c>
      <c r="B1157" s="138" t="s">
        <v>531</v>
      </c>
      <c r="C1157" s="138" t="s">
        <v>386</v>
      </c>
      <c r="D1157" s="15">
        <v>100000000</v>
      </c>
      <c r="E1157" s="153">
        <v>0.96971317400000001</v>
      </c>
      <c r="F1157" s="150">
        <v>96971317.400000006</v>
      </c>
      <c r="G1157" s="18">
        <v>0.16</v>
      </c>
      <c r="H1157" s="13"/>
      <c r="I1157" s="13"/>
    </row>
    <row r="1158" spans="1:9">
      <c r="A1158" s="13" t="s">
        <v>1846</v>
      </c>
      <c r="B1158" s="138" t="s">
        <v>549</v>
      </c>
      <c r="C1158" s="138" t="s">
        <v>386</v>
      </c>
      <c r="D1158" s="15">
        <v>10000000</v>
      </c>
      <c r="E1158" s="92">
        <v>0.95464771230000001</v>
      </c>
      <c r="F1158" s="18">
        <v>9546477.1199999992</v>
      </c>
      <c r="G1158" s="18">
        <v>0.02</v>
      </c>
      <c r="H1158" s="13"/>
      <c r="I1158" s="13"/>
    </row>
    <row r="1159" spans="1:9">
      <c r="A1159" s="13" t="s">
        <v>1847</v>
      </c>
      <c r="B1159" s="138" t="s">
        <v>549</v>
      </c>
      <c r="C1159" s="138" t="s">
        <v>386</v>
      </c>
      <c r="D1159" s="15">
        <v>10000000</v>
      </c>
      <c r="E1159" s="92">
        <v>0.95464771230000001</v>
      </c>
      <c r="F1159" s="18">
        <v>9546477.1199999992</v>
      </c>
      <c r="G1159" s="18">
        <v>0.02</v>
      </c>
      <c r="H1159" s="13"/>
      <c r="I1159" s="13"/>
    </row>
    <row r="1160" spans="1:9">
      <c r="A1160" s="13" t="s">
        <v>1848</v>
      </c>
      <c r="B1160" s="138" t="s">
        <v>499</v>
      </c>
      <c r="C1160" s="138" t="s">
        <v>386</v>
      </c>
      <c r="D1160" s="15">
        <v>10000000</v>
      </c>
      <c r="E1160" s="92">
        <v>0.95379967990000003</v>
      </c>
      <c r="F1160" s="150">
        <v>9537996.8000000007</v>
      </c>
      <c r="G1160" s="18">
        <v>0.02</v>
      </c>
      <c r="H1160" s="13"/>
      <c r="I1160" s="13"/>
    </row>
    <row r="1161" spans="1:9">
      <c r="A1161" s="13" t="s">
        <v>1850</v>
      </c>
      <c r="B1161" s="138" t="s">
        <v>494</v>
      </c>
      <c r="C1161" s="138" t="s">
        <v>388</v>
      </c>
      <c r="D1161" s="15">
        <v>4300000</v>
      </c>
      <c r="E1161" s="92">
        <v>0.96148790920000005</v>
      </c>
      <c r="F1161" s="18">
        <v>4134398.01</v>
      </c>
      <c r="G1161" s="18">
        <v>0.01</v>
      </c>
      <c r="H1161" s="13"/>
      <c r="I1161" s="13"/>
    </row>
    <row r="1162" spans="1:9">
      <c r="A1162" s="13" t="s">
        <v>1851</v>
      </c>
      <c r="B1162" s="138" t="s">
        <v>727</v>
      </c>
      <c r="C1162" s="138" t="s">
        <v>388</v>
      </c>
      <c r="D1162" s="15">
        <v>4300000</v>
      </c>
      <c r="E1162" s="153">
        <v>0.95634876300000005</v>
      </c>
      <c r="F1162" s="18">
        <v>4112299.68</v>
      </c>
      <c r="G1162" s="18">
        <v>0.01</v>
      </c>
      <c r="H1162" s="13"/>
      <c r="I1162" s="13"/>
    </row>
    <row r="1163" spans="1:9">
      <c r="A1163" s="13" t="s">
        <v>1852</v>
      </c>
      <c r="B1163" s="138" t="s">
        <v>593</v>
      </c>
      <c r="C1163" s="138" t="s">
        <v>388</v>
      </c>
      <c r="D1163" s="15">
        <v>20000000</v>
      </c>
      <c r="E1163" s="92">
        <v>0.94290891830000001</v>
      </c>
      <c r="F1163" s="18">
        <v>18858178.370000001</v>
      </c>
      <c r="G1163" s="18">
        <v>0.03</v>
      </c>
      <c r="H1163" s="13"/>
      <c r="I1163" s="13"/>
    </row>
    <row r="1164" spans="1:9">
      <c r="A1164" s="13" t="s">
        <v>1853</v>
      </c>
      <c r="B1164" s="138" t="s">
        <v>533</v>
      </c>
      <c r="C1164" s="138" t="s">
        <v>388</v>
      </c>
      <c r="D1164" s="15">
        <v>4750000</v>
      </c>
      <c r="E1164" s="92">
        <v>0.98574062929999995</v>
      </c>
      <c r="F1164" s="18">
        <v>4682267.99</v>
      </c>
      <c r="G1164" s="18">
        <v>0.01</v>
      </c>
      <c r="H1164" s="13"/>
      <c r="I1164" s="13"/>
    </row>
    <row r="1165" spans="1:9">
      <c r="A1165" s="13" t="s">
        <v>1854</v>
      </c>
      <c r="B1165" s="138" t="s">
        <v>647</v>
      </c>
      <c r="C1165" s="138" t="s">
        <v>388</v>
      </c>
      <c r="D1165" s="15">
        <v>5350000</v>
      </c>
      <c r="E1165" s="92">
        <v>0.98486287459999999</v>
      </c>
      <c r="F1165" s="18">
        <v>5269016.38</v>
      </c>
      <c r="G1165" s="18">
        <v>0.01</v>
      </c>
      <c r="H1165" s="13"/>
      <c r="I1165" s="13"/>
    </row>
    <row r="1166" spans="1:9">
      <c r="A1166" s="13" t="s">
        <v>1855</v>
      </c>
      <c r="B1166" s="138" t="s">
        <v>546</v>
      </c>
      <c r="C1166" s="138" t="s">
        <v>388</v>
      </c>
      <c r="D1166" s="15">
        <v>4750000</v>
      </c>
      <c r="E1166" s="92">
        <v>0.98223907610000005</v>
      </c>
      <c r="F1166" s="18">
        <v>4665635.6100000003</v>
      </c>
      <c r="G1166" s="18">
        <v>0.01</v>
      </c>
      <c r="H1166" s="13"/>
      <c r="I1166" s="13"/>
    </row>
    <row r="1167" spans="1:9">
      <c r="A1167" s="13" t="s">
        <v>1856</v>
      </c>
      <c r="B1167" s="138" t="s">
        <v>456</v>
      </c>
      <c r="C1167" s="138" t="s">
        <v>388</v>
      </c>
      <c r="D1167" s="15">
        <v>5350000</v>
      </c>
      <c r="E1167" s="92">
        <v>0.98136754420000005</v>
      </c>
      <c r="F1167" s="18">
        <v>5250316.3600000003</v>
      </c>
      <c r="G1167" s="18">
        <v>0.01</v>
      </c>
      <c r="H1167" s="13"/>
      <c r="I1167" s="13"/>
    </row>
    <row r="1168" spans="1:9">
      <c r="A1168" s="13" t="s">
        <v>1857</v>
      </c>
      <c r="B1168" s="138" t="s">
        <v>622</v>
      </c>
      <c r="C1168" s="138" t="s">
        <v>388</v>
      </c>
      <c r="D1168" s="15">
        <v>5000000</v>
      </c>
      <c r="E1168" s="92">
        <v>0.98661983789999996</v>
      </c>
      <c r="F1168" s="18">
        <v>4933099.1900000004</v>
      </c>
      <c r="G1168" s="18">
        <v>0.01</v>
      </c>
      <c r="H1168" s="13"/>
      <c r="I1168" s="13"/>
    </row>
    <row r="1169" spans="1:9">
      <c r="A1169" s="13" t="s">
        <v>1858</v>
      </c>
      <c r="B1169" s="138" t="s">
        <v>647</v>
      </c>
      <c r="C1169" s="138" t="s">
        <v>388</v>
      </c>
      <c r="D1169" s="15">
        <v>5000000</v>
      </c>
      <c r="E1169" s="153">
        <v>0.984862876</v>
      </c>
      <c r="F1169" s="18">
        <v>4924314.38</v>
      </c>
      <c r="G1169" s="18">
        <v>0.01</v>
      </c>
      <c r="H1169" s="13"/>
      <c r="I1169" s="13"/>
    </row>
    <row r="1170" spans="1:9">
      <c r="A1170" s="13" t="s">
        <v>1859</v>
      </c>
      <c r="B1170" s="138" t="s">
        <v>456</v>
      </c>
      <c r="C1170" s="138" t="s">
        <v>388</v>
      </c>
      <c r="D1170" s="15">
        <v>5000000</v>
      </c>
      <c r="E1170" s="153">
        <v>0.98136754199999998</v>
      </c>
      <c r="F1170" s="18">
        <v>4906837.71</v>
      </c>
      <c r="G1170" s="18">
        <v>0.01</v>
      </c>
      <c r="H1170" s="13"/>
      <c r="I1170" s="13"/>
    </row>
    <row r="1171" spans="1:9">
      <c r="A1171" s="13" t="s">
        <v>1860</v>
      </c>
      <c r="B1171" s="138" t="s">
        <v>450</v>
      </c>
      <c r="C1171" s="138" t="s">
        <v>388</v>
      </c>
      <c r="D1171" s="15">
        <v>5350000</v>
      </c>
      <c r="E1171" s="92">
        <v>0.98049754229999997</v>
      </c>
      <c r="F1171" s="18">
        <v>5245661.8499999996</v>
      </c>
      <c r="G1171" s="18">
        <v>0.01</v>
      </c>
      <c r="H1171" s="13"/>
      <c r="I1171" s="13"/>
    </row>
    <row r="1172" spans="1:9">
      <c r="A1172" s="13" t="s">
        <v>1861</v>
      </c>
      <c r="B1172" s="138" t="s">
        <v>551</v>
      </c>
      <c r="C1172" s="138" t="s">
        <v>388</v>
      </c>
      <c r="D1172" s="15">
        <v>4750000</v>
      </c>
      <c r="E1172" s="92">
        <v>0.97876231189999996</v>
      </c>
      <c r="F1172" s="18">
        <v>4649120.9800000004</v>
      </c>
      <c r="G1172" s="18">
        <v>0.01</v>
      </c>
      <c r="H1172" s="13"/>
      <c r="I1172" s="13"/>
    </row>
    <row r="1173" spans="1:9">
      <c r="A1173" s="13" t="s">
        <v>1862</v>
      </c>
      <c r="B1173" s="138" t="s">
        <v>622</v>
      </c>
      <c r="C1173" s="138" t="s">
        <v>388</v>
      </c>
      <c r="D1173" s="15">
        <v>2000000</v>
      </c>
      <c r="E1173" s="92">
        <v>0.9866198451</v>
      </c>
      <c r="F1173" s="18">
        <v>1973239.69</v>
      </c>
      <c r="G1173" s="15">
        <v>0</v>
      </c>
      <c r="H1173" s="13"/>
      <c r="I1173" s="13"/>
    </row>
    <row r="1174" spans="1:9">
      <c r="A1174" s="13" t="s">
        <v>1863</v>
      </c>
      <c r="B1174" s="138" t="s">
        <v>647</v>
      </c>
      <c r="C1174" s="138" t="s">
        <v>388</v>
      </c>
      <c r="D1174" s="15">
        <v>2000000</v>
      </c>
      <c r="E1174" s="92">
        <v>0.98486287510000003</v>
      </c>
      <c r="F1174" s="18">
        <v>1969725.75</v>
      </c>
      <c r="G1174" s="15">
        <v>0</v>
      </c>
      <c r="H1174" s="13"/>
      <c r="I1174" s="13"/>
    </row>
    <row r="1175" spans="1:9">
      <c r="A1175" s="13" t="s">
        <v>1864</v>
      </c>
      <c r="B1175" s="138" t="s">
        <v>546</v>
      </c>
      <c r="C1175" s="138" t="s">
        <v>388</v>
      </c>
      <c r="D1175" s="15">
        <v>1500000</v>
      </c>
      <c r="E1175" s="92">
        <v>0.98223907980000003</v>
      </c>
      <c r="F1175" s="18">
        <v>1473358.62</v>
      </c>
      <c r="G1175" s="15">
        <v>0</v>
      </c>
      <c r="H1175" s="13"/>
      <c r="I1175" s="13"/>
    </row>
    <row r="1176" spans="1:9">
      <c r="A1176" s="13" t="s">
        <v>1865</v>
      </c>
      <c r="B1176" s="138" t="s">
        <v>575</v>
      </c>
      <c r="C1176" s="138" t="s">
        <v>388</v>
      </c>
      <c r="D1176" s="18">
        <v>990902.64</v>
      </c>
      <c r="E1176" s="92">
        <v>0.93412520239999997</v>
      </c>
      <c r="F1176" s="18">
        <v>925627.13</v>
      </c>
      <c r="G1176" s="15">
        <v>0</v>
      </c>
      <c r="H1176" s="13"/>
      <c r="I1176" s="13"/>
    </row>
    <row r="1177" spans="1:9">
      <c r="A1177" s="13" t="s">
        <v>1866</v>
      </c>
      <c r="B1177" s="138" t="s">
        <v>571</v>
      </c>
      <c r="C1177" s="138" t="s">
        <v>388</v>
      </c>
      <c r="D1177" s="15">
        <v>735765</v>
      </c>
      <c r="E1177" s="92">
        <v>0.92863501159999995</v>
      </c>
      <c r="F1177" s="18">
        <v>683257.14</v>
      </c>
      <c r="G1177" s="15">
        <v>0</v>
      </c>
      <c r="H1177" s="13"/>
      <c r="I1177" s="13"/>
    </row>
    <row r="1178" spans="1:9">
      <c r="A1178" s="13" t="s">
        <v>1867</v>
      </c>
      <c r="B1178" s="138" t="s">
        <v>573</v>
      </c>
      <c r="C1178" s="138" t="s">
        <v>388</v>
      </c>
      <c r="D1178" s="18">
        <v>2900162.75</v>
      </c>
      <c r="E1178" s="92">
        <v>0.92320925070000004</v>
      </c>
      <c r="F1178" s="18">
        <v>2677457.08</v>
      </c>
      <c r="G1178" s="15">
        <v>0</v>
      </c>
      <c r="H1178" s="13"/>
      <c r="I1178" s="13"/>
    </row>
    <row r="1179" spans="1:9">
      <c r="A1179" s="13" t="s">
        <v>1868</v>
      </c>
      <c r="B1179" s="138" t="s">
        <v>480</v>
      </c>
      <c r="C1179" s="138" t="s">
        <v>388</v>
      </c>
      <c r="D1179" s="18">
        <v>6372173.0499999998</v>
      </c>
      <c r="E1179" s="92">
        <v>0.99909670849999999</v>
      </c>
      <c r="F1179" s="18">
        <v>6366417.1200000001</v>
      </c>
      <c r="G1179" s="18">
        <v>0.01</v>
      </c>
      <c r="H1179" s="13"/>
      <c r="I1179" s="13"/>
    </row>
    <row r="1180" spans="1:9">
      <c r="A1180" s="13" t="s">
        <v>1869</v>
      </c>
      <c r="B1180" s="138" t="s">
        <v>622</v>
      </c>
      <c r="C1180" s="138" t="s">
        <v>388</v>
      </c>
      <c r="D1180" s="15">
        <v>7023518</v>
      </c>
      <c r="E1180" s="92">
        <v>0.98661983789999996</v>
      </c>
      <c r="F1180" s="18">
        <v>6929542.1900000004</v>
      </c>
      <c r="G1180" s="18">
        <v>0.01</v>
      </c>
      <c r="H1180" s="13"/>
      <c r="I1180" s="13"/>
    </row>
    <row r="1181" spans="1:9">
      <c r="A1181" s="13" t="s">
        <v>1870</v>
      </c>
      <c r="B1181" s="138" t="s">
        <v>1221</v>
      </c>
      <c r="C1181" s="138" t="s">
        <v>388</v>
      </c>
      <c r="D1181" s="15">
        <v>3320250</v>
      </c>
      <c r="E1181" s="92">
        <v>0.91784651039999998</v>
      </c>
      <c r="F1181" s="18">
        <v>3047479.88</v>
      </c>
      <c r="G1181" s="15">
        <v>0</v>
      </c>
      <c r="H1181" s="13"/>
      <c r="I1181" s="13"/>
    </row>
    <row r="1182" spans="1:9">
      <c r="A1182" s="13" t="s">
        <v>1871</v>
      </c>
      <c r="B1182" s="138" t="s">
        <v>1872</v>
      </c>
      <c r="C1182" s="138" t="s">
        <v>388</v>
      </c>
      <c r="D1182" s="15">
        <v>1392835</v>
      </c>
      <c r="E1182" s="92">
        <v>0.9186088456</v>
      </c>
      <c r="F1182" s="18">
        <v>1279470.55</v>
      </c>
      <c r="G1182" s="15">
        <v>0</v>
      </c>
      <c r="H1182" s="13"/>
      <c r="I1182" s="13"/>
    </row>
    <row r="1183" spans="1:9">
      <c r="A1183" s="13" t="s">
        <v>1873</v>
      </c>
      <c r="B1183" s="138" t="s">
        <v>734</v>
      </c>
      <c r="C1183" s="138" t="s">
        <v>388</v>
      </c>
      <c r="D1183" s="18">
        <v>5468322.6299999999</v>
      </c>
      <c r="E1183" s="92">
        <v>0.93019712379999997</v>
      </c>
      <c r="F1183" s="18">
        <v>5086617.9800000004</v>
      </c>
      <c r="G1183" s="18">
        <v>0.01</v>
      </c>
      <c r="H1183" s="13"/>
      <c r="I1183" s="13"/>
    </row>
    <row r="1184" spans="1:9">
      <c r="A1184" s="13" t="s">
        <v>1874</v>
      </c>
      <c r="B1184" s="138" t="s">
        <v>415</v>
      </c>
      <c r="C1184" s="138" t="s">
        <v>388</v>
      </c>
      <c r="D1184" s="15">
        <v>5721178</v>
      </c>
      <c r="E1184" s="92">
        <v>0.99346761979999998</v>
      </c>
      <c r="F1184" s="18">
        <v>5683805.0899999999</v>
      </c>
      <c r="G1184" s="18">
        <v>0.01</v>
      </c>
      <c r="H1184" s="13"/>
      <c r="I1184" s="13"/>
    </row>
    <row r="1185" spans="1:9">
      <c r="A1185" s="13" t="s">
        <v>1875</v>
      </c>
      <c r="B1185" s="138" t="s">
        <v>497</v>
      </c>
      <c r="C1185" s="138" t="s">
        <v>388</v>
      </c>
      <c r="D1185" s="15">
        <v>25000000</v>
      </c>
      <c r="E1185" s="92">
        <v>0.92941542710000002</v>
      </c>
      <c r="F1185" s="18">
        <v>23235385.68</v>
      </c>
      <c r="G1185" s="18">
        <v>0.04</v>
      </c>
      <c r="H1185" s="13"/>
      <c r="I1185" s="13"/>
    </row>
    <row r="1186" spans="1:9">
      <c r="A1186" s="13" t="s">
        <v>1876</v>
      </c>
      <c r="B1186" s="138" t="s">
        <v>452</v>
      </c>
      <c r="C1186" s="138" t="s">
        <v>388</v>
      </c>
      <c r="D1186" s="18">
        <v>450232.73</v>
      </c>
      <c r="E1186" s="92">
        <v>0.99411706470000005</v>
      </c>
      <c r="F1186" s="18">
        <v>447584.04</v>
      </c>
      <c r="G1186" s="15">
        <v>0</v>
      </c>
      <c r="H1186" s="13"/>
      <c r="I1186" s="13"/>
    </row>
    <row r="1187" spans="1:9">
      <c r="A1187" s="13" t="s">
        <v>1877</v>
      </c>
      <c r="B1187" s="138" t="s">
        <v>1872</v>
      </c>
      <c r="C1187" s="138" t="s">
        <v>388</v>
      </c>
      <c r="D1187" s="15">
        <v>50000000</v>
      </c>
      <c r="E1187" s="92">
        <v>0.93007857390000004</v>
      </c>
      <c r="F1187" s="150">
        <v>46503928.700000003</v>
      </c>
      <c r="G1187" s="18">
        <v>0.08</v>
      </c>
      <c r="H1187" s="13"/>
      <c r="I1187" s="13"/>
    </row>
    <row r="1188" spans="1:9">
      <c r="A1188" s="13" t="s">
        <v>1878</v>
      </c>
      <c r="B1188" s="138" t="s">
        <v>573</v>
      </c>
      <c r="C1188" s="138" t="s">
        <v>388</v>
      </c>
      <c r="D1188" s="15">
        <v>50000000</v>
      </c>
      <c r="E1188" s="92">
        <v>0.93407720709999997</v>
      </c>
      <c r="F1188" s="18">
        <v>46703860.359999999</v>
      </c>
      <c r="G1188" s="18">
        <v>0.08</v>
      </c>
      <c r="H1188" s="13"/>
      <c r="I1188" s="13"/>
    </row>
    <row r="1189" spans="1:9">
      <c r="A1189" s="13" t="s">
        <v>1879</v>
      </c>
      <c r="B1189" s="138" t="s">
        <v>581</v>
      </c>
      <c r="C1189" s="138" t="s">
        <v>388</v>
      </c>
      <c r="D1189" s="15">
        <v>50000000</v>
      </c>
      <c r="E1189" s="92">
        <v>0.95976860369999994</v>
      </c>
      <c r="F1189" s="18">
        <v>47988430.189999998</v>
      </c>
      <c r="G1189" s="18">
        <v>0.08</v>
      </c>
      <c r="H1189" s="13"/>
      <c r="I1189" s="13"/>
    </row>
    <row r="1190" spans="1:9">
      <c r="A1190" s="13" t="s">
        <v>1886</v>
      </c>
      <c r="B1190" s="138" t="s">
        <v>577</v>
      </c>
      <c r="C1190" s="138" t="s">
        <v>385</v>
      </c>
      <c r="D1190" s="150">
        <v>555886.5</v>
      </c>
      <c r="E1190" s="92">
        <v>0.97126143570000001</v>
      </c>
      <c r="F1190" s="18">
        <v>539911.12</v>
      </c>
      <c r="G1190" s="15">
        <v>0</v>
      </c>
      <c r="H1190" s="13"/>
      <c r="I1190" s="13"/>
    </row>
    <row r="1191" spans="1:9">
      <c r="A1191" s="13" t="s">
        <v>1887</v>
      </c>
      <c r="B1191" s="138" t="s">
        <v>444</v>
      </c>
      <c r="C1191" s="138" t="s">
        <v>385</v>
      </c>
      <c r="D1191" s="15">
        <v>200000000</v>
      </c>
      <c r="E1191" s="92">
        <v>0.99103998869999999</v>
      </c>
      <c r="F1191" s="18">
        <v>198207997.74000001</v>
      </c>
      <c r="G1191" s="18">
        <v>0.32</v>
      </c>
      <c r="H1191" s="13"/>
      <c r="I1191" s="13"/>
    </row>
    <row r="1192" spans="1:9">
      <c r="A1192" s="13" t="s">
        <v>1888</v>
      </c>
      <c r="B1192" s="138" t="s">
        <v>492</v>
      </c>
      <c r="C1192" s="138" t="s">
        <v>385</v>
      </c>
      <c r="D1192" s="15">
        <v>100000000</v>
      </c>
      <c r="E1192" s="92">
        <v>0.96740001009999999</v>
      </c>
      <c r="F1192" s="18">
        <v>96740001.010000005</v>
      </c>
      <c r="G1192" s="18">
        <v>0.16</v>
      </c>
      <c r="H1192" s="13"/>
      <c r="I1192" s="13"/>
    </row>
    <row r="1193" spans="1:9">
      <c r="A1193" s="13" t="s">
        <v>1889</v>
      </c>
      <c r="B1193" s="138" t="s">
        <v>541</v>
      </c>
      <c r="C1193" s="138" t="s">
        <v>385</v>
      </c>
      <c r="D1193" s="15">
        <v>100000000</v>
      </c>
      <c r="E1193" s="92">
        <v>0.96663137210000005</v>
      </c>
      <c r="F1193" s="18">
        <v>96663137.209999993</v>
      </c>
      <c r="G1193" s="18">
        <v>0.16</v>
      </c>
      <c r="H1193" s="13"/>
      <c r="I1193" s="13"/>
    </row>
    <row r="1194" spans="1:9">
      <c r="A1194" s="13" t="s">
        <v>1890</v>
      </c>
      <c r="B1194" s="138" t="s">
        <v>531</v>
      </c>
      <c r="C1194" s="138" t="s">
        <v>385</v>
      </c>
      <c r="D1194" s="15">
        <v>100000000</v>
      </c>
      <c r="E1194" s="92">
        <v>0.96971310249999998</v>
      </c>
      <c r="F1194" s="18">
        <v>96971310.25</v>
      </c>
      <c r="G1194" s="18">
        <v>0.16</v>
      </c>
      <c r="H1194" s="13"/>
      <c r="I1194" s="13"/>
    </row>
    <row r="1195" spans="1:9">
      <c r="A1195" s="13" t="s">
        <v>1891</v>
      </c>
      <c r="B1195" s="138" t="s">
        <v>1251</v>
      </c>
      <c r="C1195" s="138" t="s">
        <v>385</v>
      </c>
      <c r="D1195" s="15">
        <v>3948801</v>
      </c>
      <c r="E1195" s="92">
        <v>0.90462973140000003</v>
      </c>
      <c r="F1195" s="18">
        <v>3572202.79</v>
      </c>
      <c r="G1195" s="18">
        <v>0.01</v>
      </c>
      <c r="H1195" s="13"/>
      <c r="I1195" s="13"/>
    </row>
    <row r="1196" spans="1:9">
      <c r="A1196" s="13" t="s">
        <v>1892</v>
      </c>
      <c r="B1196" s="138" t="s">
        <v>1893</v>
      </c>
      <c r="C1196" s="138" t="s">
        <v>385</v>
      </c>
      <c r="D1196" s="15">
        <v>3948801</v>
      </c>
      <c r="E1196" s="92">
        <v>0.88803466460000002</v>
      </c>
      <c r="F1196" s="18">
        <v>3506672.17</v>
      </c>
      <c r="G1196" s="18">
        <v>0.01</v>
      </c>
      <c r="H1196" s="13"/>
      <c r="I1196" s="13"/>
    </row>
    <row r="1197" spans="1:9">
      <c r="A1197" s="13" t="s">
        <v>1894</v>
      </c>
      <c r="B1197" s="138" t="s">
        <v>1895</v>
      </c>
      <c r="C1197" s="138" t="s">
        <v>385</v>
      </c>
      <c r="D1197" s="15">
        <v>3948801</v>
      </c>
      <c r="E1197" s="92">
        <v>0.87257956540000003</v>
      </c>
      <c r="F1197" s="18">
        <v>3445643.06</v>
      </c>
      <c r="G1197" s="18">
        <v>0.01</v>
      </c>
      <c r="H1197" s="13"/>
      <c r="I1197" s="13"/>
    </row>
    <row r="1198" spans="1:9">
      <c r="A1198" s="13" t="s">
        <v>1896</v>
      </c>
      <c r="B1198" s="138" t="s">
        <v>1897</v>
      </c>
      <c r="C1198" s="138" t="s">
        <v>385</v>
      </c>
      <c r="D1198" s="15">
        <v>3948801</v>
      </c>
      <c r="E1198" s="92">
        <v>0.85556244120000002</v>
      </c>
      <c r="F1198" s="18">
        <v>3378445.82</v>
      </c>
      <c r="G1198" s="18">
        <v>0.01</v>
      </c>
      <c r="H1198" s="13"/>
      <c r="I1198" s="13"/>
    </row>
    <row r="1199" spans="1:9">
      <c r="A1199" s="13" t="s">
        <v>1898</v>
      </c>
      <c r="B1199" s="138" t="s">
        <v>879</v>
      </c>
      <c r="C1199" s="138" t="s">
        <v>385</v>
      </c>
      <c r="D1199" s="15">
        <v>50000000</v>
      </c>
      <c r="E1199" s="92">
        <v>0.91847005790000003</v>
      </c>
      <c r="F1199" s="150">
        <v>45923502.899999999</v>
      </c>
      <c r="G1199" s="18">
        <v>0.08</v>
      </c>
      <c r="H1199" s="13"/>
      <c r="I1199" s="13"/>
    </row>
    <row r="1200" spans="1:9">
      <c r="A1200" s="13" t="s">
        <v>1899</v>
      </c>
      <c r="B1200" s="138" t="s">
        <v>549</v>
      </c>
      <c r="C1200" s="138" t="s">
        <v>385</v>
      </c>
      <c r="D1200" s="15">
        <v>50000000</v>
      </c>
      <c r="E1200" s="153">
        <v>0.95976871699999999</v>
      </c>
      <c r="F1200" s="18">
        <v>47988435.850000001</v>
      </c>
      <c r="G1200" s="18">
        <v>0.08</v>
      </c>
      <c r="H1200" s="13"/>
      <c r="I1200" s="13"/>
    </row>
    <row r="1201" spans="1:9">
      <c r="A1201" s="13" t="s">
        <v>1900</v>
      </c>
      <c r="B1201" s="138" t="s">
        <v>571</v>
      </c>
      <c r="C1201" s="138" t="s">
        <v>385</v>
      </c>
      <c r="D1201" s="15">
        <v>50000000</v>
      </c>
      <c r="E1201" s="92">
        <v>0.93469916679999998</v>
      </c>
      <c r="F1201" s="18">
        <v>46734958.340000004</v>
      </c>
      <c r="G1201" s="18">
        <v>0.08</v>
      </c>
      <c r="H1201" s="13"/>
      <c r="I1201" s="13"/>
    </row>
    <row r="1202" spans="1:9">
      <c r="A1202" s="13" t="s">
        <v>1901</v>
      </c>
      <c r="B1202" s="138" t="s">
        <v>1245</v>
      </c>
      <c r="C1202" s="138" t="s">
        <v>385</v>
      </c>
      <c r="D1202" s="15">
        <v>50000000</v>
      </c>
      <c r="E1202" s="92">
        <v>0.90548267319999998</v>
      </c>
      <c r="F1202" s="18">
        <v>45274133.659999996</v>
      </c>
      <c r="G1202" s="18">
        <v>7.0000000000000007E-2</v>
      </c>
      <c r="H1202" s="13"/>
      <c r="I1202" s="13"/>
    </row>
    <row r="1203" spans="1:9">
      <c r="A1203" s="13" t="s">
        <v>1902</v>
      </c>
      <c r="B1203" s="138" t="s">
        <v>593</v>
      </c>
      <c r="C1203" s="138" t="s">
        <v>385</v>
      </c>
      <c r="D1203" s="15">
        <v>100000000</v>
      </c>
      <c r="E1203" s="92">
        <v>0.94608621589999997</v>
      </c>
      <c r="F1203" s="18">
        <v>94608621.590000004</v>
      </c>
      <c r="G1203" s="18">
        <v>0.15</v>
      </c>
      <c r="H1203" s="13"/>
      <c r="I1203" s="13"/>
    </row>
    <row r="1204" spans="1:9">
      <c r="A1204" s="13" t="s">
        <v>1903</v>
      </c>
      <c r="B1204" s="138" t="s">
        <v>456</v>
      </c>
      <c r="C1204" s="138" t="s">
        <v>385</v>
      </c>
      <c r="D1204" s="15">
        <v>158200000</v>
      </c>
      <c r="E1204" s="92">
        <v>0.97860488590000005</v>
      </c>
      <c r="F1204" s="18">
        <v>154815292.94999999</v>
      </c>
      <c r="G1204" s="18">
        <v>0.25</v>
      </c>
      <c r="H1204" s="13"/>
      <c r="I1204" s="13"/>
    </row>
    <row r="1205" spans="1:9">
      <c r="A1205" s="13" t="s">
        <v>1913</v>
      </c>
      <c r="B1205" s="138" t="s">
        <v>281</v>
      </c>
      <c r="C1205" s="138" t="s">
        <v>291</v>
      </c>
      <c r="D1205" s="15">
        <v>11500000</v>
      </c>
      <c r="E1205" s="92">
        <v>0.90454018189999996</v>
      </c>
      <c r="F1205" s="18">
        <v>10402212.09</v>
      </c>
      <c r="G1205" s="18">
        <v>0.02</v>
      </c>
      <c r="H1205" s="13"/>
      <c r="I1205" s="13"/>
    </row>
    <row r="1206" spans="1:9">
      <c r="A1206" s="13" t="s">
        <v>1914</v>
      </c>
      <c r="B1206" s="138" t="s">
        <v>875</v>
      </c>
      <c r="C1206" s="138" t="s">
        <v>291</v>
      </c>
      <c r="D1206" s="15">
        <v>11500000</v>
      </c>
      <c r="E1206" s="92">
        <v>0.90534795030000004</v>
      </c>
      <c r="F1206" s="18">
        <v>10411501.43</v>
      </c>
      <c r="G1206" s="18">
        <v>0.02</v>
      </c>
      <c r="H1206" s="13"/>
      <c r="I1206" s="13"/>
    </row>
    <row r="1207" spans="1:9">
      <c r="A1207" s="13" t="s">
        <v>1908</v>
      </c>
      <c r="B1207" s="138" t="s">
        <v>890</v>
      </c>
      <c r="C1207" s="138" t="s">
        <v>291</v>
      </c>
      <c r="D1207" s="15">
        <v>20000000</v>
      </c>
      <c r="E1207" s="92">
        <v>0.93878616029999995</v>
      </c>
      <c r="F1207" s="18">
        <v>18775723.210000001</v>
      </c>
      <c r="G1207" s="18">
        <v>0.03</v>
      </c>
      <c r="H1207" s="13"/>
      <c r="I1207" s="13"/>
    </row>
    <row r="1208" spans="1:9">
      <c r="A1208" s="13" t="s">
        <v>1911</v>
      </c>
      <c r="B1208" s="138" t="s">
        <v>1171</v>
      </c>
      <c r="C1208" s="138" t="s">
        <v>291</v>
      </c>
      <c r="D1208" s="15">
        <v>100000000</v>
      </c>
      <c r="E1208" s="92">
        <v>0.94530214189999995</v>
      </c>
      <c r="F1208" s="18">
        <v>94530214.189999998</v>
      </c>
      <c r="G1208" s="18">
        <v>0.15</v>
      </c>
      <c r="H1208" s="13"/>
      <c r="I1208" s="13"/>
    </row>
    <row r="1209" spans="1:9">
      <c r="A1209" s="13" t="s">
        <v>1912</v>
      </c>
      <c r="B1209" s="138" t="s">
        <v>595</v>
      </c>
      <c r="C1209" s="138" t="s">
        <v>291</v>
      </c>
      <c r="D1209" s="15">
        <v>100000000</v>
      </c>
      <c r="E1209" s="92">
        <v>0.94295772990000004</v>
      </c>
      <c r="F1209" s="18">
        <v>94295772.989999995</v>
      </c>
      <c r="G1209" s="18">
        <v>0.15</v>
      </c>
      <c r="H1209" s="13"/>
      <c r="I1209" s="13"/>
    </row>
    <row r="1210" spans="1:9">
      <c r="A1210" s="13" t="s">
        <v>1910</v>
      </c>
      <c r="B1210" s="138" t="s">
        <v>415</v>
      </c>
      <c r="C1210" s="138" t="s">
        <v>291</v>
      </c>
      <c r="D1210" s="18">
        <v>7169405.0599999996</v>
      </c>
      <c r="E1210" s="92">
        <v>0.99368402690000002</v>
      </c>
      <c r="F1210" s="18">
        <v>7124123.29</v>
      </c>
      <c r="G1210" s="18">
        <v>0.01</v>
      </c>
      <c r="H1210" s="13"/>
      <c r="I1210" s="13"/>
    </row>
    <row r="1211" spans="1:9">
      <c r="A1211" s="13" t="s">
        <v>1922</v>
      </c>
      <c r="B1211" s="138" t="s">
        <v>730</v>
      </c>
      <c r="C1211" s="138" t="s">
        <v>341</v>
      </c>
      <c r="D1211" s="18">
        <v>2753548.09</v>
      </c>
      <c r="E1211" s="92">
        <v>0.9507189935</v>
      </c>
      <c r="F1211" s="18">
        <v>2617850.4700000002</v>
      </c>
      <c r="G1211" s="15">
        <v>0</v>
      </c>
      <c r="H1211" s="13"/>
      <c r="I1211" s="13"/>
    </row>
    <row r="1212" spans="1:9">
      <c r="A1212" s="13" t="s">
        <v>1923</v>
      </c>
      <c r="B1212" s="138" t="s">
        <v>730</v>
      </c>
      <c r="C1212" s="138" t="s">
        <v>341</v>
      </c>
      <c r="D1212" s="18">
        <v>13824514.550000001</v>
      </c>
      <c r="E1212" s="92">
        <v>0.95071899130000004</v>
      </c>
      <c r="F1212" s="18">
        <v>13143228.529999999</v>
      </c>
      <c r="G1212" s="18">
        <v>0.02</v>
      </c>
      <c r="H1212" s="13"/>
      <c r="I1212" s="13"/>
    </row>
    <row r="1213" spans="1:9">
      <c r="A1213" s="13" t="s">
        <v>1924</v>
      </c>
      <c r="B1213" s="138" t="s">
        <v>730</v>
      </c>
      <c r="C1213" s="138" t="s">
        <v>341</v>
      </c>
      <c r="D1213" s="18">
        <v>4118494.87</v>
      </c>
      <c r="E1213" s="92">
        <v>0.95071898919999998</v>
      </c>
      <c r="F1213" s="18">
        <v>3915531.28</v>
      </c>
      <c r="G1213" s="18">
        <v>0.01</v>
      </c>
      <c r="H1213" s="13"/>
      <c r="I1213" s="13"/>
    </row>
    <row r="1214" spans="1:9">
      <c r="A1214" s="13" t="s">
        <v>1925</v>
      </c>
      <c r="B1214" s="138" t="s">
        <v>884</v>
      </c>
      <c r="C1214" s="138" t="s">
        <v>341</v>
      </c>
      <c r="D1214" s="18">
        <v>9164430.8599999994</v>
      </c>
      <c r="E1214" s="92">
        <v>0.94692066750000004</v>
      </c>
      <c r="F1214" s="18">
        <v>8677988.9900000002</v>
      </c>
      <c r="G1214" s="18">
        <v>0.01</v>
      </c>
      <c r="H1214" s="13"/>
      <c r="I1214" s="13"/>
    </row>
    <row r="1215" spans="1:9">
      <c r="A1215" s="13" t="s">
        <v>1926</v>
      </c>
      <c r="B1215" s="138" t="s">
        <v>730</v>
      </c>
      <c r="C1215" s="138" t="s">
        <v>341</v>
      </c>
      <c r="D1215" s="18">
        <v>2994215.75</v>
      </c>
      <c r="E1215" s="153">
        <v>0.95071898499999996</v>
      </c>
      <c r="F1215" s="18">
        <v>2846657.76</v>
      </c>
      <c r="G1215" s="15">
        <v>0</v>
      </c>
      <c r="H1215" s="13"/>
      <c r="I1215" s="13"/>
    </row>
    <row r="1216" spans="1:9">
      <c r="A1216" s="13" t="s">
        <v>1927</v>
      </c>
      <c r="B1216" s="138" t="s">
        <v>730</v>
      </c>
      <c r="C1216" s="138" t="s">
        <v>341</v>
      </c>
      <c r="D1216" s="18">
        <v>6602649.0700000003</v>
      </c>
      <c r="E1216" s="92">
        <v>0.95071898919999998</v>
      </c>
      <c r="F1216" s="18">
        <v>6277263.8499999996</v>
      </c>
      <c r="G1216" s="18">
        <v>0.01</v>
      </c>
      <c r="H1216" s="13"/>
      <c r="I1216" s="13"/>
    </row>
    <row r="1217" spans="1:9">
      <c r="A1217" s="13" t="s">
        <v>1928</v>
      </c>
      <c r="B1217" s="138" t="s">
        <v>730</v>
      </c>
      <c r="C1217" s="138" t="s">
        <v>341</v>
      </c>
      <c r="D1217" s="18">
        <v>3715219.33</v>
      </c>
      <c r="E1217" s="92">
        <v>0.95071898919999998</v>
      </c>
      <c r="F1217" s="18">
        <v>3532129.57</v>
      </c>
      <c r="G1217" s="18">
        <v>0.01</v>
      </c>
      <c r="H1217" s="13"/>
      <c r="I1217" s="13"/>
    </row>
    <row r="1218" spans="1:9">
      <c r="A1218" s="13" t="s">
        <v>1929</v>
      </c>
      <c r="B1218" s="138" t="s">
        <v>730</v>
      </c>
      <c r="C1218" s="138" t="s">
        <v>341</v>
      </c>
      <c r="D1218" s="18">
        <v>4405109.3099999996</v>
      </c>
      <c r="E1218" s="92">
        <v>0.95071898919999998</v>
      </c>
      <c r="F1218" s="18">
        <v>4188021.07</v>
      </c>
      <c r="G1218" s="18">
        <v>0.01</v>
      </c>
      <c r="H1218" s="13"/>
      <c r="I1218" s="13"/>
    </row>
    <row r="1219" spans="1:9">
      <c r="A1219" s="13" t="s">
        <v>1930</v>
      </c>
      <c r="B1219" s="138" t="s">
        <v>950</v>
      </c>
      <c r="C1219" s="138" t="s">
        <v>341</v>
      </c>
      <c r="D1219" s="15">
        <v>12000000</v>
      </c>
      <c r="E1219" s="92">
        <v>0.95362519840000004</v>
      </c>
      <c r="F1219" s="18">
        <v>11443502.380000001</v>
      </c>
      <c r="G1219" s="18">
        <v>0.02</v>
      </c>
      <c r="H1219" s="13"/>
      <c r="I1219" s="13"/>
    </row>
    <row r="1220" spans="1:9">
      <c r="A1220" s="13" t="s">
        <v>1931</v>
      </c>
      <c r="B1220" s="138" t="s">
        <v>1391</v>
      </c>
      <c r="C1220" s="138" t="s">
        <v>341</v>
      </c>
      <c r="D1220" s="15">
        <v>12000000</v>
      </c>
      <c r="E1220" s="92">
        <v>0.95052088980000005</v>
      </c>
      <c r="F1220" s="18">
        <v>11406250.68</v>
      </c>
      <c r="G1220" s="18">
        <v>0.02</v>
      </c>
      <c r="H1220" s="13"/>
      <c r="I1220" s="13"/>
    </row>
    <row r="1221" spans="1:9">
      <c r="A1221" s="13" t="s">
        <v>1932</v>
      </c>
      <c r="B1221" s="138" t="s">
        <v>1498</v>
      </c>
      <c r="C1221" s="138" t="s">
        <v>341</v>
      </c>
      <c r="D1221" s="15">
        <v>12000000</v>
      </c>
      <c r="E1221" s="92">
        <v>0.94376217539999996</v>
      </c>
      <c r="F1221" s="150">
        <v>11325146.1</v>
      </c>
      <c r="G1221" s="18">
        <v>0.02</v>
      </c>
      <c r="H1221" s="13"/>
      <c r="I1221" s="13"/>
    </row>
    <row r="1222" spans="1:9">
      <c r="A1222" s="13" t="s">
        <v>1933</v>
      </c>
      <c r="B1222" s="138" t="s">
        <v>568</v>
      </c>
      <c r="C1222" s="138" t="s">
        <v>341</v>
      </c>
      <c r="D1222" s="15">
        <v>40000000</v>
      </c>
      <c r="E1222" s="92">
        <v>0.93522609950000002</v>
      </c>
      <c r="F1222" s="18">
        <v>37409043.979999997</v>
      </c>
      <c r="G1222" s="18">
        <v>0.06</v>
      </c>
      <c r="H1222" s="13"/>
      <c r="I1222" s="13"/>
    </row>
    <row r="1223" spans="1:9">
      <c r="A1223" s="13" t="s">
        <v>1934</v>
      </c>
      <c r="B1223" s="138" t="s">
        <v>575</v>
      </c>
      <c r="C1223" s="138" t="s">
        <v>341</v>
      </c>
      <c r="D1223" s="15">
        <v>40000000</v>
      </c>
      <c r="E1223" s="92">
        <v>0.93599360180000002</v>
      </c>
      <c r="F1223" s="18">
        <v>37439744.07</v>
      </c>
      <c r="G1223" s="18">
        <v>0.06</v>
      </c>
      <c r="H1223" s="13"/>
      <c r="I1223" s="13"/>
    </row>
    <row r="1224" spans="1:9">
      <c r="A1224" s="13" t="s">
        <v>1935</v>
      </c>
      <c r="B1224" s="138" t="s">
        <v>1498</v>
      </c>
      <c r="C1224" s="138" t="s">
        <v>341</v>
      </c>
      <c r="D1224" s="15">
        <v>10000000</v>
      </c>
      <c r="E1224" s="92">
        <v>0.92913152089999995</v>
      </c>
      <c r="F1224" s="18">
        <v>9291315.2100000009</v>
      </c>
      <c r="G1224" s="18">
        <v>0.02</v>
      </c>
      <c r="H1224" s="13"/>
      <c r="I1224" s="13"/>
    </row>
    <row r="1225" spans="1:9">
      <c r="A1225" s="13" t="s">
        <v>1936</v>
      </c>
      <c r="B1225" s="138" t="s">
        <v>730</v>
      </c>
      <c r="C1225" s="138" t="s">
        <v>341</v>
      </c>
      <c r="D1225" s="15">
        <v>10000000</v>
      </c>
      <c r="E1225" s="92">
        <v>0.92988904920000004</v>
      </c>
      <c r="F1225" s="18">
        <v>9298890.4900000002</v>
      </c>
      <c r="G1225" s="18">
        <v>0.02</v>
      </c>
      <c r="H1225" s="13"/>
      <c r="I1225" s="13"/>
    </row>
    <row r="1226" spans="1:9">
      <c r="A1226" s="13" t="s">
        <v>1937</v>
      </c>
      <c r="B1226" s="138" t="s">
        <v>568</v>
      </c>
      <c r="C1226" s="138" t="s">
        <v>341</v>
      </c>
      <c r="D1226" s="18">
        <v>16498838.289999999</v>
      </c>
      <c r="E1226" s="92">
        <v>0.93522609950000002</v>
      </c>
      <c r="F1226" s="18">
        <v>15430144.18</v>
      </c>
      <c r="G1226" s="18">
        <v>0.03</v>
      </c>
      <c r="H1226" s="13"/>
      <c r="I1226" s="13"/>
    </row>
    <row r="1227" spans="1:9">
      <c r="A1227" s="13" t="s">
        <v>1938</v>
      </c>
      <c r="B1227" s="138" t="s">
        <v>1590</v>
      </c>
      <c r="C1227" s="138" t="s">
        <v>341</v>
      </c>
      <c r="D1227" s="18">
        <v>3742647.36</v>
      </c>
      <c r="E1227" s="92">
        <v>0.9344598475</v>
      </c>
      <c r="F1227" s="18">
        <v>3497353.68</v>
      </c>
      <c r="G1227" s="18">
        <v>0.01</v>
      </c>
      <c r="H1227" s="13"/>
      <c r="I1227" s="13"/>
    </row>
    <row r="1228" spans="1:9">
      <c r="A1228" s="13" t="s">
        <v>1939</v>
      </c>
      <c r="B1228" s="138" t="s">
        <v>568</v>
      </c>
      <c r="C1228" s="138" t="s">
        <v>341</v>
      </c>
      <c r="D1228" s="18">
        <v>11829797.539999999</v>
      </c>
      <c r="E1228" s="92">
        <v>0.93522609950000002</v>
      </c>
      <c r="F1228" s="18">
        <v>11063535.41</v>
      </c>
      <c r="G1228" s="18">
        <v>0.02</v>
      </c>
      <c r="H1228" s="13"/>
      <c r="I1228" s="13"/>
    </row>
    <row r="1229" spans="1:9">
      <c r="A1229" s="13" t="s">
        <v>1940</v>
      </c>
      <c r="B1229" s="138" t="s">
        <v>1590</v>
      </c>
      <c r="C1229" s="138" t="s">
        <v>341</v>
      </c>
      <c r="D1229" s="18">
        <v>11829797.539999999</v>
      </c>
      <c r="E1229" s="92">
        <v>0.93445985519999997</v>
      </c>
      <c r="F1229" s="150">
        <v>11054470.9</v>
      </c>
      <c r="G1229" s="18">
        <v>0.02</v>
      </c>
      <c r="H1229" s="13"/>
      <c r="I1229" s="13"/>
    </row>
    <row r="1230" spans="1:9">
      <c r="A1230" s="13" t="s">
        <v>1941</v>
      </c>
      <c r="B1230" s="138" t="s">
        <v>1590</v>
      </c>
      <c r="C1230" s="138" t="s">
        <v>341</v>
      </c>
      <c r="D1230" s="18">
        <v>11490967.439999999</v>
      </c>
      <c r="E1230" s="92">
        <v>0.93445985519999997</v>
      </c>
      <c r="F1230" s="18">
        <v>10737847.77</v>
      </c>
      <c r="G1230" s="18">
        <v>0.02</v>
      </c>
      <c r="H1230" s="13"/>
      <c r="I1230" s="13"/>
    </row>
    <row r="1231" spans="1:9">
      <c r="A1231" s="13" t="s">
        <v>1942</v>
      </c>
      <c r="B1231" s="138" t="s">
        <v>1590</v>
      </c>
      <c r="C1231" s="138" t="s">
        <v>341</v>
      </c>
      <c r="D1231" s="18">
        <v>11229494.109999999</v>
      </c>
      <c r="E1231" s="92">
        <v>0.93445985519999997</v>
      </c>
      <c r="F1231" s="18">
        <v>10493511.439999999</v>
      </c>
      <c r="G1231" s="18">
        <v>0.02</v>
      </c>
      <c r="H1231" s="13"/>
      <c r="I1231" s="13"/>
    </row>
    <row r="1232" spans="1:9">
      <c r="A1232" s="13" t="s">
        <v>1943</v>
      </c>
      <c r="B1232" s="138" t="s">
        <v>734</v>
      </c>
      <c r="C1232" s="138" t="s">
        <v>341</v>
      </c>
      <c r="D1232" s="18">
        <v>11829797.539999999</v>
      </c>
      <c r="E1232" s="92">
        <v>0.93216884779999998</v>
      </c>
      <c r="F1232" s="18">
        <v>11027368.74</v>
      </c>
      <c r="G1232" s="18">
        <v>0.02</v>
      </c>
      <c r="H1232" s="13"/>
      <c r="I1232" s="13"/>
    </row>
    <row r="1233" spans="1:9">
      <c r="A1233" s="13" t="s">
        <v>1944</v>
      </c>
      <c r="B1233" s="138" t="s">
        <v>734</v>
      </c>
      <c r="C1233" s="138" t="s">
        <v>341</v>
      </c>
      <c r="D1233" s="18">
        <v>11229494.109999999</v>
      </c>
      <c r="E1233" s="92">
        <v>0.93216884779999998</v>
      </c>
      <c r="F1233" s="18">
        <v>10467784.59</v>
      </c>
      <c r="G1233" s="18">
        <v>0.02</v>
      </c>
      <c r="H1233" s="13"/>
      <c r="I1233" s="13"/>
    </row>
    <row r="1234" spans="1:9">
      <c r="A1234" s="13" t="s">
        <v>1945</v>
      </c>
      <c r="B1234" s="138" t="s">
        <v>734</v>
      </c>
      <c r="C1234" s="138" t="s">
        <v>341</v>
      </c>
      <c r="D1234" s="18">
        <v>11490967.439999999</v>
      </c>
      <c r="E1234" s="92">
        <v>0.93216884779999998</v>
      </c>
      <c r="F1234" s="18">
        <v>10711521.880000001</v>
      </c>
      <c r="G1234" s="18">
        <v>0.02</v>
      </c>
      <c r="H1234" s="13"/>
      <c r="I1234" s="13"/>
    </row>
    <row r="1235" spans="1:9">
      <c r="A1235" s="13" t="s">
        <v>1946</v>
      </c>
      <c r="B1235" s="138" t="s">
        <v>555</v>
      </c>
      <c r="C1235" s="138" t="s">
        <v>341</v>
      </c>
      <c r="D1235" s="15">
        <v>27150000</v>
      </c>
      <c r="E1235" s="92">
        <v>0.95240591080000003</v>
      </c>
      <c r="F1235" s="18">
        <v>25857820.48</v>
      </c>
      <c r="G1235" s="18">
        <v>0.04</v>
      </c>
      <c r="H1235" s="13"/>
      <c r="I1235" s="13"/>
    </row>
    <row r="1236" spans="1:9">
      <c r="A1236" s="13" t="s">
        <v>1947</v>
      </c>
      <c r="B1236" s="138" t="s">
        <v>587</v>
      </c>
      <c r="C1236" s="138" t="s">
        <v>341</v>
      </c>
      <c r="D1236" s="18">
        <v>27125210.43</v>
      </c>
      <c r="E1236" s="92">
        <v>0.95081816419999998</v>
      </c>
      <c r="F1236" s="18">
        <v>25791142.780000001</v>
      </c>
      <c r="G1236" s="18">
        <v>0.04</v>
      </c>
      <c r="H1236" s="13"/>
      <c r="I1236" s="13"/>
    </row>
    <row r="1237" spans="1:9">
      <c r="A1237" s="13" t="s">
        <v>1948</v>
      </c>
      <c r="B1237" s="138" t="s">
        <v>555</v>
      </c>
      <c r="C1237" s="138" t="s">
        <v>341</v>
      </c>
      <c r="D1237" s="18">
        <v>2558197.12</v>
      </c>
      <c r="E1237" s="153">
        <v>0.95240590800000002</v>
      </c>
      <c r="F1237" s="18">
        <v>2436442.0499999998</v>
      </c>
      <c r="G1237" s="15">
        <v>0</v>
      </c>
      <c r="H1237" s="13"/>
      <c r="I1237" s="13"/>
    </row>
    <row r="1238" spans="1:9">
      <c r="A1238" s="13" t="s">
        <v>1949</v>
      </c>
      <c r="B1238" s="138" t="s">
        <v>950</v>
      </c>
      <c r="C1238" s="138" t="s">
        <v>341</v>
      </c>
      <c r="D1238" s="18">
        <v>2558197.12</v>
      </c>
      <c r="E1238" s="92">
        <v>0.94140115759999998</v>
      </c>
      <c r="F1238" s="18">
        <v>2408289.73</v>
      </c>
      <c r="G1238" s="15">
        <v>0</v>
      </c>
      <c r="H1238" s="13"/>
      <c r="I1238" s="13"/>
    </row>
    <row r="1239" spans="1:9">
      <c r="A1239" s="13" t="s">
        <v>1950</v>
      </c>
      <c r="B1239" s="138" t="s">
        <v>549</v>
      </c>
      <c r="C1239" s="138" t="s">
        <v>341</v>
      </c>
      <c r="D1239" s="18">
        <v>2558197.12</v>
      </c>
      <c r="E1239" s="92">
        <v>0.95720133149999997</v>
      </c>
      <c r="F1239" s="18">
        <v>2448709.69</v>
      </c>
      <c r="G1239" s="15">
        <v>0</v>
      </c>
      <c r="H1239" s="13"/>
      <c r="I1239" s="13"/>
    </row>
    <row r="1240" spans="1:9">
      <c r="A1240" s="13" t="s">
        <v>1951</v>
      </c>
      <c r="B1240" s="138" t="s">
        <v>492</v>
      </c>
      <c r="C1240" s="138" t="s">
        <v>341</v>
      </c>
      <c r="D1240" s="15">
        <v>1016376</v>
      </c>
      <c r="E1240" s="92">
        <v>0.96530218170000004</v>
      </c>
      <c r="F1240" s="18">
        <v>981109.97</v>
      </c>
      <c r="G1240" s="15">
        <v>0</v>
      </c>
      <c r="H1240" s="13"/>
      <c r="I1240" s="13"/>
    </row>
    <row r="1241" spans="1:9">
      <c r="A1241" s="13" t="s">
        <v>1952</v>
      </c>
      <c r="B1241" s="138" t="s">
        <v>531</v>
      </c>
      <c r="C1241" s="138" t="s">
        <v>341</v>
      </c>
      <c r="D1241" s="15">
        <v>1082000000</v>
      </c>
      <c r="E1241" s="92">
        <v>0.96194407439999996</v>
      </c>
      <c r="F1241" s="150">
        <v>1040823488.5</v>
      </c>
      <c r="G1241" s="150">
        <v>1.7</v>
      </c>
      <c r="H1241" s="13"/>
      <c r="I1241" s="13"/>
    </row>
    <row r="1242" spans="1:9">
      <c r="A1242" s="13" t="s">
        <v>1953</v>
      </c>
      <c r="B1242" s="138" t="s">
        <v>531</v>
      </c>
      <c r="C1242" s="138" t="s">
        <v>341</v>
      </c>
      <c r="D1242" s="15">
        <v>100000000</v>
      </c>
      <c r="E1242" s="92">
        <v>0.96194407439999996</v>
      </c>
      <c r="F1242" s="18">
        <v>96194407.439999998</v>
      </c>
      <c r="G1242" s="18">
        <v>0.16</v>
      </c>
      <c r="H1242" s="13"/>
      <c r="I1242" s="13"/>
    </row>
    <row r="1243" spans="1:9">
      <c r="A1243" s="13" t="s">
        <v>1954</v>
      </c>
      <c r="B1243" s="138" t="s">
        <v>527</v>
      </c>
      <c r="C1243" s="138" t="s">
        <v>341</v>
      </c>
      <c r="D1243" s="15">
        <v>10000000</v>
      </c>
      <c r="E1243" s="92">
        <v>0.97596195819999998</v>
      </c>
      <c r="F1243" s="18">
        <v>9759619.5800000001</v>
      </c>
      <c r="G1243" s="18">
        <v>0.02</v>
      </c>
      <c r="H1243" s="13"/>
      <c r="I1243" s="13"/>
    </row>
    <row r="1244" spans="1:9">
      <c r="A1244" s="13" t="s">
        <v>1955</v>
      </c>
      <c r="B1244" s="138" t="s">
        <v>531</v>
      </c>
      <c r="C1244" s="138" t="s">
        <v>341</v>
      </c>
      <c r="D1244" s="15">
        <v>10000000</v>
      </c>
      <c r="E1244" s="92">
        <v>0.96873520179999995</v>
      </c>
      <c r="F1244" s="18">
        <v>9687352.0199999996</v>
      </c>
      <c r="G1244" s="18">
        <v>0.02</v>
      </c>
      <c r="H1244" s="13"/>
      <c r="I1244" s="13"/>
    </row>
    <row r="1245" spans="1:9">
      <c r="A1245" s="13" t="s">
        <v>1956</v>
      </c>
      <c r="B1245" s="138" t="s">
        <v>645</v>
      </c>
      <c r="C1245" s="138" t="s">
        <v>341</v>
      </c>
      <c r="D1245" s="15">
        <v>10000000</v>
      </c>
      <c r="E1245" s="28">
        <v>0.98907953999999998</v>
      </c>
      <c r="F1245" s="150">
        <v>9890795.4000000004</v>
      </c>
      <c r="G1245" s="18">
        <v>0.02</v>
      </c>
      <c r="H1245" s="13"/>
      <c r="I1245" s="13"/>
    </row>
    <row r="1246" spans="1:9">
      <c r="A1246" s="13" t="s">
        <v>1957</v>
      </c>
      <c r="B1246" s="138" t="s">
        <v>622</v>
      </c>
      <c r="C1246" s="138" t="s">
        <v>341</v>
      </c>
      <c r="D1246" s="15">
        <v>10000000</v>
      </c>
      <c r="E1246" s="92">
        <v>0.98742053890000003</v>
      </c>
      <c r="F1246" s="18">
        <v>9874205.3900000006</v>
      </c>
      <c r="G1246" s="18">
        <v>0.02</v>
      </c>
      <c r="H1246" s="13"/>
      <c r="I1246" s="13"/>
    </row>
    <row r="1247" spans="1:9">
      <c r="A1247" s="13" t="s">
        <v>1958</v>
      </c>
      <c r="B1247" s="138" t="s">
        <v>546</v>
      </c>
      <c r="C1247" s="138" t="s">
        <v>341</v>
      </c>
      <c r="D1247" s="15">
        <v>10000000</v>
      </c>
      <c r="E1247" s="92">
        <v>0.98329750279999995</v>
      </c>
      <c r="F1247" s="18">
        <v>9832975.0299999993</v>
      </c>
      <c r="G1247" s="18">
        <v>0.02</v>
      </c>
      <c r="H1247" s="13"/>
      <c r="I1247" s="13"/>
    </row>
    <row r="1248" spans="1:9">
      <c r="A1248" s="13" t="s">
        <v>1959</v>
      </c>
      <c r="B1248" s="138" t="s">
        <v>483</v>
      </c>
      <c r="C1248" s="138" t="s">
        <v>341</v>
      </c>
      <c r="D1248" s="15">
        <v>10000000</v>
      </c>
      <c r="E1248" s="92">
        <v>0.97758267480000005</v>
      </c>
      <c r="F1248" s="18">
        <v>9775826.75</v>
      </c>
      <c r="G1248" s="18">
        <v>0.02</v>
      </c>
      <c r="H1248" s="13"/>
      <c r="I1248" s="13"/>
    </row>
    <row r="1249" spans="1:9">
      <c r="A1249" s="13" t="s">
        <v>1960</v>
      </c>
      <c r="B1249" s="138" t="s">
        <v>930</v>
      </c>
      <c r="C1249" s="138" t="s">
        <v>341</v>
      </c>
      <c r="D1249" s="15">
        <v>10000000</v>
      </c>
      <c r="E1249" s="92">
        <v>0.9719338904</v>
      </c>
      <c r="F1249" s="150">
        <v>9719338.9000000004</v>
      </c>
      <c r="G1249" s="18">
        <v>0.02</v>
      </c>
      <c r="H1249" s="13"/>
      <c r="I1249" s="13"/>
    </row>
    <row r="1250" spans="1:9">
      <c r="A1250" s="13" t="s">
        <v>1961</v>
      </c>
      <c r="B1250" s="138" t="s">
        <v>415</v>
      </c>
      <c r="C1250" s="138" t="s">
        <v>341</v>
      </c>
      <c r="D1250" s="15">
        <v>10000000</v>
      </c>
      <c r="E1250" s="92">
        <v>0.9932514039</v>
      </c>
      <c r="F1250" s="18">
        <v>9932514.0399999991</v>
      </c>
      <c r="G1250" s="18">
        <v>0.02</v>
      </c>
      <c r="H1250" s="13"/>
      <c r="I1250" s="13"/>
    </row>
    <row r="1251" spans="1:9">
      <c r="A1251" s="13" t="s">
        <v>1962</v>
      </c>
      <c r="B1251" s="138" t="s">
        <v>415</v>
      </c>
      <c r="C1251" s="138" t="s">
        <v>341</v>
      </c>
      <c r="D1251" s="15">
        <v>10000000</v>
      </c>
      <c r="E1251" s="92">
        <v>0.9932514039</v>
      </c>
      <c r="F1251" s="18">
        <v>9932514.0399999991</v>
      </c>
      <c r="G1251" s="18">
        <v>0.02</v>
      </c>
      <c r="H1251" s="13"/>
      <c r="I1251" s="13"/>
    </row>
    <row r="1252" spans="1:9">
      <c r="A1252" s="13" t="s">
        <v>1963</v>
      </c>
      <c r="B1252" s="138" t="s">
        <v>610</v>
      </c>
      <c r="C1252" s="138" t="s">
        <v>341</v>
      </c>
      <c r="D1252" s="15">
        <v>10000000</v>
      </c>
      <c r="E1252" s="153">
        <v>0.99830426400000005</v>
      </c>
      <c r="F1252" s="18">
        <v>9983042.6400000006</v>
      </c>
      <c r="G1252" s="18">
        <v>0.02</v>
      </c>
      <c r="H1252" s="13"/>
      <c r="I1252" s="13"/>
    </row>
    <row r="1253" spans="1:9">
      <c r="A1253" s="13" t="s">
        <v>1964</v>
      </c>
      <c r="B1253" s="138" t="s">
        <v>575</v>
      </c>
      <c r="C1253" s="138" t="s">
        <v>341</v>
      </c>
      <c r="D1253" s="15">
        <v>20000000</v>
      </c>
      <c r="E1253" s="92">
        <v>0.93412516329999995</v>
      </c>
      <c r="F1253" s="18">
        <v>18682503.27</v>
      </c>
      <c r="G1253" s="18">
        <v>0.03</v>
      </c>
      <c r="H1253" s="13"/>
      <c r="I1253" s="13"/>
    </row>
    <row r="1254" spans="1:9">
      <c r="A1254" s="13" t="s">
        <v>1965</v>
      </c>
      <c r="B1254" s="138" t="s">
        <v>727</v>
      </c>
      <c r="C1254" s="138" t="s">
        <v>341</v>
      </c>
      <c r="D1254" s="15">
        <v>20000000</v>
      </c>
      <c r="E1254" s="92">
        <v>0.95757812880000004</v>
      </c>
      <c r="F1254" s="18">
        <v>19151562.579999998</v>
      </c>
      <c r="G1254" s="18">
        <v>0.03</v>
      </c>
      <c r="H1254" s="13"/>
      <c r="I1254" s="13"/>
    </row>
    <row r="1255" spans="1:9">
      <c r="A1255" s="13" t="s">
        <v>1966</v>
      </c>
      <c r="B1255" s="138" t="s">
        <v>1081</v>
      </c>
      <c r="C1255" s="138" t="s">
        <v>341</v>
      </c>
      <c r="D1255" s="15">
        <v>100000000</v>
      </c>
      <c r="E1255" s="92">
        <v>0.97048657459999998</v>
      </c>
      <c r="F1255" s="18">
        <v>97048657.459999993</v>
      </c>
      <c r="G1255" s="18">
        <v>0.16</v>
      </c>
      <c r="H1255" s="13"/>
      <c r="I1255" s="13"/>
    </row>
    <row r="1256" spans="1:9">
      <c r="A1256" s="13" t="s">
        <v>1967</v>
      </c>
      <c r="B1256" s="138" t="s">
        <v>531</v>
      </c>
      <c r="C1256" s="138" t="s">
        <v>341</v>
      </c>
      <c r="D1256" s="15">
        <v>100000000</v>
      </c>
      <c r="E1256" s="92">
        <v>0.96971319749999996</v>
      </c>
      <c r="F1256" s="18">
        <v>96971319.75</v>
      </c>
      <c r="G1256" s="18">
        <v>0.16</v>
      </c>
      <c r="H1256" s="13"/>
      <c r="I1256" s="13"/>
    </row>
    <row r="1257" spans="1:9">
      <c r="A1257" s="13" t="s">
        <v>1968</v>
      </c>
      <c r="B1257" s="138" t="s">
        <v>577</v>
      </c>
      <c r="C1257" s="138" t="s">
        <v>341</v>
      </c>
      <c r="D1257" s="15">
        <v>100000000</v>
      </c>
      <c r="E1257" s="92">
        <v>0.97126135759999999</v>
      </c>
      <c r="F1257" s="18">
        <v>97126135.760000005</v>
      </c>
      <c r="G1257" s="18">
        <v>0.16</v>
      </c>
      <c r="H1257" s="13"/>
      <c r="I1257" s="13"/>
    </row>
    <row r="1258" spans="1:9">
      <c r="A1258" s="13" t="s">
        <v>1969</v>
      </c>
      <c r="B1258" s="138" t="s">
        <v>593</v>
      </c>
      <c r="C1258" s="138" t="s">
        <v>341</v>
      </c>
      <c r="D1258" s="15">
        <v>851000000</v>
      </c>
      <c r="E1258" s="92">
        <v>0.96894084349999998</v>
      </c>
      <c r="F1258" s="18">
        <v>824568657.82000005</v>
      </c>
      <c r="G1258" s="18">
        <v>1.35</v>
      </c>
      <c r="H1258" s="13"/>
      <c r="I1258" s="13"/>
    </row>
    <row r="1259" spans="1:9">
      <c r="A1259" s="13" t="s">
        <v>1972</v>
      </c>
      <c r="B1259" s="138" t="s">
        <v>489</v>
      </c>
      <c r="C1259" s="138" t="s">
        <v>429</v>
      </c>
      <c r="D1259" s="15">
        <v>4750000</v>
      </c>
      <c r="E1259" s="92">
        <v>0.95951649729999999</v>
      </c>
      <c r="F1259" s="18">
        <v>4557703.3600000003</v>
      </c>
      <c r="G1259" s="18">
        <v>0.01</v>
      </c>
      <c r="H1259" s="13"/>
      <c r="I1259" s="13"/>
    </row>
    <row r="1260" spans="1:9">
      <c r="A1260" s="13" t="s">
        <v>1973</v>
      </c>
      <c r="B1260" s="138" t="s">
        <v>541</v>
      </c>
      <c r="C1260" s="138" t="s">
        <v>429</v>
      </c>
      <c r="D1260" s="18">
        <v>4765832.3099999996</v>
      </c>
      <c r="E1260" s="92">
        <v>0.96128532730000005</v>
      </c>
      <c r="F1260" s="18">
        <v>4581324.67</v>
      </c>
      <c r="G1260" s="18">
        <v>0.01</v>
      </c>
      <c r="H1260" s="13"/>
      <c r="I1260" s="13"/>
    </row>
    <row r="1261" spans="1:9">
      <c r="A1261" s="13" t="s">
        <v>1974</v>
      </c>
      <c r="B1261" s="138" t="s">
        <v>494</v>
      </c>
      <c r="C1261" s="138" t="s">
        <v>429</v>
      </c>
      <c r="D1261" s="15">
        <v>4750000</v>
      </c>
      <c r="E1261" s="92">
        <v>0.96039998979999996</v>
      </c>
      <c r="F1261" s="18">
        <v>4561899.95</v>
      </c>
      <c r="G1261" s="18">
        <v>0.01</v>
      </c>
      <c r="H1261" s="13"/>
      <c r="I1261" s="13"/>
    </row>
    <row r="1262" spans="1:9">
      <c r="A1262" s="13" t="s">
        <v>1975</v>
      </c>
      <c r="B1262" s="138" t="s">
        <v>593</v>
      </c>
      <c r="C1262" s="138" t="s">
        <v>429</v>
      </c>
      <c r="D1262" s="15">
        <v>362000000</v>
      </c>
      <c r="E1262" s="92">
        <v>0.96894082179999996</v>
      </c>
      <c r="F1262" s="18">
        <v>350756577.49000001</v>
      </c>
      <c r="G1262" s="18">
        <v>0.56999999999999995</v>
      </c>
      <c r="H1262" s="13"/>
      <c r="I1262" s="13"/>
    </row>
    <row r="1263" spans="1:9">
      <c r="A1263" s="13" t="s">
        <v>1976</v>
      </c>
      <c r="B1263" s="138" t="s">
        <v>494</v>
      </c>
      <c r="C1263" s="138" t="s">
        <v>429</v>
      </c>
      <c r="D1263" s="15">
        <v>25000000</v>
      </c>
      <c r="E1263" s="153">
        <v>0.95715114300000004</v>
      </c>
      <c r="F1263" s="18">
        <v>23928778.579999998</v>
      </c>
      <c r="G1263" s="18">
        <v>0.04</v>
      </c>
      <c r="H1263" s="13"/>
      <c r="I1263" s="13"/>
    </row>
    <row r="1264" spans="1:9">
      <c r="A1264" s="13" t="s">
        <v>1977</v>
      </c>
      <c r="B1264" s="138" t="s">
        <v>541</v>
      </c>
      <c r="C1264" s="138" t="s">
        <v>429</v>
      </c>
      <c r="D1264" s="15">
        <v>20000000</v>
      </c>
      <c r="E1264" s="92">
        <v>0.95810594459999998</v>
      </c>
      <c r="F1264" s="18">
        <v>19162118.890000001</v>
      </c>
      <c r="G1264" s="18">
        <v>0.03</v>
      </c>
      <c r="H1264" s="13"/>
      <c r="I1264" s="13"/>
    </row>
    <row r="1265" spans="1:9">
      <c r="A1265" s="13" t="s">
        <v>1978</v>
      </c>
      <c r="B1265" s="138" t="s">
        <v>541</v>
      </c>
      <c r="C1265" s="138" t="s">
        <v>429</v>
      </c>
      <c r="D1265" s="15">
        <v>20000000</v>
      </c>
      <c r="E1265" s="92">
        <v>0.95810594459999998</v>
      </c>
      <c r="F1265" s="18">
        <v>19162118.890000001</v>
      </c>
      <c r="G1265" s="18">
        <v>0.03</v>
      </c>
      <c r="H1265" s="13"/>
      <c r="I1265" s="13"/>
    </row>
    <row r="1266" spans="1:9">
      <c r="A1266" s="13" t="s">
        <v>1979</v>
      </c>
      <c r="B1266" s="138" t="s">
        <v>489</v>
      </c>
      <c r="C1266" s="138" t="s">
        <v>429</v>
      </c>
      <c r="D1266" s="15">
        <v>20000000</v>
      </c>
      <c r="E1266" s="92">
        <v>0.95619847319999995</v>
      </c>
      <c r="F1266" s="18">
        <v>19123969.460000001</v>
      </c>
      <c r="G1266" s="18">
        <v>0.03</v>
      </c>
      <c r="H1266" s="13"/>
      <c r="I1266" s="13"/>
    </row>
    <row r="1267" spans="1:9">
      <c r="A1267" s="13" t="s">
        <v>1980</v>
      </c>
      <c r="B1267" s="138" t="s">
        <v>489</v>
      </c>
      <c r="C1267" s="138" t="s">
        <v>429</v>
      </c>
      <c r="D1267" s="15">
        <v>20000000</v>
      </c>
      <c r="E1267" s="92">
        <v>0.95619847319999995</v>
      </c>
      <c r="F1267" s="18">
        <v>19123969.460000001</v>
      </c>
      <c r="G1267" s="18">
        <v>0.03</v>
      </c>
      <c r="H1267" s="13"/>
      <c r="I1267" s="13"/>
    </row>
    <row r="1268" spans="1:9">
      <c r="A1268" s="13" t="s">
        <v>1981</v>
      </c>
      <c r="B1268" s="138" t="s">
        <v>489</v>
      </c>
      <c r="C1268" s="138" t="s">
        <v>429</v>
      </c>
      <c r="D1268" s="15">
        <v>20000000</v>
      </c>
      <c r="E1268" s="92">
        <v>0.95619847319999995</v>
      </c>
      <c r="F1268" s="18">
        <v>19123969.460000001</v>
      </c>
      <c r="G1268" s="18">
        <v>0.03</v>
      </c>
      <c r="H1268" s="13"/>
      <c r="I1268" s="13"/>
    </row>
    <row r="1269" spans="1:9">
      <c r="A1269" s="13" t="s">
        <v>1982</v>
      </c>
      <c r="B1269" s="138" t="s">
        <v>489</v>
      </c>
      <c r="C1269" s="138" t="s">
        <v>429</v>
      </c>
      <c r="D1269" s="15">
        <v>20000000</v>
      </c>
      <c r="E1269" s="92">
        <v>0.95619847319999995</v>
      </c>
      <c r="F1269" s="18">
        <v>19123969.460000001</v>
      </c>
      <c r="G1269" s="18">
        <v>0.03</v>
      </c>
      <c r="H1269" s="13"/>
      <c r="I1269" s="13"/>
    </row>
    <row r="1270" spans="1:9">
      <c r="A1270" s="13" t="s">
        <v>1986</v>
      </c>
      <c r="B1270" s="138" t="s">
        <v>483</v>
      </c>
      <c r="C1270" s="138" t="s">
        <v>173</v>
      </c>
      <c r="D1270" s="15">
        <v>340000000</v>
      </c>
      <c r="E1270" s="92">
        <v>0.97126148919999999</v>
      </c>
      <c r="F1270" s="18">
        <v>330228906.32999998</v>
      </c>
      <c r="G1270" s="18">
        <v>0.54</v>
      </c>
      <c r="H1270" s="13"/>
      <c r="I1270" s="13"/>
    </row>
    <row r="1271" spans="1:9">
      <c r="A1271" s="13" t="s">
        <v>1987</v>
      </c>
      <c r="B1271" s="138" t="s">
        <v>454</v>
      </c>
      <c r="C1271" s="138" t="s">
        <v>173</v>
      </c>
      <c r="D1271" s="15">
        <v>2000000</v>
      </c>
      <c r="E1271" s="92">
        <v>0.98449102020000001</v>
      </c>
      <c r="F1271" s="18">
        <v>1968982.04</v>
      </c>
      <c r="G1271" s="15">
        <v>0</v>
      </c>
      <c r="H1271" s="13"/>
      <c r="I1271" s="13"/>
    </row>
    <row r="1272" spans="1:9">
      <c r="A1272" s="13" t="s">
        <v>1988</v>
      </c>
      <c r="B1272" s="138" t="s">
        <v>610</v>
      </c>
      <c r="C1272" s="138" t="s">
        <v>173</v>
      </c>
      <c r="D1272" s="18">
        <v>5670695.4100000001</v>
      </c>
      <c r="E1272" s="92">
        <v>0.99863202490000003</v>
      </c>
      <c r="F1272" s="18">
        <v>5662938.04</v>
      </c>
      <c r="G1272" s="18">
        <v>0.01</v>
      </c>
      <c r="H1272" s="13"/>
      <c r="I1272" s="13"/>
    </row>
    <row r="1273" spans="1:9">
      <c r="A1273" s="13" t="s">
        <v>1989</v>
      </c>
      <c r="B1273" s="138" t="s">
        <v>591</v>
      </c>
      <c r="C1273" s="138" t="s">
        <v>173</v>
      </c>
      <c r="D1273" s="15">
        <v>2750004</v>
      </c>
      <c r="E1273" s="92">
        <v>0.95800537330000002</v>
      </c>
      <c r="F1273" s="18">
        <v>2634518.61</v>
      </c>
      <c r="G1273" s="15">
        <v>0</v>
      </c>
      <c r="H1273" s="13"/>
      <c r="I1273" s="13"/>
    </row>
    <row r="1274" spans="1:9">
      <c r="A1274" s="13" t="s">
        <v>1990</v>
      </c>
      <c r="B1274" s="138" t="s">
        <v>487</v>
      </c>
      <c r="C1274" s="138" t="s">
        <v>173</v>
      </c>
      <c r="D1274" s="18">
        <v>629302.72</v>
      </c>
      <c r="E1274" s="92">
        <v>0.99590726380000005</v>
      </c>
      <c r="F1274" s="18">
        <v>626727.15</v>
      </c>
      <c r="G1274" s="15">
        <v>0</v>
      </c>
      <c r="H1274" s="13"/>
      <c r="I1274" s="13"/>
    </row>
    <row r="1275" spans="1:9">
      <c r="A1275" s="13" t="s">
        <v>1991</v>
      </c>
      <c r="B1275" s="138" t="s">
        <v>172</v>
      </c>
      <c r="C1275" s="138" t="s">
        <v>173</v>
      </c>
      <c r="D1275" s="15">
        <v>1800000</v>
      </c>
      <c r="E1275" s="92">
        <v>0.99522838319999996</v>
      </c>
      <c r="F1275" s="18">
        <v>1791411.09</v>
      </c>
      <c r="G1275" s="15">
        <v>0</v>
      </c>
      <c r="H1275" s="13"/>
      <c r="I1275" s="13"/>
    </row>
    <row r="1276" spans="1:9">
      <c r="A1276" s="13" t="s">
        <v>1992</v>
      </c>
      <c r="B1276" s="138" t="s">
        <v>172</v>
      </c>
      <c r="C1276" s="138" t="s">
        <v>173</v>
      </c>
      <c r="D1276" s="150">
        <v>408136.6</v>
      </c>
      <c r="E1276" s="92">
        <v>0.9952283623</v>
      </c>
      <c r="F1276" s="18">
        <v>406189.12</v>
      </c>
      <c r="G1276" s="15">
        <v>0</v>
      </c>
      <c r="H1276" s="13"/>
      <c r="I1276" s="13"/>
    </row>
    <row r="1277" spans="1:9">
      <c r="A1277" s="13" t="s">
        <v>1993</v>
      </c>
      <c r="B1277" s="138" t="s">
        <v>577</v>
      </c>
      <c r="C1277" s="138" t="s">
        <v>173</v>
      </c>
      <c r="D1277" s="15">
        <v>408135</v>
      </c>
      <c r="E1277" s="92">
        <v>0.97593585419999995</v>
      </c>
      <c r="F1277" s="18">
        <v>398313.58</v>
      </c>
      <c r="G1277" s="15">
        <v>0</v>
      </c>
      <c r="H1277" s="13"/>
      <c r="I1277" s="13"/>
    </row>
    <row r="1278" spans="1:9">
      <c r="A1278" s="13" t="s">
        <v>1994</v>
      </c>
      <c r="B1278" s="138" t="s">
        <v>531</v>
      </c>
      <c r="C1278" s="138" t="s">
        <v>173</v>
      </c>
      <c r="D1278" s="150">
        <v>1073337.5</v>
      </c>
      <c r="E1278" s="92">
        <v>0.97463297429999995</v>
      </c>
      <c r="F1278" s="18">
        <v>1046110.12</v>
      </c>
      <c r="G1278" s="15">
        <v>0</v>
      </c>
      <c r="H1278" s="13"/>
      <c r="I1278" s="13"/>
    </row>
    <row r="1279" spans="1:9">
      <c r="A1279" s="13" t="s">
        <v>1995</v>
      </c>
      <c r="B1279" s="138" t="s">
        <v>415</v>
      </c>
      <c r="C1279" s="138" t="s">
        <v>173</v>
      </c>
      <c r="D1279" s="18">
        <v>1369282.92</v>
      </c>
      <c r="E1279" s="92">
        <v>0.99455041759999996</v>
      </c>
      <c r="F1279" s="150">
        <v>1361820.9</v>
      </c>
      <c r="G1279" s="15">
        <v>0</v>
      </c>
      <c r="H1279" s="13"/>
      <c r="I1279" s="13"/>
    </row>
    <row r="1280" spans="1:9">
      <c r="A1280" s="13" t="s">
        <v>1996</v>
      </c>
      <c r="B1280" s="138" t="s">
        <v>546</v>
      </c>
      <c r="C1280" s="138" t="s">
        <v>173</v>
      </c>
      <c r="D1280" s="18">
        <v>629302.72</v>
      </c>
      <c r="E1280" s="153">
        <v>0.98648659900000002</v>
      </c>
      <c r="F1280" s="150">
        <v>620798.69999999995</v>
      </c>
      <c r="G1280" s="15">
        <v>0</v>
      </c>
      <c r="H1280" s="13"/>
      <c r="I1280" s="13"/>
    </row>
    <row r="1281" spans="1:9">
      <c r="A1281" s="13" t="s">
        <v>1997</v>
      </c>
      <c r="B1281" s="138" t="s">
        <v>591</v>
      </c>
      <c r="C1281" s="138" t="s">
        <v>173</v>
      </c>
      <c r="D1281" s="15">
        <v>20000000</v>
      </c>
      <c r="E1281" s="92">
        <v>0.94687158709999997</v>
      </c>
      <c r="F1281" s="18">
        <v>18937431.739999998</v>
      </c>
      <c r="G1281" s="18">
        <v>0.03</v>
      </c>
      <c r="H1281" s="13"/>
      <c r="I1281" s="13"/>
    </row>
    <row r="1282" spans="1:9">
      <c r="A1282" s="13" t="s">
        <v>1998</v>
      </c>
      <c r="B1282" s="138" t="s">
        <v>591</v>
      </c>
      <c r="C1282" s="138" t="s">
        <v>173</v>
      </c>
      <c r="D1282" s="15">
        <v>20000000</v>
      </c>
      <c r="E1282" s="92">
        <v>0.94687158709999997</v>
      </c>
      <c r="F1282" s="18">
        <v>18937431.739999998</v>
      </c>
      <c r="G1282" s="18">
        <v>0.03</v>
      </c>
      <c r="H1282" s="13"/>
      <c r="I1282" s="13"/>
    </row>
    <row r="1283" spans="1:9">
      <c r="A1283" s="13" t="s">
        <v>1999</v>
      </c>
      <c r="B1283" s="138" t="s">
        <v>553</v>
      </c>
      <c r="C1283" s="138" t="s">
        <v>173</v>
      </c>
      <c r="D1283" s="15">
        <v>11371524</v>
      </c>
      <c r="E1283" s="92">
        <v>0.95459794720000002</v>
      </c>
      <c r="F1283" s="18">
        <v>10855233.470000001</v>
      </c>
      <c r="G1283" s="18">
        <v>0.02</v>
      </c>
      <c r="H1283" s="13"/>
      <c r="I1283" s="13"/>
    </row>
    <row r="1284" spans="1:9">
      <c r="A1284" s="13" t="s">
        <v>2000</v>
      </c>
      <c r="B1284" s="138" t="s">
        <v>172</v>
      </c>
      <c r="C1284" s="138" t="s">
        <v>173</v>
      </c>
      <c r="D1284" s="18">
        <v>425289.41</v>
      </c>
      <c r="E1284" s="92">
        <v>0.99427954249999995</v>
      </c>
      <c r="F1284" s="18">
        <v>422856.56</v>
      </c>
      <c r="G1284" s="15">
        <v>0</v>
      </c>
      <c r="H1284" s="13"/>
      <c r="I1284" s="13"/>
    </row>
    <row r="1285" spans="1:9">
      <c r="A1285" s="13" t="s">
        <v>2001</v>
      </c>
      <c r="B1285" s="138" t="s">
        <v>622</v>
      </c>
      <c r="C1285" s="138" t="s">
        <v>173</v>
      </c>
      <c r="D1285" s="15">
        <v>2000000</v>
      </c>
      <c r="E1285" s="92">
        <v>0.98782139989999995</v>
      </c>
      <c r="F1285" s="150">
        <v>1975642.8</v>
      </c>
      <c r="G1285" s="15">
        <v>0</v>
      </c>
      <c r="H1285" s="13"/>
      <c r="I1285" s="13"/>
    </row>
    <row r="1286" spans="1:9">
      <c r="A1286" s="13" t="s">
        <v>2002</v>
      </c>
      <c r="B1286" s="138" t="s">
        <v>581</v>
      </c>
      <c r="C1286" s="138" t="s">
        <v>173</v>
      </c>
      <c r="D1286" s="15">
        <v>2000000</v>
      </c>
      <c r="E1286" s="92">
        <v>0.96433307530000001</v>
      </c>
      <c r="F1286" s="18">
        <v>1928666.15</v>
      </c>
      <c r="G1286" s="15">
        <v>0</v>
      </c>
      <c r="H1286" s="13"/>
      <c r="I1286" s="13"/>
    </row>
    <row r="1287" spans="1:9">
      <c r="A1287" s="13" t="s">
        <v>2003</v>
      </c>
      <c r="B1287" s="138" t="s">
        <v>456</v>
      </c>
      <c r="C1287" s="138" t="s">
        <v>173</v>
      </c>
      <c r="D1287" s="15">
        <v>2000000</v>
      </c>
      <c r="E1287" s="92">
        <v>0.98303265989999999</v>
      </c>
      <c r="F1287" s="18">
        <v>1966065.32</v>
      </c>
      <c r="G1287" s="15">
        <v>0</v>
      </c>
      <c r="H1287" s="13"/>
      <c r="I1287" s="13"/>
    </row>
    <row r="1288" spans="1:9">
      <c r="A1288" s="13" t="s">
        <v>2004</v>
      </c>
      <c r="B1288" s="138" t="s">
        <v>1081</v>
      </c>
      <c r="C1288" s="138" t="s">
        <v>173</v>
      </c>
      <c r="D1288" s="15">
        <v>2000000</v>
      </c>
      <c r="E1288" s="92">
        <v>0.97048660040000001</v>
      </c>
      <c r="F1288" s="150">
        <v>1940973.2</v>
      </c>
      <c r="G1288" s="15">
        <v>0</v>
      </c>
      <c r="H1288" s="13"/>
      <c r="I1288" s="13"/>
    </row>
    <row r="1289" spans="1:9">
      <c r="A1289" s="13" t="s">
        <v>2005</v>
      </c>
      <c r="B1289" s="138" t="s">
        <v>587</v>
      </c>
      <c r="C1289" s="138" t="s">
        <v>173</v>
      </c>
      <c r="D1289" s="150">
        <v>1556161.8</v>
      </c>
      <c r="E1289" s="92">
        <v>0.95374969980000002</v>
      </c>
      <c r="F1289" s="18">
        <v>1484188.85</v>
      </c>
      <c r="G1289" s="15">
        <v>0</v>
      </c>
      <c r="H1289" s="13"/>
      <c r="I1289" s="13"/>
    </row>
    <row r="1290" spans="1:9">
      <c r="A1290" s="13" t="s">
        <v>2006</v>
      </c>
      <c r="B1290" s="138" t="s">
        <v>499</v>
      </c>
      <c r="C1290" s="138" t="s">
        <v>173</v>
      </c>
      <c r="D1290" s="15">
        <v>2000000</v>
      </c>
      <c r="E1290" s="92">
        <v>0.95901209009999999</v>
      </c>
      <c r="F1290" s="18">
        <v>1918024.18</v>
      </c>
      <c r="G1290" s="15">
        <v>0</v>
      </c>
      <c r="H1290" s="13"/>
      <c r="I1290" s="13"/>
    </row>
    <row r="1291" spans="1:9">
      <c r="A1291" s="13" t="s">
        <v>2007</v>
      </c>
      <c r="B1291" s="138" t="s">
        <v>551</v>
      </c>
      <c r="C1291" s="138" t="s">
        <v>173</v>
      </c>
      <c r="D1291" s="15">
        <v>2000000</v>
      </c>
      <c r="E1291" s="92">
        <v>0.98065566520000003</v>
      </c>
      <c r="F1291" s="18">
        <v>1961311.33</v>
      </c>
      <c r="G1291" s="15">
        <v>0</v>
      </c>
      <c r="H1291" s="13"/>
      <c r="I1291" s="13"/>
    </row>
    <row r="1292" spans="1:9">
      <c r="A1292" s="13" t="s">
        <v>2008</v>
      </c>
      <c r="B1292" s="138" t="s">
        <v>920</v>
      </c>
      <c r="C1292" s="138" t="s">
        <v>173</v>
      </c>
      <c r="D1292" s="15">
        <v>2000000</v>
      </c>
      <c r="E1292" s="92">
        <v>0.97593583510000004</v>
      </c>
      <c r="F1292" s="18">
        <v>1951871.67</v>
      </c>
      <c r="G1292" s="15">
        <v>0</v>
      </c>
      <c r="H1292" s="13"/>
      <c r="I1292" s="13"/>
    </row>
    <row r="1293" spans="1:9">
      <c r="A1293" s="13" t="s">
        <v>2009</v>
      </c>
      <c r="B1293" s="138" t="s">
        <v>890</v>
      </c>
      <c r="C1293" s="138" t="s">
        <v>173</v>
      </c>
      <c r="D1293" s="18">
        <v>4957748.6399999997</v>
      </c>
      <c r="E1293" s="92">
        <v>0.9455958686</v>
      </c>
      <c r="F1293" s="18">
        <v>4688026.63</v>
      </c>
      <c r="G1293" s="18">
        <v>0.01</v>
      </c>
      <c r="H1293" s="13"/>
      <c r="I1293" s="13"/>
    </row>
    <row r="1294" spans="1:9">
      <c r="A1294" s="13" t="s">
        <v>2010</v>
      </c>
      <c r="B1294" s="138" t="s">
        <v>531</v>
      </c>
      <c r="C1294" s="138" t="s">
        <v>173</v>
      </c>
      <c r="D1294" s="18">
        <v>4957748.6399999997</v>
      </c>
      <c r="E1294" s="92">
        <v>0.9697132249</v>
      </c>
      <c r="F1294" s="18">
        <v>4807594.42</v>
      </c>
      <c r="G1294" s="18">
        <v>0.01</v>
      </c>
      <c r="H1294" s="13"/>
      <c r="I1294" s="13"/>
    </row>
    <row r="1295" spans="1:9">
      <c r="A1295" s="13" t="s">
        <v>2011</v>
      </c>
      <c r="B1295" s="138" t="s">
        <v>415</v>
      </c>
      <c r="C1295" s="138" t="s">
        <v>173</v>
      </c>
      <c r="D1295" s="18">
        <v>4957748.6399999997</v>
      </c>
      <c r="E1295" s="92">
        <v>0.99346761539999995</v>
      </c>
      <c r="F1295" s="18">
        <v>4925362.72</v>
      </c>
      <c r="G1295" s="18">
        <v>0.01</v>
      </c>
      <c r="H1295" s="13"/>
      <c r="I1295" s="13"/>
    </row>
    <row r="1296" spans="1:9">
      <c r="A1296" s="13" t="s">
        <v>2014</v>
      </c>
      <c r="B1296" s="138" t="s">
        <v>475</v>
      </c>
      <c r="C1296" s="138" t="s">
        <v>173</v>
      </c>
      <c r="D1296" s="18">
        <v>4508790.7699999996</v>
      </c>
      <c r="E1296" s="92">
        <v>0.98862410069999995</v>
      </c>
      <c r="F1296" s="18">
        <v>4457499.22</v>
      </c>
      <c r="G1296" s="18">
        <v>0.01</v>
      </c>
      <c r="H1296" s="13"/>
      <c r="I1296" s="13"/>
    </row>
    <row r="1297" spans="1:9">
      <c r="A1297" s="13" t="s">
        <v>2015</v>
      </c>
      <c r="B1297" s="138" t="s">
        <v>1391</v>
      </c>
      <c r="C1297" s="138" t="s">
        <v>173</v>
      </c>
      <c r="D1297" s="15">
        <v>75000000</v>
      </c>
      <c r="E1297" s="92">
        <v>0.94120689619999998</v>
      </c>
      <c r="F1297" s="18">
        <v>70590517.219999999</v>
      </c>
      <c r="G1297" s="18">
        <v>0.12</v>
      </c>
      <c r="H1297" s="13"/>
      <c r="I1297" s="13"/>
    </row>
    <row r="1298" spans="1:9">
      <c r="A1298" s="13" t="s">
        <v>2016</v>
      </c>
      <c r="B1298" s="138" t="s">
        <v>494</v>
      </c>
      <c r="C1298" s="138" t="s">
        <v>173</v>
      </c>
      <c r="D1298" s="15">
        <v>75000000</v>
      </c>
      <c r="E1298" s="92">
        <v>0.9658640731</v>
      </c>
      <c r="F1298" s="18">
        <v>72439805.480000004</v>
      </c>
      <c r="G1298" s="18">
        <v>0.12</v>
      </c>
      <c r="H1298" s="13"/>
      <c r="I1298" s="13"/>
    </row>
    <row r="1299" spans="1:9">
      <c r="A1299" s="13" t="s">
        <v>2017</v>
      </c>
      <c r="B1299" s="138" t="s">
        <v>494</v>
      </c>
      <c r="C1299" s="138" t="s">
        <v>173</v>
      </c>
      <c r="D1299" s="18">
        <v>262422.81</v>
      </c>
      <c r="E1299" s="92">
        <v>0.96586405769999994</v>
      </c>
      <c r="F1299" s="18">
        <v>253464.76</v>
      </c>
      <c r="G1299" s="15">
        <v>0</v>
      </c>
      <c r="H1299" s="13"/>
      <c r="I1299" s="13"/>
    </row>
    <row r="1300" spans="1:9">
      <c r="A1300" s="13" t="s">
        <v>2018</v>
      </c>
      <c r="B1300" s="138" t="s">
        <v>475</v>
      </c>
      <c r="C1300" s="138" t="s">
        <v>173</v>
      </c>
      <c r="D1300" s="15">
        <v>102443728</v>
      </c>
      <c r="E1300" s="92">
        <v>0.98824935940000003</v>
      </c>
      <c r="F1300" s="18">
        <v>101239948.56999999</v>
      </c>
      <c r="G1300" s="18">
        <v>0.17</v>
      </c>
      <c r="H1300" s="13"/>
      <c r="I1300" s="13"/>
    </row>
    <row r="1301" spans="1:9">
      <c r="A1301" s="13" t="s">
        <v>2019</v>
      </c>
      <c r="B1301" s="138" t="s">
        <v>494</v>
      </c>
      <c r="C1301" s="138" t="s">
        <v>173</v>
      </c>
      <c r="D1301" s="15">
        <v>100000000</v>
      </c>
      <c r="E1301" s="92">
        <v>0.9658640731</v>
      </c>
      <c r="F1301" s="18">
        <v>96586407.310000002</v>
      </c>
      <c r="G1301" s="18">
        <v>0.16</v>
      </c>
      <c r="H1301" s="13"/>
      <c r="I1301" s="13"/>
    </row>
    <row r="1302" spans="1:9">
      <c r="A1302" s="13" t="s">
        <v>2020</v>
      </c>
      <c r="B1302" s="138" t="s">
        <v>489</v>
      </c>
      <c r="C1302" s="138" t="s">
        <v>173</v>
      </c>
      <c r="D1302" s="15">
        <v>100000000</v>
      </c>
      <c r="E1302" s="92">
        <v>0.96509786779999995</v>
      </c>
      <c r="F1302" s="18">
        <v>96509786.780000001</v>
      </c>
      <c r="G1302" s="18">
        <v>0.16</v>
      </c>
      <c r="H1302" s="13"/>
      <c r="I1302" s="13"/>
    </row>
    <row r="1303" spans="1:9">
      <c r="A1303" s="13" t="s">
        <v>2021</v>
      </c>
      <c r="B1303" s="138" t="s">
        <v>581</v>
      </c>
      <c r="C1303" s="138" t="s">
        <v>173</v>
      </c>
      <c r="D1303" s="15">
        <v>100000000</v>
      </c>
      <c r="E1303" s="92">
        <v>0.96433306730000001</v>
      </c>
      <c r="F1303" s="18">
        <v>96433306.730000004</v>
      </c>
      <c r="G1303" s="18">
        <v>0.16</v>
      </c>
      <c r="H1303" s="13"/>
      <c r="I1303" s="13"/>
    </row>
    <row r="1304" spans="1:9">
      <c r="A1304" s="13" t="s">
        <v>2022</v>
      </c>
      <c r="B1304" s="138" t="s">
        <v>920</v>
      </c>
      <c r="C1304" s="138" t="s">
        <v>173</v>
      </c>
      <c r="D1304" s="15">
        <v>286000000</v>
      </c>
      <c r="E1304" s="92">
        <v>0.96971307659999995</v>
      </c>
      <c r="F1304" s="18">
        <v>277337939.91000003</v>
      </c>
      <c r="G1304" s="18">
        <v>0.45</v>
      </c>
      <c r="H1304" s="13"/>
      <c r="I1304" s="13"/>
    </row>
    <row r="1305" spans="1:9">
      <c r="A1305" s="13" t="s">
        <v>2023</v>
      </c>
      <c r="B1305" s="138" t="s">
        <v>560</v>
      </c>
      <c r="C1305" s="138" t="s">
        <v>173</v>
      </c>
      <c r="D1305" s="15">
        <v>145700000</v>
      </c>
      <c r="E1305" s="92">
        <v>0.96484286289999999</v>
      </c>
      <c r="F1305" s="18">
        <v>140577605.12</v>
      </c>
      <c r="G1305" s="18">
        <v>0.23</v>
      </c>
      <c r="H1305" s="13"/>
      <c r="I1305" s="13"/>
    </row>
    <row r="1306" spans="1:9">
      <c r="A1306" s="13" t="s">
        <v>2024</v>
      </c>
      <c r="B1306" s="138" t="s">
        <v>450</v>
      </c>
      <c r="C1306" s="138" t="s">
        <v>173</v>
      </c>
      <c r="D1306" s="15">
        <v>80000000</v>
      </c>
      <c r="E1306" s="92">
        <v>0.98049753709999998</v>
      </c>
      <c r="F1306" s="18">
        <v>78439802.969999999</v>
      </c>
      <c r="G1306" s="18">
        <v>0.13</v>
      </c>
      <c r="H1306" s="13"/>
      <c r="I1306" s="13"/>
    </row>
    <row r="1307" spans="1:9">
      <c r="A1307" s="13" t="s">
        <v>2025</v>
      </c>
      <c r="B1307" s="138" t="s">
        <v>444</v>
      </c>
      <c r="C1307" s="138" t="s">
        <v>173</v>
      </c>
      <c r="D1307" s="15">
        <v>80000000</v>
      </c>
      <c r="E1307" s="92">
        <v>0.9910399661</v>
      </c>
      <c r="F1307" s="18">
        <v>79283197.290000007</v>
      </c>
      <c r="G1307" s="18">
        <v>0.13</v>
      </c>
      <c r="H1307" s="13"/>
      <c r="I1307" s="13"/>
    </row>
    <row r="1308" spans="1:9">
      <c r="A1308" s="13" t="s">
        <v>2032</v>
      </c>
      <c r="B1308" s="138" t="s">
        <v>499</v>
      </c>
      <c r="C1308" s="138" t="s">
        <v>416</v>
      </c>
      <c r="D1308" s="15">
        <v>4000000</v>
      </c>
      <c r="E1308" s="92">
        <v>0.95901213730000001</v>
      </c>
      <c r="F1308" s="18">
        <v>3836048.55</v>
      </c>
      <c r="G1308" s="18">
        <v>0.01</v>
      </c>
      <c r="H1308" s="13"/>
      <c r="I1308" s="13"/>
    </row>
    <row r="1309" spans="1:9">
      <c r="A1309" s="13" t="s">
        <v>2033</v>
      </c>
      <c r="B1309" s="138" t="s">
        <v>551</v>
      </c>
      <c r="C1309" s="138" t="s">
        <v>416</v>
      </c>
      <c r="D1309" s="15">
        <v>4000000</v>
      </c>
      <c r="E1309" s="92">
        <v>0.98065571269999996</v>
      </c>
      <c r="F1309" s="18">
        <v>3922622.85</v>
      </c>
      <c r="G1309" s="18">
        <v>0.01</v>
      </c>
      <c r="H1309" s="13"/>
      <c r="I1309" s="13"/>
    </row>
    <row r="1310" spans="1:9">
      <c r="A1310" s="13" t="s">
        <v>2034</v>
      </c>
      <c r="B1310" s="138" t="s">
        <v>452</v>
      </c>
      <c r="C1310" s="138" t="s">
        <v>416</v>
      </c>
      <c r="D1310" s="15">
        <v>4000000</v>
      </c>
      <c r="E1310" s="92">
        <v>0.99265706249999996</v>
      </c>
      <c r="F1310" s="18">
        <v>3970628.25</v>
      </c>
      <c r="G1310" s="18">
        <v>0.01</v>
      </c>
      <c r="H1310" s="13"/>
      <c r="I1310" s="13"/>
    </row>
    <row r="1311" spans="1:9">
      <c r="A1311" s="13" t="s">
        <v>2035</v>
      </c>
      <c r="B1311" s="138" t="s">
        <v>727</v>
      </c>
      <c r="C1311" s="138" t="s">
        <v>416</v>
      </c>
      <c r="D1311" s="15">
        <v>4000000</v>
      </c>
      <c r="E1311" s="153">
        <v>0.96128524500000001</v>
      </c>
      <c r="F1311" s="18">
        <v>3845140.98</v>
      </c>
      <c r="G1311" s="18">
        <v>0.01</v>
      </c>
      <c r="H1311" s="13"/>
      <c r="I1311" s="13"/>
    </row>
    <row r="1312" spans="1:9">
      <c r="A1312" s="13" t="s">
        <v>2036</v>
      </c>
      <c r="B1312" s="138" t="s">
        <v>587</v>
      </c>
      <c r="C1312" s="138" t="s">
        <v>416</v>
      </c>
      <c r="D1312" s="15">
        <v>4000000</v>
      </c>
      <c r="E1312" s="92">
        <v>0.95374974690000003</v>
      </c>
      <c r="F1312" s="18">
        <v>3814998.99</v>
      </c>
      <c r="G1312" s="18">
        <v>0.01</v>
      </c>
      <c r="H1312" s="13"/>
      <c r="I1312" s="13"/>
    </row>
    <row r="1313" spans="1:9">
      <c r="A1313" s="13" t="s">
        <v>2041</v>
      </c>
      <c r="B1313" s="138" t="s">
        <v>1618</v>
      </c>
      <c r="C1313" s="138" t="s">
        <v>416</v>
      </c>
      <c r="D1313" s="15">
        <v>50000000</v>
      </c>
      <c r="E1313" s="92">
        <v>0.92088017720000004</v>
      </c>
      <c r="F1313" s="18">
        <v>46044008.859999999</v>
      </c>
      <c r="G1313" s="18">
        <v>0.08</v>
      </c>
      <c r="H1313" s="13"/>
      <c r="I1313" s="13"/>
    </row>
    <row r="1314" spans="1:9">
      <c r="A1314" s="13" t="s">
        <v>2042</v>
      </c>
      <c r="B1314" s="138" t="s">
        <v>1245</v>
      </c>
      <c r="C1314" s="138" t="s">
        <v>416</v>
      </c>
      <c r="D1314" s="15">
        <v>50000000</v>
      </c>
      <c r="E1314" s="92">
        <v>0.91122443050000002</v>
      </c>
      <c r="F1314" s="18">
        <v>45561221.530000001</v>
      </c>
      <c r="G1314" s="18">
        <v>7.0000000000000007E-2</v>
      </c>
      <c r="H1314" s="13"/>
      <c r="I1314" s="13"/>
    </row>
    <row r="1315" spans="1:9">
      <c r="A1315" s="13" t="s">
        <v>2039</v>
      </c>
      <c r="B1315" s="138" t="s">
        <v>546</v>
      </c>
      <c r="C1315" s="138" t="s">
        <v>416</v>
      </c>
      <c r="D1315" s="15">
        <v>140000000</v>
      </c>
      <c r="E1315" s="153">
        <v>0.98223897299999996</v>
      </c>
      <c r="F1315" s="18">
        <v>137513456.22</v>
      </c>
      <c r="G1315" s="18">
        <v>0.23</v>
      </c>
      <c r="H1315" s="13"/>
      <c r="I1315" s="13"/>
    </row>
    <row r="1316" spans="1:9">
      <c r="A1316" s="13" t="s">
        <v>2040</v>
      </c>
      <c r="B1316" s="138" t="s">
        <v>546</v>
      </c>
      <c r="C1316" s="138" t="s">
        <v>416</v>
      </c>
      <c r="D1316" s="15">
        <v>160000000</v>
      </c>
      <c r="E1316" s="153">
        <v>0.98223897299999996</v>
      </c>
      <c r="F1316" s="18">
        <v>157158235.68000001</v>
      </c>
      <c r="G1316" s="18">
        <v>0.26</v>
      </c>
      <c r="H1316" s="13"/>
      <c r="I1316" s="13"/>
    </row>
    <row r="1317" spans="1:9">
      <c r="A1317" s="13" t="s">
        <v>2048</v>
      </c>
      <c r="B1317" s="138" t="s">
        <v>645</v>
      </c>
      <c r="C1317" s="138" t="s">
        <v>416</v>
      </c>
      <c r="D1317" s="18">
        <v>6131725.6200000001</v>
      </c>
      <c r="E1317" s="92">
        <v>0.98942814089999997</v>
      </c>
      <c r="F1317" s="18">
        <v>6066901.8799999999</v>
      </c>
      <c r="G1317" s="18">
        <v>0.01</v>
      </c>
      <c r="H1317" s="13"/>
      <c r="I1317" s="13"/>
    </row>
    <row r="1318" spans="1:9">
      <c r="A1318" s="13" t="s">
        <v>2049</v>
      </c>
      <c r="B1318" s="138" t="s">
        <v>475</v>
      </c>
      <c r="C1318" s="138" t="s">
        <v>416</v>
      </c>
      <c r="D1318" s="18">
        <v>3068102.81</v>
      </c>
      <c r="E1318" s="153">
        <v>0.98862413599999999</v>
      </c>
      <c r="F1318" s="18">
        <v>3033200.49</v>
      </c>
      <c r="G1318" s="15">
        <v>0</v>
      </c>
      <c r="H1318" s="13"/>
      <c r="I1318" s="13"/>
    </row>
    <row r="1319" spans="1:9">
      <c r="A1319" s="13" t="s">
        <v>2061</v>
      </c>
      <c r="B1319" s="138" t="s">
        <v>622</v>
      </c>
      <c r="C1319" s="138" t="s">
        <v>416</v>
      </c>
      <c r="D1319" s="18">
        <v>8998754.6099999994</v>
      </c>
      <c r="E1319" s="92">
        <v>0.98782143239999998</v>
      </c>
      <c r="F1319" s="18">
        <v>8889162.6699999999</v>
      </c>
      <c r="G1319" s="18">
        <v>0.01</v>
      </c>
      <c r="H1319" s="13"/>
      <c r="I1319" s="13"/>
    </row>
    <row r="1320" spans="1:9">
      <c r="A1320" s="13" t="s">
        <v>2051</v>
      </c>
      <c r="B1320" s="138" t="s">
        <v>645</v>
      </c>
      <c r="C1320" s="138" t="s">
        <v>416</v>
      </c>
      <c r="D1320" s="18">
        <v>15197573.789999999</v>
      </c>
      <c r="E1320" s="92">
        <v>0.98942814089999997</v>
      </c>
      <c r="F1320" s="18">
        <v>15036907.18</v>
      </c>
      <c r="G1320" s="18">
        <v>0.02</v>
      </c>
      <c r="H1320" s="13"/>
      <c r="I1320" s="13"/>
    </row>
    <row r="1321" spans="1:9">
      <c r="A1321" s="13" t="s">
        <v>2058</v>
      </c>
      <c r="B1321" s="138" t="s">
        <v>727</v>
      </c>
      <c r="C1321" s="138" t="s">
        <v>416</v>
      </c>
      <c r="D1321" s="15">
        <v>2250000</v>
      </c>
      <c r="E1321" s="92">
        <v>0.95512235990000005</v>
      </c>
      <c r="F1321" s="18">
        <v>2149025.31</v>
      </c>
      <c r="G1321" s="15">
        <v>0</v>
      </c>
      <c r="H1321" s="13"/>
      <c r="I1321" s="13"/>
    </row>
    <row r="1322" spans="1:9">
      <c r="A1322" s="13" t="s">
        <v>2059</v>
      </c>
      <c r="B1322" s="138" t="s">
        <v>1081</v>
      </c>
      <c r="C1322" s="138" t="s">
        <v>416</v>
      </c>
      <c r="D1322" s="15">
        <v>1500000</v>
      </c>
      <c r="E1322" s="92">
        <v>0.96573628030000003</v>
      </c>
      <c r="F1322" s="18">
        <v>1448604.42</v>
      </c>
      <c r="G1322" s="15">
        <v>0</v>
      </c>
      <c r="H1322" s="13"/>
      <c r="I1322" s="13"/>
    </row>
    <row r="1323" spans="1:9">
      <c r="A1323" s="13" t="s">
        <v>2053</v>
      </c>
      <c r="B1323" s="138" t="s">
        <v>480</v>
      </c>
      <c r="C1323" s="138" t="s">
        <v>416</v>
      </c>
      <c r="D1323" s="18">
        <v>6091357.8200000003</v>
      </c>
      <c r="E1323" s="92">
        <v>0.99917876110000003</v>
      </c>
      <c r="F1323" s="18">
        <v>6086355.3600000003</v>
      </c>
      <c r="G1323" s="18">
        <v>0.01</v>
      </c>
      <c r="H1323" s="13"/>
      <c r="I1323" s="13"/>
    </row>
    <row r="1324" spans="1:9">
      <c r="A1324" s="13" t="s">
        <v>2038</v>
      </c>
      <c r="B1324" s="138" t="s">
        <v>494</v>
      </c>
      <c r="C1324" s="138" t="s">
        <v>416</v>
      </c>
      <c r="D1324" s="15">
        <v>10000000</v>
      </c>
      <c r="E1324" s="92">
        <v>0.96040011039999995</v>
      </c>
      <c r="F1324" s="150">
        <v>9604001.0999999996</v>
      </c>
      <c r="G1324" s="18">
        <v>0.02</v>
      </c>
      <c r="H1324" s="13"/>
      <c r="I1324" s="13"/>
    </row>
    <row r="1325" spans="1:9">
      <c r="A1325" s="13" t="s">
        <v>2055</v>
      </c>
      <c r="B1325" s="138" t="s">
        <v>494</v>
      </c>
      <c r="C1325" s="138" t="s">
        <v>416</v>
      </c>
      <c r="D1325" s="15">
        <v>5200000</v>
      </c>
      <c r="E1325" s="153">
        <v>0.97473706199999999</v>
      </c>
      <c r="F1325" s="18">
        <v>5068632.72</v>
      </c>
      <c r="G1325" s="18">
        <v>0.01</v>
      </c>
      <c r="H1325" s="13"/>
      <c r="I1325" s="13"/>
    </row>
    <row r="1326" spans="1:9">
      <c r="A1326" s="13" t="s">
        <v>2056</v>
      </c>
      <c r="B1326" s="138" t="s">
        <v>740</v>
      </c>
      <c r="C1326" s="138" t="s">
        <v>416</v>
      </c>
      <c r="D1326" s="15">
        <v>5300000</v>
      </c>
      <c r="E1326" s="92">
        <v>0.95564755130000001</v>
      </c>
      <c r="F1326" s="18">
        <v>5064932.0199999996</v>
      </c>
      <c r="G1326" s="18">
        <v>0.01</v>
      </c>
      <c r="H1326" s="13"/>
      <c r="I1326" s="13"/>
    </row>
    <row r="1327" spans="1:9">
      <c r="A1327" s="13" t="s">
        <v>2057</v>
      </c>
      <c r="B1327" s="138" t="s">
        <v>475</v>
      </c>
      <c r="C1327" s="138" t="s">
        <v>416</v>
      </c>
      <c r="D1327" s="15">
        <v>5100000</v>
      </c>
      <c r="E1327" s="92">
        <v>0.99163231760000004</v>
      </c>
      <c r="F1327" s="18">
        <v>5057324.82</v>
      </c>
      <c r="G1327" s="18">
        <v>0.01</v>
      </c>
      <c r="H1327" s="13"/>
      <c r="I1327" s="13"/>
    </row>
    <row r="1328" spans="1:9">
      <c r="A1328" s="13" t="s">
        <v>2037</v>
      </c>
      <c r="B1328" s="138" t="s">
        <v>589</v>
      </c>
      <c r="C1328" s="138" t="s">
        <v>416</v>
      </c>
      <c r="D1328" s="15">
        <v>25000000</v>
      </c>
      <c r="E1328" s="92">
        <v>0.94540004010000001</v>
      </c>
      <c r="F1328" s="15">
        <v>23635001</v>
      </c>
      <c r="G1328" s="18">
        <v>0.04</v>
      </c>
      <c r="H1328" s="13"/>
      <c r="I1328" s="13"/>
    </row>
    <row r="1329" spans="1:9">
      <c r="A1329" s="13" t="s">
        <v>2044</v>
      </c>
      <c r="B1329" s="138" t="s">
        <v>489</v>
      </c>
      <c r="C1329" s="138" t="s">
        <v>416</v>
      </c>
      <c r="D1329" s="150">
        <v>64965211.600000001</v>
      </c>
      <c r="E1329" s="153">
        <v>0.96734875300000001</v>
      </c>
      <c r="F1329" s="18">
        <v>62844016.43</v>
      </c>
      <c r="G1329" s="150">
        <v>0.1</v>
      </c>
      <c r="H1329" s="13"/>
      <c r="I1329" s="13"/>
    </row>
    <row r="1330" spans="1:9">
      <c r="A1330" s="13" t="s">
        <v>2045</v>
      </c>
      <c r="B1330" s="138" t="s">
        <v>489</v>
      </c>
      <c r="C1330" s="138" t="s">
        <v>416</v>
      </c>
      <c r="D1330" s="150">
        <v>64965211.600000001</v>
      </c>
      <c r="E1330" s="153">
        <v>0.96734875300000001</v>
      </c>
      <c r="F1330" s="18">
        <v>62844016.43</v>
      </c>
      <c r="G1330" s="150">
        <v>0.1</v>
      </c>
      <c r="H1330" s="13"/>
      <c r="I1330" s="13"/>
    </row>
    <row r="1331" spans="1:9">
      <c r="A1331" s="13" t="s">
        <v>2046</v>
      </c>
      <c r="B1331" s="138" t="s">
        <v>1081</v>
      </c>
      <c r="C1331" s="138" t="s">
        <v>416</v>
      </c>
      <c r="D1331" s="18">
        <v>62410311.859999999</v>
      </c>
      <c r="E1331" s="92">
        <v>0.97239989559999995</v>
      </c>
      <c r="F1331" s="18">
        <v>60687780.740000002</v>
      </c>
      <c r="G1331" s="150">
        <v>0.1</v>
      </c>
      <c r="H1331" s="13"/>
      <c r="I1331" s="13"/>
    </row>
    <row r="1332" spans="1:9">
      <c r="A1332" s="13" t="s">
        <v>2062</v>
      </c>
      <c r="B1332" s="138" t="s">
        <v>501</v>
      </c>
      <c r="C1332" s="138" t="s">
        <v>484</v>
      </c>
      <c r="D1332" s="18">
        <v>2600411.64</v>
      </c>
      <c r="E1332" s="92">
        <v>0.90730587119999995</v>
      </c>
      <c r="F1332" s="18">
        <v>2359368.75</v>
      </c>
      <c r="G1332" s="15">
        <v>0</v>
      </c>
      <c r="H1332" s="13"/>
      <c r="I1332" s="13"/>
    </row>
    <row r="1333" spans="1:9">
      <c r="A1333" s="13" t="s">
        <v>2063</v>
      </c>
      <c r="B1333" s="138" t="s">
        <v>1221</v>
      </c>
      <c r="C1333" s="138" t="s">
        <v>484</v>
      </c>
      <c r="D1333" s="18">
        <v>2600411.64</v>
      </c>
      <c r="E1333" s="92">
        <v>0.91784661779999999</v>
      </c>
      <c r="F1333" s="18">
        <v>2386779.0299999998</v>
      </c>
      <c r="G1333" s="15">
        <v>0</v>
      </c>
      <c r="H1333" s="13"/>
      <c r="I1333" s="13"/>
    </row>
    <row r="1334" spans="1:9">
      <c r="A1334" s="13" t="s">
        <v>2064</v>
      </c>
      <c r="B1334" s="138" t="s">
        <v>1280</v>
      </c>
      <c r="C1334" s="138" t="s">
        <v>484</v>
      </c>
      <c r="D1334" s="18">
        <v>6222591.4500000002</v>
      </c>
      <c r="E1334" s="92">
        <v>0.89266069910000001</v>
      </c>
      <c r="F1334" s="18">
        <v>5554662.8300000001</v>
      </c>
      <c r="G1334" s="18">
        <v>0.01</v>
      </c>
      <c r="H1334" s="13"/>
      <c r="I1334" s="13"/>
    </row>
    <row r="1335" spans="1:9">
      <c r="A1335" s="13" t="s">
        <v>2065</v>
      </c>
      <c r="B1335" s="138" t="s">
        <v>734</v>
      </c>
      <c r="C1335" s="138" t="s">
        <v>484</v>
      </c>
      <c r="D1335" s="18">
        <v>4069364.15</v>
      </c>
      <c r="E1335" s="92">
        <v>0.93019701560000001</v>
      </c>
      <c r="F1335" s="18">
        <v>3785310.39</v>
      </c>
      <c r="G1335" s="18">
        <v>0.01</v>
      </c>
      <c r="H1335" s="13"/>
      <c r="I1335" s="13"/>
    </row>
    <row r="1336" spans="1:9">
      <c r="A1336" s="13" t="s">
        <v>2066</v>
      </c>
      <c r="B1336" s="138" t="s">
        <v>1391</v>
      </c>
      <c r="C1336" s="138" t="s">
        <v>484</v>
      </c>
      <c r="D1336" s="18">
        <v>7954930.75</v>
      </c>
      <c r="E1336" s="92">
        <v>0.9357057205</v>
      </c>
      <c r="F1336" s="18">
        <v>7443474.21</v>
      </c>
      <c r="G1336" s="18">
        <v>0.01</v>
      </c>
      <c r="H1336" s="13"/>
      <c r="I1336" s="13"/>
    </row>
    <row r="1337" spans="1:9">
      <c r="A1337" s="13" t="s">
        <v>2067</v>
      </c>
      <c r="B1337" s="138" t="s">
        <v>740</v>
      </c>
      <c r="C1337" s="138" t="s">
        <v>484</v>
      </c>
      <c r="D1337" s="18">
        <v>7954930.75</v>
      </c>
      <c r="E1337" s="92">
        <v>0.93491473920000001</v>
      </c>
      <c r="F1337" s="18">
        <v>7437182.0099999998</v>
      </c>
      <c r="G1337" s="18">
        <v>0.01</v>
      </c>
      <c r="H1337" s="13"/>
      <c r="I1337" s="13"/>
    </row>
    <row r="1338" spans="1:9">
      <c r="A1338" s="13" t="s">
        <v>2068</v>
      </c>
      <c r="B1338" s="138" t="s">
        <v>591</v>
      </c>
      <c r="C1338" s="138" t="s">
        <v>484</v>
      </c>
      <c r="D1338" s="18">
        <v>7954930.75</v>
      </c>
      <c r="E1338" s="92">
        <v>0.94530203820000003</v>
      </c>
      <c r="F1338" s="18">
        <v>7519812.25</v>
      </c>
      <c r="G1338" s="18">
        <v>0.01</v>
      </c>
      <c r="H1338" s="13"/>
      <c r="I1338" s="13"/>
    </row>
    <row r="1339" spans="1:9">
      <c r="A1339" s="13" t="s">
        <v>2069</v>
      </c>
      <c r="B1339" s="138" t="s">
        <v>1175</v>
      </c>
      <c r="C1339" s="138" t="s">
        <v>484</v>
      </c>
      <c r="D1339" s="18">
        <v>9356284.2599999998</v>
      </c>
      <c r="E1339" s="92">
        <v>0.89846166559999996</v>
      </c>
      <c r="F1339" s="18">
        <v>8406262.7400000002</v>
      </c>
      <c r="G1339" s="18">
        <v>0.01</v>
      </c>
      <c r="H1339" s="13"/>
      <c r="I1339" s="13"/>
    </row>
    <row r="1340" spans="1:9">
      <c r="A1340" s="13" t="s">
        <v>2070</v>
      </c>
      <c r="B1340" s="138" t="s">
        <v>1221</v>
      </c>
      <c r="C1340" s="138" t="s">
        <v>484</v>
      </c>
      <c r="D1340" s="18">
        <v>6512309.3700000001</v>
      </c>
      <c r="E1340" s="92">
        <v>0.91784661329999995</v>
      </c>
      <c r="F1340" s="150">
        <v>5977301.0999999996</v>
      </c>
      <c r="G1340" s="18">
        <v>0.01</v>
      </c>
      <c r="H1340" s="13"/>
      <c r="I1340" s="13"/>
    </row>
    <row r="1341" spans="1:9">
      <c r="A1341" s="13" t="s">
        <v>2071</v>
      </c>
      <c r="B1341" s="138" t="s">
        <v>1158</v>
      </c>
      <c r="C1341" s="138" t="s">
        <v>484</v>
      </c>
      <c r="D1341" s="18">
        <v>6820314.5199999996</v>
      </c>
      <c r="E1341" s="92">
        <v>0.90581964780000002</v>
      </c>
      <c r="F1341" s="150">
        <v>6177974.9000000004</v>
      </c>
      <c r="G1341" s="18">
        <v>0.01</v>
      </c>
      <c r="H1341" s="13"/>
      <c r="I1341" s="13"/>
    </row>
    <row r="1342" spans="1:9">
      <c r="A1342" s="13" t="s">
        <v>2072</v>
      </c>
      <c r="B1342" s="138" t="s">
        <v>575</v>
      </c>
      <c r="C1342" s="138" t="s">
        <v>484</v>
      </c>
      <c r="D1342" s="15">
        <v>8951101</v>
      </c>
      <c r="E1342" s="92">
        <v>0.93412509239999997</v>
      </c>
      <c r="F1342" s="18">
        <v>8361448.0499999998</v>
      </c>
      <c r="G1342" s="18">
        <v>0.01</v>
      </c>
      <c r="H1342" s="13"/>
      <c r="I1342" s="13"/>
    </row>
    <row r="1343" spans="1:9">
      <c r="A1343" s="13" t="s">
        <v>2073</v>
      </c>
      <c r="B1343" s="138" t="s">
        <v>1391</v>
      </c>
      <c r="C1343" s="138" t="s">
        <v>484</v>
      </c>
      <c r="D1343" s="15">
        <v>2500000</v>
      </c>
      <c r="E1343" s="92">
        <v>0.94120700869999996</v>
      </c>
      <c r="F1343" s="18">
        <v>2353017.52</v>
      </c>
      <c r="G1343" s="15">
        <v>0</v>
      </c>
      <c r="H1343" s="13"/>
      <c r="I1343" s="13"/>
    </row>
    <row r="1344" spans="1:9">
      <c r="A1344" s="13" t="s">
        <v>2074</v>
      </c>
      <c r="B1344" s="138" t="s">
        <v>568</v>
      </c>
      <c r="C1344" s="138" t="s">
        <v>484</v>
      </c>
      <c r="D1344" s="15">
        <v>2500000</v>
      </c>
      <c r="E1344" s="92">
        <v>0.93902756389999997</v>
      </c>
      <c r="F1344" s="18">
        <v>2347568.91</v>
      </c>
      <c r="G1344" s="15">
        <v>0</v>
      </c>
      <c r="H1344" s="13"/>
      <c r="I1344" s="13"/>
    </row>
    <row r="1345" spans="1:9">
      <c r="A1345" s="13" t="s">
        <v>2075</v>
      </c>
      <c r="B1345" s="138" t="s">
        <v>600</v>
      </c>
      <c r="C1345" s="138" t="s">
        <v>484</v>
      </c>
      <c r="D1345" s="15">
        <v>2500000</v>
      </c>
      <c r="E1345" s="92">
        <v>0.95674981989999996</v>
      </c>
      <c r="F1345" s="18">
        <v>2391874.5499999998</v>
      </c>
      <c r="G1345" s="15">
        <v>0</v>
      </c>
      <c r="H1345" s="13"/>
      <c r="I1345" s="13"/>
    </row>
    <row r="1346" spans="1:9">
      <c r="A1346" s="13" t="s">
        <v>2076</v>
      </c>
      <c r="B1346" s="138" t="s">
        <v>730</v>
      </c>
      <c r="C1346" s="138" t="s">
        <v>484</v>
      </c>
      <c r="D1346" s="15">
        <v>2500000</v>
      </c>
      <c r="E1346" s="92">
        <v>0.93398161940000002</v>
      </c>
      <c r="F1346" s="18">
        <v>2334954.0499999998</v>
      </c>
      <c r="G1346" s="15">
        <v>0</v>
      </c>
      <c r="H1346" s="13"/>
      <c r="I1346" s="13"/>
    </row>
    <row r="1347" spans="1:9">
      <c r="A1347" s="13" t="s">
        <v>2077</v>
      </c>
      <c r="B1347" s="138" t="s">
        <v>587</v>
      </c>
      <c r="C1347" s="138" t="s">
        <v>484</v>
      </c>
      <c r="D1347" s="15">
        <v>2500000</v>
      </c>
      <c r="E1347" s="92">
        <v>0.95374980860000003</v>
      </c>
      <c r="F1347" s="18">
        <v>2384374.52</v>
      </c>
      <c r="G1347" s="15">
        <v>0</v>
      </c>
      <c r="H1347" s="13"/>
      <c r="I1347" s="13"/>
    </row>
    <row r="1348" spans="1:9">
      <c r="A1348" s="13" t="s">
        <v>2078</v>
      </c>
      <c r="B1348" s="138" t="s">
        <v>589</v>
      </c>
      <c r="C1348" s="138" t="s">
        <v>484</v>
      </c>
      <c r="D1348" s="15">
        <v>2500000</v>
      </c>
      <c r="E1348" s="92">
        <v>0.95151215929999999</v>
      </c>
      <c r="F1348" s="150">
        <v>2378780.4</v>
      </c>
      <c r="G1348" s="15">
        <v>0</v>
      </c>
      <c r="H1348" s="13"/>
      <c r="I1348" s="13"/>
    </row>
    <row r="1349" spans="1:9">
      <c r="A1349" s="13" t="s">
        <v>2079</v>
      </c>
      <c r="B1349" s="138" t="s">
        <v>593</v>
      </c>
      <c r="C1349" s="138" t="s">
        <v>484</v>
      </c>
      <c r="D1349" s="15">
        <v>2500000</v>
      </c>
      <c r="E1349" s="92">
        <v>0.94928499570000002</v>
      </c>
      <c r="F1349" s="18">
        <v>2373212.4900000002</v>
      </c>
      <c r="G1349" s="15">
        <v>0</v>
      </c>
      <c r="H1349" s="13"/>
      <c r="I1349" s="13"/>
    </row>
    <row r="1350" spans="1:9">
      <c r="A1350" s="13" t="s">
        <v>2080</v>
      </c>
      <c r="B1350" s="138" t="s">
        <v>740</v>
      </c>
      <c r="C1350" s="138" t="s">
        <v>484</v>
      </c>
      <c r="D1350" s="15">
        <v>2500000</v>
      </c>
      <c r="E1350" s="92">
        <v>0.94047941280000003</v>
      </c>
      <c r="F1350" s="18">
        <v>2351198.5299999998</v>
      </c>
      <c r="G1350" s="15">
        <v>0</v>
      </c>
      <c r="H1350" s="13"/>
      <c r="I1350" s="13"/>
    </row>
    <row r="1351" spans="1:9">
      <c r="A1351" s="13" t="s">
        <v>2081</v>
      </c>
      <c r="B1351" s="138" t="s">
        <v>727</v>
      </c>
      <c r="C1351" s="138" t="s">
        <v>484</v>
      </c>
      <c r="D1351" s="15">
        <v>2500000</v>
      </c>
      <c r="E1351" s="92">
        <v>0.96128529959999998</v>
      </c>
      <c r="F1351" s="18">
        <v>2403213.25</v>
      </c>
      <c r="G1351" s="15">
        <v>0</v>
      </c>
      <c r="H1351" s="13"/>
      <c r="I1351" s="13"/>
    </row>
    <row r="1352" spans="1:9">
      <c r="A1352" s="13" t="s">
        <v>2082</v>
      </c>
      <c r="B1352" s="138" t="s">
        <v>544</v>
      </c>
      <c r="C1352" s="138" t="s">
        <v>484</v>
      </c>
      <c r="D1352" s="15">
        <v>2500000</v>
      </c>
      <c r="E1352" s="92">
        <v>0.96052633980000002</v>
      </c>
      <c r="F1352" s="18">
        <v>2401315.85</v>
      </c>
      <c r="G1352" s="15">
        <v>0</v>
      </c>
      <c r="H1352" s="13"/>
      <c r="I1352" s="13"/>
    </row>
    <row r="1353" spans="1:9">
      <c r="A1353" s="13" t="s">
        <v>2083</v>
      </c>
      <c r="B1353" s="138" t="s">
        <v>734</v>
      </c>
      <c r="C1353" s="138" t="s">
        <v>484</v>
      </c>
      <c r="D1353" s="15">
        <v>2500000</v>
      </c>
      <c r="E1353" s="92">
        <v>0.9361374831</v>
      </c>
      <c r="F1353" s="18">
        <v>2340343.71</v>
      </c>
      <c r="G1353" s="15">
        <v>0</v>
      </c>
      <c r="H1353" s="13"/>
      <c r="I1353" s="13"/>
    </row>
    <row r="1354" spans="1:9">
      <c r="A1354" s="13" t="s">
        <v>2084</v>
      </c>
      <c r="B1354" s="138" t="s">
        <v>499</v>
      </c>
      <c r="C1354" s="138" t="s">
        <v>484</v>
      </c>
      <c r="D1354" s="15">
        <v>2500000</v>
      </c>
      <c r="E1354" s="92">
        <v>0.95901219230000001</v>
      </c>
      <c r="F1354" s="18">
        <v>2397530.48</v>
      </c>
      <c r="G1354" s="15">
        <v>0</v>
      </c>
      <c r="H1354" s="13"/>
      <c r="I1354" s="13"/>
    </row>
    <row r="1355" spans="1:9">
      <c r="A1355" s="13" t="s">
        <v>2085</v>
      </c>
      <c r="B1355" s="138" t="s">
        <v>553</v>
      </c>
      <c r="C1355" s="138" t="s">
        <v>484</v>
      </c>
      <c r="D1355" s="15">
        <v>2500000</v>
      </c>
      <c r="E1355" s="92">
        <v>0.9559979958</v>
      </c>
      <c r="F1355" s="18">
        <v>2389994.9900000002</v>
      </c>
      <c r="G1355" s="15">
        <v>0</v>
      </c>
      <c r="H1355" s="13"/>
      <c r="I1355" s="13"/>
    </row>
    <row r="1356" spans="1:9">
      <c r="A1356" s="13" t="s">
        <v>2086</v>
      </c>
      <c r="B1356" s="138" t="s">
        <v>1498</v>
      </c>
      <c r="C1356" s="138" t="s">
        <v>484</v>
      </c>
      <c r="D1356" s="15">
        <v>2500000</v>
      </c>
      <c r="E1356" s="92">
        <v>0.93326535509999997</v>
      </c>
      <c r="F1356" s="18">
        <v>2333163.39</v>
      </c>
      <c r="G1356" s="15">
        <v>0</v>
      </c>
      <c r="H1356" s="13"/>
      <c r="I1356" s="13"/>
    </row>
    <row r="1357" spans="1:9">
      <c r="A1357" s="13" t="s">
        <v>2087</v>
      </c>
      <c r="B1357" s="138" t="s">
        <v>1500</v>
      </c>
      <c r="C1357" s="138" t="s">
        <v>484</v>
      </c>
      <c r="D1357" s="15">
        <v>2500000</v>
      </c>
      <c r="E1357" s="92">
        <v>0.93041058369999996</v>
      </c>
      <c r="F1357" s="18">
        <v>2326026.46</v>
      </c>
      <c r="G1357" s="15">
        <v>0</v>
      </c>
      <c r="H1357" s="13"/>
      <c r="I1357" s="13"/>
    </row>
    <row r="1358" spans="1:9">
      <c r="A1358" s="13" t="s">
        <v>2088</v>
      </c>
      <c r="B1358" s="138" t="s">
        <v>1148</v>
      </c>
      <c r="C1358" s="138" t="s">
        <v>484</v>
      </c>
      <c r="D1358" s="15">
        <v>2500000</v>
      </c>
      <c r="E1358" s="92">
        <v>0.92828078420000004</v>
      </c>
      <c r="F1358" s="18">
        <v>2320701.96</v>
      </c>
      <c r="G1358" s="15">
        <v>0</v>
      </c>
      <c r="H1358" s="13"/>
      <c r="I1358" s="13"/>
    </row>
    <row r="1359" spans="1:9">
      <c r="A1359" s="13" t="s">
        <v>2089</v>
      </c>
      <c r="B1359" s="138" t="s">
        <v>591</v>
      </c>
      <c r="C1359" s="138" t="s">
        <v>484</v>
      </c>
      <c r="D1359" s="15">
        <v>2500000</v>
      </c>
      <c r="E1359" s="92">
        <v>0.95002608030000002</v>
      </c>
      <c r="F1359" s="150">
        <v>2375065.2000000002</v>
      </c>
      <c r="G1359" s="15">
        <v>0</v>
      </c>
      <c r="H1359" s="13"/>
      <c r="I1359" s="13"/>
    </row>
    <row r="1360" spans="1:9">
      <c r="A1360" s="13" t="s">
        <v>2090</v>
      </c>
      <c r="B1360" s="138" t="s">
        <v>704</v>
      </c>
      <c r="C1360" s="138" t="s">
        <v>484</v>
      </c>
      <c r="D1360" s="15">
        <v>2500000</v>
      </c>
      <c r="E1360" s="92">
        <v>0.92616091160000003</v>
      </c>
      <c r="F1360" s="18">
        <v>2315402.2799999998</v>
      </c>
      <c r="G1360" s="15">
        <v>0</v>
      </c>
      <c r="H1360" s="13"/>
      <c r="I1360" s="13"/>
    </row>
    <row r="1361" spans="1:9">
      <c r="A1361" s="13" t="s">
        <v>2091</v>
      </c>
      <c r="B1361" s="138" t="s">
        <v>1171</v>
      </c>
      <c r="C1361" s="138" t="s">
        <v>484</v>
      </c>
      <c r="D1361" s="15">
        <v>2500000</v>
      </c>
      <c r="E1361" s="92">
        <v>0.94854485150000001</v>
      </c>
      <c r="F1361" s="18">
        <v>2371362.13</v>
      </c>
      <c r="G1361" s="15">
        <v>0</v>
      </c>
      <c r="H1361" s="13"/>
      <c r="I1361" s="13"/>
    </row>
    <row r="1362" spans="1:9">
      <c r="A1362" s="13" t="s">
        <v>2092</v>
      </c>
      <c r="B1362" s="138" t="s">
        <v>595</v>
      </c>
      <c r="C1362" s="138" t="s">
        <v>484</v>
      </c>
      <c r="D1362" s="15">
        <v>2500000</v>
      </c>
      <c r="E1362" s="92">
        <v>0.94633153520000002</v>
      </c>
      <c r="F1362" s="18">
        <v>2365828.84</v>
      </c>
      <c r="G1362" s="15">
        <v>0</v>
      </c>
      <c r="H1362" s="13"/>
      <c r="I1362" s="13"/>
    </row>
    <row r="1363" spans="1:9">
      <c r="A1363" s="13" t="s">
        <v>2093</v>
      </c>
      <c r="B1363" s="138" t="s">
        <v>890</v>
      </c>
      <c r="C1363" s="138" t="s">
        <v>484</v>
      </c>
      <c r="D1363" s="15">
        <v>12000000</v>
      </c>
      <c r="E1363" s="92">
        <v>0.94559598519999999</v>
      </c>
      <c r="F1363" s="18">
        <v>11347151.82</v>
      </c>
      <c r="G1363" s="18">
        <v>0.02</v>
      </c>
      <c r="H1363" s="13"/>
      <c r="I1363" s="13"/>
    </row>
    <row r="1364" spans="1:9">
      <c r="A1364" s="13" t="s">
        <v>2094</v>
      </c>
      <c r="B1364" s="138" t="s">
        <v>549</v>
      </c>
      <c r="C1364" s="138" t="s">
        <v>484</v>
      </c>
      <c r="D1364" s="15">
        <v>150000000</v>
      </c>
      <c r="E1364" s="92">
        <v>0.95976876980000003</v>
      </c>
      <c r="F1364" s="18">
        <v>143965315.47</v>
      </c>
      <c r="G1364" s="18">
        <v>0.24</v>
      </c>
      <c r="H1364" s="13"/>
      <c r="I1364" s="13"/>
    </row>
    <row r="1365" spans="1:9">
      <c r="A1365" s="13" t="s">
        <v>2095</v>
      </c>
      <c r="B1365" s="138" t="s">
        <v>544</v>
      </c>
      <c r="C1365" s="138" t="s">
        <v>484</v>
      </c>
      <c r="D1365" s="15">
        <v>150000000</v>
      </c>
      <c r="E1365" s="92">
        <v>0.96052633470000004</v>
      </c>
      <c r="F1365" s="18">
        <v>144078950.21000001</v>
      </c>
      <c r="G1365" s="18">
        <v>0.24</v>
      </c>
      <c r="H1365" s="13"/>
      <c r="I1365" s="13"/>
    </row>
    <row r="1366" spans="1:9">
      <c r="A1366" s="13" t="s">
        <v>2109</v>
      </c>
      <c r="B1366" s="138" t="s">
        <v>950</v>
      </c>
      <c r="C1366" s="138" t="s">
        <v>371</v>
      </c>
      <c r="D1366" s="15">
        <v>25000000</v>
      </c>
      <c r="E1366" s="92">
        <v>0.93285982119999999</v>
      </c>
      <c r="F1366" s="18">
        <v>23321495.530000001</v>
      </c>
      <c r="G1366" s="18">
        <v>0.04</v>
      </c>
      <c r="H1366" s="13"/>
      <c r="I1366" s="13"/>
    </row>
    <row r="1367" spans="1:9">
      <c r="A1367" s="13" t="s">
        <v>2110</v>
      </c>
      <c r="B1367" s="138" t="s">
        <v>740</v>
      </c>
      <c r="C1367" s="138" t="s">
        <v>371</v>
      </c>
      <c r="D1367" s="15">
        <v>25000000</v>
      </c>
      <c r="E1367" s="92">
        <v>0.92759688569999998</v>
      </c>
      <c r="F1367" s="18">
        <v>23189922.140000001</v>
      </c>
      <c r="G1367" s="18">
        <v>0.04</v>
      </c>
      <c r="H1367" s="13"/>
      <c r="I1367" s="13"/>
    </row>
    <row r="1368" spans="1:9">
      <c r="A1368" s="13" t="s">
        <v>2111</v>
      </c>
      <c r="B1368" s="138" t="s">
        <v>1171</v>
      </c>
      <c r="C1368" s="138" t="s">
        <v>371</v>
      </c>
      <c r="D1368" s="15">
        <v>15000000</v>
      </c>
      <c r="E1368" s="153">
        <v>0.93729160899999997</v>
      </c>
      <c r="F1368" s="18">
        <v>14059374.140000001</v>
      </c>
      <c r="G1368" s="18">
        <v>0.02</v>
      </c>
      <c r="H1368" s="13"/>
      <c r="I1368" s="13"/>
    </row>
    <row r="1369" spans="1:9">
      <c r="A1369" s="13" t="s">
        <v>2112</v>
      </c>
      <c r="B1369" s="138" t="s">
        <v>890</v>
      </c>
      <c r="C1369" s="138" t="s">
        <v>371</v>
      </c>
      <c r="D1369" s="15">
        <v>15000000</v>
      </c>
      <c r="E1369" s="92">
        <v>0.93374287430000003</v>
      </c>
      <c r="F1369" s="18">
        <v>14006143.109999999</v>
      </c>
      <c r="G1369" s="18">
        <v>0.02</v>
      </c>
      <c r="H1369" s="13"/>
      <c r="I1369" s="13"/>
    </row>
    <row r="1370" spans="1:9">
      <c r="A1370" s="13" t="s">
        <v>2113</v>
      </c>
      <c r="B1370" s="138" t="s">
        <v>712</v>
      </c>
      <c r="C1370" s="138" t="s">
        <v>371</v>
      </c>
      <c r="D1370" s="15">
        <v>20000000</v>
      </c>
      <c r="E1370" s="92">
        <v>0.93197843660000002</v>
      </c>
      <c r="F1370" s="18">
        <v>18639568.73</v>
      </c>
      <c r="G1370" s="18">
        <v>0.03</v>
      </c>
      <c r="H1370" s="13"/>
      <c r="I1370" s="13"/>
    </row>
    <row r="1371" spans="1:9">
      <c r="A1371" s="13" t="s">
        <v>2114</v>
      </c>
      <c r="B1371" s="138" t="s">
        <v>1391</v>
      </c>
      <c r="C1371" s="138" t="s">
        <v>371</v>
      </c>
      <c r="D1371" s="15">
        <v>20000000</v>
      </c>
      <c r="E1371" s="92">
        <v>0.92846974130000004</v>
      </c>
      <c r="F1371" s="18">
        <v>18569394.829999998</v>
      </c>
      <c r="G1371" s="18">
        <v>0.03</v>
      </c>
      <c r="H1371" s="13"/>
      <c r="I1371" s="13"/>
    </row>
    <row r="1372" spans="1:9">
      <c r="A1372" s="13" t="s">
        <v>2098</v>
      </c>
      <c r="B1372" s="138" t="s">
        <v>1171</v>
      </c>
      <c r="C1372" s="138" t="s">
        <v>371</v>
      </c>
      <c r="D1372" s="15">
        <v>2500000</v>
      </c>
      <c r="E1372" s="92">
        <v>0.94854490840000005</v>
      </c>
      <c r="F1372" s="18">
        <v>2371362.27</v>
      </c>
      <c r="G1372" s="15">
        <v>0</v>
      </c>
      <c r="H1372" s="13"/>
      <c r="I1372" s="13"/>
    </row>
    <row r="1373" spans="1:9">
      <c r="A1373" s="13" t="s">
        <v>2099</v>
      </c>
      <c r="B1373" s="138" t="s">
        <v>492</v>
      </c>
      <c r="C1373" s="138" t="s">
        <v>371</v>
      </c>
      <c r="D1373" s="15">
        <v>2500000</v>
      </c>
      <c r="E1373" s="153">
        <v>0.96740011199999998</v>
      </c>
      <c r="F1373" s="18">
        <v>2418500.2799999998</v>
      </c>
      <c r="G1373" s="15">
        <v>0</v>
      </c>
      <c r="H1373" s="13"/>
      <c r="I1373" s="13"/>
    </row>
    <row r="1374" spans="1:9">
      <c r="A1374" s="13" t="s">
        <v>2100</v>
      </c>
      <c r="B1374" s="138" t="s">
        <v>727</v>
      </c>
      <c r="C1374" s="138" t="s">
        <v>371</v>
      </c>
      <c r="D1374" s="15">
        <v>2500000</v>
      </c>
      <c r="E1374" s="92">
        <v>0.96128536040000001</v>
      </c>
      <c r="F1374" s="150">
        <v>2403213.4</v>
      </c>
      <c r="G1374" s="15">
        <v>0</v>
      </c>
      <c r="H1374" s="13"/>
      <c r="I1374" s="13"/>
    </row>
    <row r="1375" spans="1:9">
      <c r="A1375" s="13" t="s">
        <v>2101</v>
      </c>
      <c r="B1375" s="138" t="s">
        <v>600</v>
      </c>
      <c r="C1375" s="138" t="s">
        <v>371</v>
      </c>
      <c r="D1375" s="15">
        <v>2500000</v>
      </c>
      <c r="E1375" s="92">
        <v>0.95674967649999998</v>
      </c>
      <c r="F1375" s="18">
        <v>2391874.19</v>
      </c>
      <c r="G1375" s="15">
        <v>0</v>
      </c>
      <c r="H1375" s="13"/>
      <c r="I1375" s="13"/>
    </row>
    <row r="1376" spans="1:9">
      <c r="A1376" s="13" t="s">
        <v>2102</v>
      </c>
      <c r="B1376" s="138" t="s">
        <v>553</v>
      </c>
      <c r="C1376" s="138" t="s">
        <v>371</v>
      </c>
      <c r="D1376" s="15">
        <v>2500000</v>
      </c>
      <c r="E1376" s="92">
        <v>0.95599805609999999</v>
      </c>
      <c r="F1376" s="18">
        <v>2389995.14</v>
      </c>
      <c r="G1376" s="15">
        <v>0</v>
      </c>
      <c r="H1376" s="13"/>
      <c r="I1376" s="13"/>
    </row>
    <row r="1377" spans="1:9">
      <c r="A1377" s="13" t="s">
        <v>2103</v>
      </c>
      <c r="B1377" s="138" t="s">
        <v>589</v>
      </c>
      <c r="C1377" s="138" t="s">
        <v>371</v>
      </c>
      <c r="D1377" s="15">
        <v>2500000</v>
      </c>
      <c r="E1377" s="92">
        <v>0.95151201169999999</v>
      </c>
      <c r="F1377" s="18">
        <v>2378780.0299999998</v>
      </c>
      <c r="G1377" s="15">
        <v>0</v>
      </c>
      <c r="H1377" s="13"/>
      <c r="I1377" s="13"/>
    </row>
    <row r="1378" spans="1:9">
      <c r="A1378" s="13" t="s">
        <v>2104</v>
      </c>
      <c r="B1378" s="138" t="s">
        <v>1081</v>
      </c>
      <c r="C1378" s="138" t="s">
        <v>371</v>
      </c>
      <c r="D1378" s="15">
        <v>2500000</v>
      </c>
      <c r="E1378" s="92">
        <v>0.97048674840000004</v>
      </c>
      <c r="F1378" s="18">
        <v>2426216.87</v>
      </c>
      <c r="G1378" s="15">
        <v>0</v>
      </c>
      <c r="H1378" s="13"/>
      <c r="I1378" s="13"/>
    </row>
    <row r="1379" spans="1:9">
      <c r="A1379" s="13" t="s">
        <v>2105</v>
      </c>
      <c r="B1379" s="138" t="s">
        <v>531</v>
      </c>
      <c r="C1379" s="138" t="s">
        <v>371</v>
      </c>
      <c r="D1379" s="15">
        <v>2500000</v>
      </c>
      <c r="E1379" s="92">
        <v>0.96971320429999996</v>
      </c>
      <c r="F1379" s="18">
        <v>2424283.0099999998</v>
      </c>
      <c r="G1379" s="15">
        <v>0</v>
      </c>
      <c r="H1379" s="13"/>
      <c r="I1379" s="13"/>
    </row>
    <row r="1380" spans="1:9">
      <c r="A1380" s="13" t="s">
        <v>2121</v>
      </c>
      <c r="B1380" s="138" t="s">
        <v>494</v>
      </c>
      <c r="C1380" s="138" t="s">
        <v>371</v>
      </c>
      <c r="D1380" s="15">
        <v>30000000</v>
      </c>
      <c r="E1380" s="92">
        <v>0.96257818930000005</v>
      </c>
      <c r="F1380" s="18">
        <v>28877345.68</v>
      </c>
      <c r="G1380" s="18">
        <v>0.05</v>
      </c>
      <c r="H1380" s="13"/>
      <c r="I1380" s="13"/>
    </row>
    <row r="1381" spans="1:9">
      <c r="A1381" s="13" t="s">
        <v>2122</v>
      </c>
      <c r="B1381" s="138" t="s">
        <v>571</v>
      </c>
      <c r="C1381" s="138" t="s">
        <v>371</v>
      </c>
      <c r="D1381" s="15">
        <v>25000000</v>
      </c>
      <c r="E1381" s="92">
        <v>0.92863521650000003</v>
      </c>
      <c r="F1381" s="18">
        <v>23215880.41</v>
      </c>
      <c r="G1381" s="18">
        <v>0.04</v>
      </c>
      <c r="H1381" s="13"/>
      <c r="I1381" s="13"/>
    </row>
    <row r="1382" spans="1:9">
      <c r="A1382" s="13" t="s">
        <v>2123</v>
      </c>
      <c r="B1382" s="138" t="s">
        <v>999</v>
      </c>
      <c r="C1382" s="138" t="s">
        <v>371</v>
      </c>
      <c r="D1382" s="15">
        <v>25000000</v>
      </c>
      <c r="E1382" s="92">
        <v>0.90212560159999999</v>
      </c>
      <c r="F1382" s="18">
        <v>22553140.039999999</v>
      </c>
      <c r="G1382" s="18">
        <v>0.04</v>
      </c>
      <c r="H1382" s="13"/>
      <c r="I1382" s="13"/>
    </row>
    <row r="1383" spans="1:9">
      <c r="A1383" s="13" t="s">
        <v>2124</v>
      </c>
      <c r="B1383" s="138" t="s">
        <v>875</v>
      </c>
      <c r="C1383" s="138" t="s">
        <v>371</v>
      </c>
      <c r="D1383" s="15">
        <v>25000000</v>
      </c>
      <c r="E1383" s="92">
        <v>0.91254563450000004</v>
      </c>
      <c r="F1383" s="18">
        <v>22813640.859999999</v>
      </c>
      <c r="G1383" s="18">
        <v>0.04</v>
      </c>
      <c r="H1383" s="13"/>
      <c r="I1383" s="13"/>
    </row>
    <row r="1384" spans="1:9">
      <c r="A1384" s="13" t="s">
        <v>2125</v>
      </c>
      <c r="B1384" s="138" t="s">
        <v>568</v>
      </c>
      <c r="C1384" s="138" t="s">
        <v>371</v>
      </c>
      <c r="D1384" s="15">
        <v>30000000</v>
      </c>
      <c r="E1384" s="92">
        <v>0.93333684269999995</v>
      </c>
      <c r="F1384" s="18">
        <v>28000105.280000001</v>
      </c>
      <c r="G1384" s="18">
        <v>0.05</v>
      </c>
      <c r="H1384" s="13"/>
      <c r="I1384" s="13"/>
    </row>
    <row r="1385" spans="1:9">
      <c r="A1385" s="13" t="s">
        <v>2127</v>
      </c>
      <c r="B1385" s="138" t="s">
        <v>2126</v>
      </c>
      <c r="C1385" s="138" t="s">
        <v>371</v>
      </c>
      <c r="D1385" s="15">
        <v>25000000</v>
      </c>
      <c r="E1385" s="92">
        <v>0.90879680679999997</v>
      </c>
      <c r="F1385" s="18">
        <v>22719920.170000002</v>
      </c>
      <c r="G1385" s="18">
        <v>0.04</v>
      </c>
      <c r="H1385" s="13"/>
      <c r="I1385" s="13"/>
    </row>
    <row r="1386" spans="1:9">
      <c r="A1386" s="13" t="s">
        <v>2116</v>
      </c>
      <c r="B1386" s="138" t="s">
        <v>1158</v>
      </c>
      <c r="C1386" s="138" t="s">
        <v>371</v>
      </c>
      <c r="D1386" s="15">
        <v>25000000</v>
      </c>
      <c r="E1386" s="92">
        <v>0.90581971240000003</v>
      </c>
      <c r="F1386" s="18">
        <v>22645492.809999999</v>
      </c>
      <c r="G1386" s="18">
        <v>0.04</v>
      </c>
      <c r="H1386" s="13"/>
      <c r="I1386" s="13"/>
    </row>
    <row r="1387" spans="1:9">
      <c r="A1387" s="13" t="s">
        <v>2117</v>
      </c>
      <c r="B1387" s="138" t="s">
        <v>573</v>
      </c>
      <c r="C1387" s="138" t="s">
        <v>371</v>
      </c>
      <c r="D1387" s="15">
        <v>25000000</v>
      </c>
      <c r="E1387" s="153">
        <v>0.92320942900000003</v>
      </c>
      <c r="F1387" s="18">
        <v>23080235.73</v>
      </c>
      <c r="G1387" s="18">
        <v>0.04</v>
      </c>
      <c r="H1387" s="13"/>
      <c r="I1387" s="13"/>
    </row>
    <row r="1388" spans="1:9">
      <c r="A1388" s="13" t="s">
        <v>2118</v>
      </c>
      <c r="B1388" s="138" t="s">
        <v>489</v>
      </c>
      <c r="C1388" s="138" t="s">
        <v>371</v>
      </c>
      <c r="D1388" s="15">
        <v>25000000</v>
      </c>
      <c r="E1388" s="92">
        <v>0.95399895779999999</v>
      </c>
      <c r="F1388" s="18">
        <v>23849973.949999999</v>
      </c>
      <c r="G1388" s="18">
        <v>0.04</v>
      </c>
      <c r="H1388" s="13"/>
      <c r="I1388" s="13"/>
    </row>
    <row r="1389" spans="1:9">
      <c r="A1389" s="13" t="s">
        <v>2106</v>
      </c>
      <c r="B1389" s="138" t="s">
        <v>544</v>
      </c>
      <c r="C1389" s="138" t="s">
        <v>371</v>
      </c>
      <c r="D1389" s="15">
        <v>42000000</v>
      </c>
      <c r="E1389" s="92">
        <v>0.95052092619999995</v>
      </c>
      <c r="F1389" s="150">
        <v>39921878.899999999</v>
      </c>
      <c r="G1389" s="18">
        <v>7.0000000000000007E-2</v>
      </c>
      <c r="H1389" s="13"/>
      <c r="I1389" s="13"/>
    </row>
    <row r="1390" spans="1:9">
      <c r="A1390" s="13" t="s">
        <v>2107</v>
      </c>
      <c r="B1390" s="138" t="s">
        <v>544</v>
      </c>
      <c r="C1390" s="138" t="s">
        <v>371</v>
      </c>
      <c r="D1390" s="15">
        <v>42000000</v>
      </c>
      <c r="E1390" s="92">
        <v>0.95052092619999995</v>
      </c>
      <c r="F1390" s="150">
        <v>39921878.899999999</v>
      </c>
      <c r="G1390" s="18">
        <v>7.0000000000000007E-2</v>
      </c>
      <c r="H1390" s="13"/>
      <c r="I1390" s="13"/>
    </row>
    <row r="1391" spans="1:9">
      <c r="A1391" s="13" t="s">
        <v>2108</v>
      </c>
      <c r="B1391" s="138" t="s">
        <v>581</v>
      </c>
      <c r="C1391" s="138" t="s">
        <v>371</v>
      </c>
      <c r="D1391" s="15">
        <v>20000000</v>
      </c>
      <c r="E1391" s="92">
        <v>0.95524750079999998</v>
      </c>
      <c r="F1391" s="18">
        <v>19104950.02</v>
      </c>
      <c r="G1391" s="18">
        <v>0.03</v>
      </c>
      <c r="H1391" s="13"/>
      <c r="I1391" s="13"/>
    </row>
    <row r="1392" spans="1:9">
      <c r="A1392" s="13" t="s">
        <v>2115</v>
      </c>
      <c r="B1392" s="138" t="s">
        <v>591</v>
      </c>
      <c r="C1392" s="138" t="s">
        <v>371</v>
      </c>
      <c r="D1392" s="15">
        <v>100000000</v>
      </c>
      <c r="E1392" s="92">
        <v>0.94530210240000001</v>
      </c>
      <c r="F1392" s="18">
        <v>94530210.239999995</v>
      </c>
      <c r="G1392" s="18">
        <v>0.15</v>
      </c>
      <c r="H1392" s="13"/>
      <c r="I1392" s="13"/>
    </row>
    <row r="1393" spans="1:9">
      <c r="A1393" s="13" t="s">
        <v>2119</v>
      </c>
      <c r="B1393" s="138" t="s">
        <v>581</v>
      </c>
      <c r="C1393" s="138" t="s">
        <v>371</v>
      </c>
      <c r="D1393" s="18">
        <v>55696615.780000001</v>
      </c>
      <c r="E1393" s="92">
        <v>0.96663149420000005</v>
      </c>
      <c r="F1393" s="18">
        <v>53838102.93</v>
      </c>
      <c r="G1393" s="18">
        <v>0.09</v>
      </c>
      <c r="H1393" s="13"/>
      <c r="I1393" s="13"/>
    </row>
    <row r="1394" spans="1:9">
      <c r="A1394" s="13" t="s">
        <v>2120</v>
      </c>
      <c r="B1394" s="138" t="s">
        <v>581</v>
      </c>
      <c r="C1394" s="138" t="s">
        <v>371</v>
      </c>
      <c r="D1394" s="18">
        <v>55696615.780000001</v>
      </c>
      <c r="E1394" s="92">
        <v>0.96663149420000005</v>
      </c>
      <c r="F1394" s="18">
        <v>53838102.93</v>
      </c>
      <c r="G1394" s="18">
        <v>0.09</v>
      </c>
      <c r="H1394" s="13"/>
      <c r="I1394" s="13"/>
    </row>
    <row r="1395" spans="1:9">
      <c r="A1395" s="13" t="s">
        <v>2128</v>
      </c>
      <c r="B1395" s="138" t="s">
        <v>645</v>
      </c>
      <c r="C1395" s="138" t="s">
        <v>639</v>
      </c>
      <c r="D1395" s="15">
        <v>2500000</v>
      </c>
      <c r="E1395" s="153">
        <v>0.98942807600000005</v>
      </c>
      <c r="F1395" s="18">
        <v>2473570.19</v>
      </c>
      <c r="G1395" s="15">
        <v>0</v>
      </c>
      <c r="H1395" s="13"/>
      <c r="I1395" s="13"/>
    </row>
    <row r="1396" spans="1:9">
      <c r="A1396" s="13" t="s">
        <v>2129</v>
      </c>
      <c r="B1396" s="138" t="s">
        <v>499</v>
      </c>
      <c r="C1396" s="138" t="s">
        <v>639</v>
      </c>
      <c r="D1396" s="15">
        <v>2500000</v>
      </c>
      <c r="E1396" s="92">
        <v>0.95901222770000005</v>
      </c>
      <c r="F1396" s="18">
        <v>2397530.5699999998</v>
      </c>
      <c r="G1396" s="15">
        <v>0</v>
      </c>
      <c r="H1396" s="13"/>
      <c r="I1396" s="13"/>
    </row>
    <row r="1397" spans="1:9">
      <c r="A1397" s="13" t="s">
        <v>2130</v>
      </c>
      <c r="B1397" s="138" t="s">
        <v>531</v>
      </c>
      <c r="C1397" s="138" t="s">
        <v>639</v>
      </c>
      <c r="D1397" s="15">
        <v>2500000</v>
      </c>
      <c r="E1397" s="153">
        <v>0.96971317199999996</v>
      </c>
      <c r="F1397" s="18">
        <v>2424282.9300000002</v>
      </c>
      <c r="G1397" s="15">
        <v>0</v>
      </c>
      <c r="H1397" s="13"/>
      <c r="I1397" s="13"/>
    </row>
    <row r="1398" spans="1:9">
      <c r="A1398" s="13" t="s">
        <v>2131</v>
      </c>
      <c r="B1398" s="138" t="s">
        <v>600</v>
      </c>
      <c r="C1398" s="138" t="s">
        <v>639</v>
      </c>
      <c r="D1398" s="15">
        <v>2000000</v>
      </c>
      <c r="E1398" s="92">
        <v>0.95674985030000004</v>
      </c>
      <c r="F1398" s="150">
        <v>1913499.7</v>
      </c>
      <c r="G1398" s="15">
        <v>0</v>
      </c>
      <c r="H1398" s="13"/>
      <c r="I1398" s="13"/>
    </row>
    <row r="1399" spans="1:9">
      <c r="A1399" s="13" t="s">
        <v>2132</v>
      </c>
      <c r="B1399" s="138" t="s">
        <v>1081</v>
      </c>
      <c r="C1399" s="138" t="s">
        <v>639</v>
      </c>
      <c r="D1399" s="15">
        <v>2500000</v>
      </c>
      <c r="E1399" s="92">
        <v>0.97048671590000002</v>
      </c>
      <c r="F1399" s="18">
        <v>2426216.79</v>
      </c>
      <c r="G1399" s="15">
        <v>0</v>
      </c>
      <c r="H1399" s="13"/>
      <c r="I1399" s="13"/>
    </row>
    <row r="1400" spans="1:9">
      <c r="A1400" s="13" t="s">
        <v>2133</v>
      </c>
      <c r="B1400" s="138" t="s">
        <v>544</v>
      </c>
      <c r="C1400" s="138" t="s">
        <v>639</v>
      </c>
      <c r="D1400" s="15">
        <v>42000000</v>
      </c>
      <c r="E1400" s="92">
        <v>0.95052088410000002</v>
      </c>
      <c r="F1400" s="18">
        <v>39921877.130000003</v>
      </c>
      <c r="G1400" s="18">
        <v>7.0000000000000007E-2</v>
      </c>
      <c r="H1400" s="13"/>
      <c r="I1400" s="13"/>
    </row>
    <row r="1401" spans="1:9">
      <c r="A1401" s="13" t="s">
        <v>2134</v>
      </c>
      <c r="B1401" s="138" t="s">
        <v>549</v>
      </c>
      <c r="C1401" s="138" t="s">
        <v>639</v>
      </c>
      <c r="D1401" s="15">
        <v>43000000</v>
      </c>
      <c r="E1401" s="92">
        <v>0.94958138680000004</v>
      </c>
      <c r="F1401" s="18">
        <v>40831999.630000003</v>
      </c>
      <c r="G1401" s="18">
        <v>7.0000000000000007E-2</v>
      </c>
      <c r="H1401" s="13"/>
      <c r="I1401" s="13"/>
    </row>
    <row r="1402" spans="1:9">
      <c r="A1402" s="13" t="s">
        <v>2135</v>
      </c>
      <c r="B1402" s="138" t="s">
        <v>950</v>
      </c>
      <c r="C1402" s="138" t="s">
        <v>639</v>
      </c>
      <c r="D1402" s="15">
        <v>68000000</v>
      </c>
      <c r="E1402" s="92">
        <v>0.93285977890000005</v>
      </c>
      <c r="F1402" s="18">
        <v>63434464.969999999</v>
      </c>
      <c r="G1402" s="150">
        <v>0.1</v>
      </c>
      <c r="H1402" s="13"/>
      <c r="I1402" s="13"/>
    </row>
    <row r="1403" spans="1:9">
      <c r="A1403" s="13" t="s">
        <v>2136</v>
      </c>
      <c r="B1403" s="138" t="s">
        <v>499</v>
      </c>
      <c r="C1403" s="138" t="s">
        <v>639</v>
      </c>
      <c r="D1403" s="18">
        <v>4764805.54</v>
      </c>
      <c r="E1403" s="92">
        <v>0.96295918130000002</v>
      </c>
      <c r="F1403" s="18">
        <v>4588313.24</v>
      </c>
      <c r="G1403" s="18">
        <v>0.01</v>
      </c>
      <c r="H1403" s="13"/>
      <c r="I1403" s="13"/>
    </row>
    <row r="1404" spans="1:9">
      <c r="A1404" s="13" t="s">
        <v>2137</v>
      </c>
      <c r="B1404" s="138" t="s">
        <v>450</v>
      </c>
      <c r="C1404" s="138" t="s">
        <v>639</v>
      </c>
      <c r="D1404" s="18">
        <v>14791183.08</v>
      </c>
      <c r="E1404" s="92">
        <v>0.98398676279999997</v>
      </c>
      <c r="F1404" s="18">
        <v>14554328.359999999</v>
      </c>
      <c r="G1404" s="18">
        <v>0.02</v>
      </c>
      <c r="H1404" s="13"/>
      <c r="I1404" s="13"/>
    </row>
    <row r="1405" spans="1:9">
      <c r="A1405" s="13" t="s">
        <v>2138</v>
      </c>
      <c r="B1405" s="138" t="s">
        <v>544</v>
      </c>
      <c r="C1405" s="138" t="s">
        <v>639</v>
      </c>
      <c r="D1405" s="15">
        <v>250000000</v>
      </c>
      <c r="E1405" s="92">
        <v>0.9542484134</v>
      </c>
      <c r="F1405" s="18">
        <v>238562103.34999999</v>
      </c>
      <c r="G1405" s="18">
        <v>0.39</v>
      </c>
      <c r="H1405" s="13"/>
      <c r="I1405" s="13"/>
    </row>
    <row r="1406" spans="1:9">
      <c r="A1406" s="13" t="s">
        <v>2139</v>
      </c>
      <c r="B1406" s="138" t="s">
        <v>531</v>
      </c>
      <c r="C1406" s="138" t="s">
        <v>639</v>
      </c>
      <c r="D1406" s="15">
        <v>250000000</v>
      </c>
      <c r="E1406" s="92">
        <v>0.96484282980000002</v>
      </c>
      <c r="F1406" s="18">
        <v>241210707.44999999</v>
      </c>
      <c r="G1406" s="18">
        <v>0.39</v>
      </c>
      <c r="H1406" s="13"/>
      <c r="I1406" s="13"/>
    </row>
    <row r="1407" spans="1:9">
      <c r="A1407" s="13" t="s">
        <v>2140</v>
      </c>
      <c r="B1407" s="138" t="s">
        <v>884</v>
      </c>
      <c r="C1407" s="138" t="s">
        <v>639</v>
      </c>
      <c r="D1407" s="15">
        <v>250000000</v>
      </c>
      <c r="E1407" s="92">
        <v>0.91812361170000001</v>
      </c>
      <c r="F1407" s="18">
        <v>229530902.93000001</v>
      </c>
      <c r="G1407" s="18">
        <v>0.38</v>
      </c>
      <c r="H1407" s="13"/>
      <c r="I1407" s="13"/>
    </row>
    <row r="1408" spans="1:9">
      <c r="A1408" s="13" t="s">
        <v>2141</v>
      </c>
      <c r="B1408" s="138" t="s">
        <v>598</v>
      </c>
      <c r="C1408" s="138" t="s">
        <v>639</v>
      </c>
      <c r="D1408" s="15">
        <v>250000000</v>
      </c>
      <c r="E1408" s="92">
        <v>0.94303077430000004</v>
      </c>
      <c r="F1408" s="18">
        <v>235757693.58000001</v>
      </c>
      <c r="G1408" s="18">
        <v>0.39</v>
      </c>
      <c r="H1408" s="13"/>
      <c r="I1408" s="13"/>
    </row>
    <row r="1409" spans="1:9">
      <c r="A1409" s="13" t="s">
        <v>2142</v>
      </c>
      <c r="B1409" s="138" t="s">
        <v>544</v>
      </c>
      <c r="C1409" s="138" t="s">
        <v>639</v>
      </c>
      <c r="D1409" s="15">
        <v>47215422</v>
      </c>
      <c r="E1409" s="92">
        <v>0.95674971750000004</v>
      </c>
      <c r="F1409" s="18">
        <v>45173341.659999996</v>
      </c>
      <c r="G1409" s="18">
        <v>7.0000000000000007E-2</v>
      </c>
      <c r="H1409" s="13"/>
      <c r="I1409" s="13"/>
    </row>
    <row r="1410" spans="1:9">
      <c r="A1410" s="13" t="s">
        <v>2143</v>
      </c>
      <c r="B1410" s="138" t="s">
        <v>600</v>
      </c>
      <c r="C1410" s="138" t="s">
        <v>639</v>
      </c>
      <c r="D1410" s="15">
        <v>41359418</v>
      </c>
      <c r="E1410" s="92">
        <v>0.95262971129999996</v>
      </c>
      <c r="F1410" s="18">
        <v>39400210.43</v>
      </c>
      <c r="G1410" s="18">
        <v>0.06</v>
      </c>
      <c r="H1410" s="13"/>
      <c r="I1410" s="13"/>
    </row>
    <row r="1411" spans="1:9">
      <c r="A1411" s="13" t="s">
        <v>2144</v>
      </c>
      <c r="B1411" s="138" t="s">
        <v>267</v>
      </c>
      <c r="C1411" s="138" t="s">
        <v>639</v>
      </c>
      <c r="D1411" s="15">
        <v>25000000</v>
      </c>
      <c r="E1411" s="92">
        <v>0.88693418469999996</v>
      </c>
      <c r="F1411" s="18">
        <v>22173354.620000001</v>
      </c>
      <c r="G1411" s="18">
        <v>0.04</v>
      </c>
      <c r="H1411" s="13"/>
      <c r="I1411" s="13"/>
    </row>
    <row r="1412" spans="1:9">
      <c r="A1412" s="13" t="s">
        <v>2145</v>
      </c>
      <c r="B1412" s="138" t="s">
        <v>2146</v>
      </c>
      <c r="C1412" s="138" t="s">
        <v>639</v>
      </c>
      <c r="D1412" s="15">
        <v>25000000</v>
      </c>
      <c r="E1412" s="92">
        <v>0.88057919569999998</v>
      </c>
      <c r="F1412" s="18">
        <v>22014479.890000001</v>
      </c>
      <c r="G1412" s="18">
        <v>0.04</v>
      </c>
      <c r="H1412" s="13"/>
      <c r="I1412" s="13"/>
    </row>
    <row r="1413" spans="1:9">
      <c r="A1413" s="13" t="s">
        <v>2147</v>
      </c>
      <c r="B1413" s="138" t="s">
        <v>607</v>
      </c>
      <c r="C1413" s="138" t="s">
        <v>639</v>
      </c>
      <c r="D1413" s="15">
        <v>11398000</v>
      </c>
      <c r="E1413" s="92">
        <v>0.9789722515</v>
      </c>
      <c r="F1413" s="18">
        <v>11158325.720000001</v>
      </c>
      <c r="G1413" s="18">
        <v>0.02</v>
      </c>
      <c r="H1413" s="13"/>
      <c r="I1413" s="13"/>
    </row>
    <row r="1414" spans="1:9">
      <c r="A1414" s="13" t="s">
        <v>2148</v>
      </c>
      <c r="B1414" s="138" t="s">
        <v>607</v>
      </c>
      <c r="C1414" s="138" t="s">
        <v>639</v>
      </c>
      <c r="D1414" s="15">
        <v>7700000</v>
      </c>
      <c r="E1414" s="92">
        <v>0.97897225080000005</v>
      </c>
      <c r="F1414" s="18">
        <v>7538086.3300000001</v>
      </c>
      <c r="G1414" s="18">
        <v>0.01</v>
      </c>
      <c r="H1414" s="13"/>
      <c r="I1414" s="13"/>
    </row>
    <row r="1415" spans="1:9">
      <c r="A1415" s="13" t="s">
        <v>2149</v>
      </c>
      <c r="B1415" s="138" t="s">
        <v>607</v>
      </c>
      <c r="C1415" s="138" t="s">
        <v>639</v>
      </c>
      <c r="D1415" s="18">
        <v>8825438.2699999996</v>
      </c>
      <c r="E1415" s="92">
        <v>0.97897225080000005</v>
      </c>
      <c r="F1415" s="18">
        <v>8639859.1699999999</v>
      </c>
      <c r="G1415" s="18">
        <v>0.01</v>
      </c>
      <c r="H1415" s="13"/>
      <c r="I1415" s="13"/>
    </row>
    <row r="1416" spans="1:9">
      <c r="A1416" s="13" t="s">
        <v>2150</v>
      </c>
      <c r="B1416" s="138" t="s">
        <v>551</v>
      </c>
      <c r="C1416" s="138" t="s">
        <v>639</v>
      </c>
      <c r="D1416" s="18">
        <v>10906113.24</v>
      </c>
      <c r="E1416" s="92">
        <v>0.98192192869999995</v>
      </c>
      <c r="F1416" s="18">
        <v>10708951.75</v>
      </c>
      <c r="G1416" s="18">
        <v>0.02</v>
      </c>
      <c r="H1416" s="13"/>
      <c r="I1416" s="13"/>
    </row>
    <row r="1417" spans="1:9">
      <c r="A1417" s="13" t="s">
        <v>2151</v>
      </c>
      <c r="B1417" s="138" t="s">
        <v>546</v>
      </c>
      <c r="C1417" s="138" t="s">
        <v>639</v>
      </c>
      <c r="D1417" s="18">
        <v>7298115.0499999998</v>
      </c>
      <c r="E1417" s="92">
        <v>0.98488943240000004</v>
      </c>
      <c r="F1417" s="18">
        <v>7187836.3899999997</v>
      </c>
      <c r="G1417" s="18">
        <v>0.01</v>
      </c>
      <c r="H1417" s="13"/>
      <c r="I1417" s="13"/>
    </row>
    <row r="1418" spans="1:9">
      <c r="A1418" s="13" t="s">
        <v>2152</v>
      </c>
      <c r="B1418" s="138" t="s">
        <v>571</v>
      </c>
      <c r="C1418" s="138" t="s">
        <v>639</v>
      </c>
      <c r="D1418" s="150">
        <v>7158904.5</v>
      </c>
      <c r="E1418" s="92">
        <v>0.93878613550000001</v>
      </c>
      <c r="F1418" s="18">
        <v>6720680.29</v>
      </c>
      <c r="G1418" s="18">
        <v>0.01</v>
      </c>
      <c r="H1418" s="13"/>
      <c r="I1418" s="13"/>
    </row>
    <row r="1419" spans="1:9">
      <c r="A1419" s="13" t="s">
        <v>2153</v>
      </c>
      <c r="B1419" s="138" t="s">
        <v>499</v>
      </c>
      <c r="C1419" s="138" t="s">
        <v>639</v>
      </c>
      <c r="D1419" s="18">
        <v>6838855.7400000002</v>
      </c>
      <c r="E1419" s="92">
        <v>0.96163991989999997</v>
      </c>
      <c r="F1419" s="18">
        <v>6576516.6900000004</v>
      </c>
      <c r="G1419" s="18">
        <v>0.01</v>
      </c>
      <c r="H1419" s="13"/>
      <c r="I1419" s="13"/>
    </row>
    <row r="1420" spans="1:9">
      <c r="A1420" s="13" t="s">
        <v>2154</v>
      </c>
      <c r="B1420" s="138" t="s">
        <v>549</v>
      </c>
      <c r="C1420" s="138" t="s">
        <v>639</v>
      </c>
      <c r="D1420" s="150">
        <v>5138761.4000000004</v>
      </c>
      <c r="E1420" s="92">
        <v>0.96234989770000001</v>
      </c>
      <c r="F1420" s="18">
        <v>4945286.51</v>
      </c>
      <c r="G1420" s="18">
        <v>0.01</v>
      </c>
      <c r="H1420" s="13"/>
      <c r="I1420" s="13"/>
    </row>
    <row r="1421" spans="1:9">
      <c r="A1421" s="13" t="s">
        <v>2155</v>
      </c>
      <c r="B1421" s="138" t="s">
        <v>541</v>
      </c>
      <c r="C1421" s="138" t="s">
        <v>639</v>
      </c>
      <c r="D1421" s="18">
        <v>8584260.9900000002</v>
      </c>
      <c r="E1421" s="92">
        <v>0.96878656880000003</v>
      </c>
      <c r="F1421" s="18">
        <v>8316316.75</v>
      </c>
      <c r="G1421" s="18">
        <v>0.01</v>
      </c>
      <c r="H1421" s="13"/>
      <c r="I1421" s="13"/>
    </row>
    <row r="1422" spans="1:9">
      <c r="A1422" s="13" t="s">
        <v>2156</v>
      </c>
      <c r="B1422" s="138" t="s">
        <v>541</v>
      </c>
      <c r="C1422" s="138" t="s">
        <v>639</v>
      </c>
      <c r="D1422" s="18">
        <v>8584260.9900000002</v>
      </c>
      <c r="E1422" s="92">
        <v>0.96878656880000003</v>
      </c>
      <c r="F1422" s="18">
        <v>8316316.75</v>
      </c>
      <c r="G1422" s="18">
        <v>0.01</v>
      </c>
      <c r="H1422" s="13"/>
      <c r="I1422" s="13"/>
    </row>
    <row r="1423" spans="1:9">
      <c r="A1423" s="13" t="s">
        <v>2157</v>
      </c>
      <c r="B1423" s="138" t="s">
        <v>571</v>
      </c>
      <c r="C1423" s="138" t="s">
        <v>639</v>
      </c>
      <c r="D1423" s="18">
        <v>15011972.220000001</v>
      </c>
      <c r="E1423" s="92">
        <v>0.93878613550000001</v>
      </c>
      <c r="F1423" s="18">
        <v>14093031.390000001</v>
      </c>
      <c r="G1423" s="18">
        <v>0.02</v>
      </c>
      <c r="H1423" s="13"/>
      <c r="I1423" s="13"/>
    </row>
    <row r="1424" spans="1:9">
      <c r="A1424" s="13" t="s">
        <v>2158</v>
      </c>
      <c r="B1424" s="138" t="s">
        <v>549</v>
      </c>
      <c r="C1424" s="138" t="s">
        <v>639</v>
      </c>
      <c r="D1424" s="18">
        <v>19156984.969999999</v>
      </c>
      <c r="E1424" s="153">
        <v>0.96234989900000001</v>
      </c>
      <c r="F1424" s="18">
        <v>18435722.550000001</v>
      </c>
      <c r="G1424" s="18">
        <v>0.03</v>
      </c>
      <c r="H1424" s="13"/>
      <c r="I1424" s="13"/>
    </row>
    <row r="1425" spans="1:9">
      <c r="A1425" s="13" t="s">
        <v>2159</v>
      </c>
      <c r="B1425" s="138" t="s">
        <v>549</v>
      </c>
      <c r="C1425" s="138" t="s">
        <v>639</v>
      </c>
      <c r="D1425" s="150">
        <v>51998969.399999999</v>
      </c>
      <c r="E1425" s="153">
        <v>0.96234989900000001</v>
      </c>
      <c r="F1425" s="18">
        <v>50041202.950000003</v>
      </c>
      <c r="G1425" s="18">
        <v>0.08</v>
      </c>
      <c r="H1425" s="13"/>
      <c r="I1425" s="13"/>
    </row>
    <row r="1426" spans="1:9">
      <c r="A1426" s="13" t="s">
        <v>2160</v>
      </c>
      <c r="B1426" s="138" t="s">
        <v>571</v>
      </c>
      <c r="C1426" s="138" t="s">
        <v>639</v>
      </c>
      <c r="D1426" s="150">
        <v>8829623.3000000007</v>
      </c>
      <c r="E1426" s="92">
        <v>0.93878613550000001</v>
      </c>
      <c r="F1426" s="18">
        <v>8289127.9400000004</v>
      </c>
      <c r="G1426" s="18">
        <v>0.01</v>
      </c>
      <c r="H1426" s="13"/>
      <c r="I1426" s="13"/>
    </row>
    <row r="1427" spans="1:9">
      <c r="A1427" s="13" t="s">
        <v>2161</v>
      </c>
      <c r="B1427" s="138" t="s">
        <v>501</v>
      </c>
      <c r="C1427" s="138" t="s">
        <v>639</v>
      </c>
      <c r="D1427" s="18">
        <v>10746145.48</v>
      </c>
      <c r="E1427" s="92">
        <v>0.92023012540000004</v>
      </c>
      <c r="F1427" s="150">
        <v>9888926.8000000007</v>
      </c>
      <c r="G1427" s="18">
        <v>0.02</v>
      </c>
      <c r="H1427" s="13"/>
      <c r="I1427" s="13"/>
    </row>
    <row r="1428" spans="1:9">
      <c r="A1428" s="13" t="s">
        <v>2162</v>
      </c>
      <c r="B1428" s="138" t="s">
        <v>499</v>
      </c>
      <c r="C1428" s="138" t="s">
        <v>639</v>
      </c>
      <c r="D1428" s="18">
        <v>9836282.4499999993</v>
      </c>
      <c r="E1428" s="92">
        <v>0.96163992259999997</v>
      </c>
      <c r="F1428" s="18">
        <v>9458961.8900000006</v>
      </c>
      <c r="G1428" s="18">
        <v>0.02</v>
      </c>
      <c r="H1428" s="13"/>
      <c r="I1428" s="13"/>
    </row>
    <row r="1429" spans="1:9">
      <c r="A1429" s="13" t="s">
        <v>2163</v>
      </c>
      <c r="B1429" s="138" t="s">
        <v>494</v>
      </c>
      <c r="C1429" s="138" t="s">
        <v>639</v>
      </c>
      <c r="D1429" s="18">
        <v>10524359.310000001</v>
      </c>
      <c r="E1429" s="92">
        <v>0.96806707069999998</v>
      </c>
      <c r="F1429" s="18">
        <v>10188285.689999999</v>
      </c>
      <c r="G1429" s="18">
        <v>0.02</v>
      </c>
      <c r="H1429" s="13"/>
      <c r="I1429" s="13"/>
    </row>
    <row r="1430" spans="1:9">
      <c r="A1430" s="13" t="s">
        <v>2164</v>
      </c>
      <c r="B1430" s="138" t="s">
        <v>501</v>
      </c>
      <c r="C1430" s="138" t="s">
        <v>639</v>
      </c>
      <c r="D1430" s="150">
        <v>8521998.5999999996</v>
      </c>
      <c r="E1430" s="92">
        <v>0.92023012540000004</v>
      </c>
      <c r="F1430" s="18">
        <v>7842199.8399999999</v>
      </c>
      <c r="G1430" s="18">
        <v>0.01</v>
      </c>
      <c r="H1430" s="13"/>
      <c r="I1430" s="13"/>
    </row>
    <row r="1431" spans="1:9">
      <c r="A1431" s="13" t="s">
        <v>2165</v>
      </c>
      <c r="B1431" s="138" t="s">
        <v>499</v>
      </c>
      <c r="C1431" s="138" t="s">
        <v>639</v>
      </c>
      <c r="D1431" s="18">
        <v>5532603.9199999999</v>
      </c>
      <c r="E1431" s="92">
        <v>0.96163991859999998</v>
      </c>
      <c r="F1431" s="18">
        <v>5320372.78</v>
      </c>
      <c r="G1431" s="18">
        <v>0.01</v>
      </c>
      <c r="H1431" s="13"/>
      <c r="I1431" s="13"/>
    </row>
    <row r="1432" spans="1:9">
      <c r="A1432" s="13" t="s">
        <v>2166</v>
      </c>
      <c r="B1432" s="138" t="s">
        <v>499</v>
      </c>
      <c r="C1432" s="138" t="s">
        <v>639</v>
      </c>
      <c r="D1432" s="18">
        <v>6838855.7400000002</v>
      </c>
      <c r="E1432" s="92">
        <v>0.96163991989999997</v>
      </c>
      <c r="F1432" s="18">
        <v>6576516.6900000004</v>
      </c>
      <c r="G1432" s="18">
        <v>0.01</v>
      </c>
      <c r="H1432" s="13"/>
      <c r="I1432" s="13"/>
    </row>
    <row r="1433" spans="1:9">
      <c r="A1433" s="13" t="s">
        <v>2167</v>
      </c>
      <c r="B1433" s="138" t="s">
        <v>541</v>
      </c>
      <c r="C1433" s="138" t="s">
        <v>639</v>
      </c>
      <c r="D1433" s="18">
        <v>8584260.9900000002</v>
      </c>
      <c r="E1433" s="92">
        <v>0.96878656880000003</v>
      </c>
      <c r="F1433" s="18">
        <v>8316316.75</v>
      </c>
      <c r="G1433" s="18">
        <v>0.01</v>
      </c>
      <c r="H1433" s="13"/>
      <c r="I1433" s="13"/>
    </row>
    <row r="1434" spans="1:9">
      <c r="A1434" s="13" t="s">
        <v>2168</v>
      </c>
      <c r="B1434" s="138" t="s">
        <v>603</v>
      </c>
      <c r="C1434" s="138" t="s">
        <v>639</v>
      </c>
      <c r="D1434" s="15">
        <v>12000000</v>
      </c>
      <c r="E1434" s="92">
        <v>0.97677164059999999</v>
      </c>
      <c r="F1434" s="18">
        <v>11721259.689999999</v>
      </c>
      <c r="G1434" s="18">
        <v>0.02</v>
      </c>
      <c r="H1434" s="13"/>
      <c r="I1434" s="13"/>
    </row>
    <row r="1435" spans="1:9">
      <c r="A1435" s="13" t="s">
        <v>2169</v>
      </c>
      <c r="B1435" s="138" t="s">
        <v>560</v>
      </c>
      <c r="C1435" s="138" t="s">
        <v>639</v>
      </c>
      <c r="D1435" s="15">
        <v>12000000</v>
      </c>
      <c r="E1435" s="92">
        <v>0.97385277780000001</v>
      </c>
      <c r="F1435" s="18">
        <v>11686233.33</v>
      </c>
      <c r="G1435" s="18">
        <v>0.02</v>
      </c>
      <c r="H1435" s="13"/>
      <c r="I1435" s="13"/>
    </row>
    <row r="1436" spans="1:9">
      <c r="A1436" s="13" t="s">
        <v>2170</v>
      </c>
      <c r="B1436" s="138" t="s">
        <v>577</v>
      </c>
      <c r="C1436" s="138" t="s">
        <v>639</v>
      </c>
      <c r="D1436" s="15">
        <v>12000000</v>
      </c>
      <c r="E1436" s="92">
        <v>0.97312573879999997</v>
      </c>
      <c r="F1436" s="18">
        <v>11677508.869999999</v>
      </c>
      <c r="G1436" s="18">
        <v>0.02</v>
      </c>
      <c r="H1436" s="13"/>
      <c r="I1436" s="13"/>
    </row>
    <row r="1437" spans="1:9">
      <c r="A1437" s="13" t="s">
        <v>2171</v>
      </c>
      <c r="B1437" s="138" t="s">
        <v>527</v>
      </c>
      <c r="C1437" s="138" t="s">
        <v>639</v>
      </c>
      <c r="D1437" s="18">
        <v>12518741.310000001</v>
      </c>
      <c r="E1437" s="92">
        <v>0.97823773079999998</v>
      </c>
      <c r="F1437" s="18">
        <v>12246305.09</v>
      </c>
      <c r="G1437" s="18">
        <v>0.02</v>
      </c>
      <c r="H1437" s="13"/>
      <c r="I1437" s="13"/>
    </row>
    <row r="1438" spans="1:9">
      <c r="A1438" s="13" t="s">
        <v>2172</v>
      </c>
      <c r="B1438" s="138" t="s">
        <v>603</v>
      </c>
      <c r="C1438" s="138" t="s">
        <v>639</v>
      </c>
      <c r="D1438" s="18">
        <v>10299910.310000001</v>
      </c>
      <c r="E1438" s="92">
        <v>0.97677164059999999</v>
      </c>
      <c r="F1438" s="18">
        <v>10060660.289999999</v>
      </c>
      <c r="G1438" s="18">
        <v>0.02</v>
      </c>
      <c r="H1438" s="13"/>
      <c r="I1438" s="13"/>
    </row>
    <row r="1439" spans="1:9">
      <c r="A1439" s="13" t="s">
        <v>2173</v>
      </c>
      <c r="B1439" s="138" t="s">
        <v>571</v>
      </c>
      <c r="C1439" s="138" t="s">
        <v>639</v>
      </c>
      <c r="D1439" s="18">
        <v>16797939.449999999</v>
      </c>
      <c r="E1439" s="92">
        <v>0.93878613550000001</v>
      </c>
      <c r="F1439" s="18">
        <v>15769672.66</v>
      </c>
      <c r="G1439" s="18">
        <v>0.03</v>
      </c>
      <c r="H1439" s="13"/>
      <c r="I1439" s="13"/>
    </row>
    <row r="1440" spans="1:9">
      <c r="A1440" s="13" t="s">
        <v>2174</v>
      </c>
      <c r="B1440" s="138" t="s">
        <v>450</v>
      </c>
      <c r="C1440" s="138" t="s">
        <v>639</v>
      </c>
      <c r="D1440" s="18">
        <v>19363690.149999999</v>
      </c>
      <c r="E1440" s="92">
        <v>0.98340352269999998</v>
      </c>
      <c r="F1440" s="18">
        <v>19042321.109999999</v>
      </c>
      <c r="G1440" s="18">
        <v>0.03</v>
      </c>
      <c r="H1440" s="13"/>
      <c r="I1440" s="13"/>
    </row>
    <row r="1441" spans="1:9">
      <c r="A1441" s="13" t="s">
        <v>2175</v>
      </c>
      <c r="B1441" s="138" t="s">
        <v>489</v>
      </c>
      <c r="C1441" s="138" t="s">
        <v>639</v>
      </c>
      <c r="D1441" s="15">
        <v>19247714</v>
      </c>
      <c r="E1441" s="92">
        <v>0.96734883309999997</v>
      </c>
      <c r="F1441" s="18">
        <v>18619253.68</v>
      </c>
      <c r="G1441" s="18">
        <v>0.03</v>
      </c>
      <c r="H1441" s="13"/>
      <c r="I1441" s="13"/>
    </row>
    <row r="1442" spans="1:9">
      <c r="A1442" s="13" t="s">
        <v>2176</v>
      </c>
      <c r="B1442" s="138" t="s">
        <v>483</v>
      </c>
      <c r="C1442" s="138" t="s">
        <v>639</v>
      </c>
      <c r="D1442" s="15">
        <v>9300000</v>
      </c>
      <c r="E1442" s="92">
        <v>0.97970805029999997</v>
      </c>
      <c r="F1442" s="18">
        <v>9111284.8699999992</v>
      </c>
      <c r="G1442" s="18">
        <v>0.01</v>
      </c>
      <c r="H1442" s="13"/>
      <c r="I1442" s="13"/>
    </row>
    <row r="1443" spans="1:9">
      <c r="A1443" s="13" t="s">
        <v>2177</v>
      </c>
      <c r="B1443" s="138" t="s">
        <v>577</v>
      </c>
      <c r="C1443" s="138" t="s">
        <v>639</v>
      </c>
      <c r="D1443" s="18">
        <v>11902483.460000001</v>
      </c>
      <c r="E1443" s="92">
        <v>0.9731257378</v>
      </c>
      <c r="F1443" s="15">
        <v>11582613</v>
      </c>
      <c r="G1443" s="18">
        <v>0.02</v>
      </c>
      <c r="H1443" s="13"/>
      <c r="I1443" s="13"/>
    </row>
    <row r="1444" spans="1:9">
      <c r="A1444" s="13" t="s">
        <v>2178</v>
      </c>
      <c r="B1444" s="138" t="s">
        <v>454</v>
      </c>
      <c r="C1444" s="138" t="s">
        <v>639</v>
      </c>
      <c r="D1444" s="15">
        <v>10737000</v>
      </c>
      <c r="E1444" s="92">
        <v>0.98266216750000002</v>
      </c>
      <c r="F1444" s="18">
        <v>10550843.689999999</v>
      </c>
      <c r="G1444" s="18">
        <v>0.02</v>
      </c>
      <c r="H1444" s="13"/>
      <c r="I1444" s="13"/>
    </row>
    <row r="1445" spans="1:9">
      <c r="A1445" s="13" t="s">
        <v>2179</v>
      </c>
      <c r="B1445" s="138" t="s">
        <v>454</v>
      </c>
      <c r="C1445" s="138" t="s">
        <v>639</v>
      </c>
      <c r="D1445" s="15">
        <v>20600000</v>
      </c>
      <c r="E1445" s="92">
        <v>0.98266216809999996</v>
      </c>
      <c r="F1445" s="18">
        <v>20242840.66</v>
      </c>
      <c r="G1445" s="18">
        <v>0.03</v>
      </c>
      <c r="H1445" s="13"/>
      <c r="I1445" s="13"/>
    </row>
    <row r="1446" spans="1:9">
      <c r="A1446" s="13" t="s">
        <v>2180</v>
      </c>
      <c r="B1446" s="138" t="s">
        <v>600</v>
      </c>
      <c r="C1446" s="138" t="s">
        <v>639</v>
      </c>
      <c r="D1446" s="15">
        <v>20600000</v>
      </c>
      <c r="E1446" s="92">
        <v>0.95951646509999999</v>
      </c>
      <c r="F1446" s="18">
        <v>19766039.18</v>
      </c>
      <c r="G1446" s="18">
        <v>0.03</v>
      </c>
      <c r="H1446" s="13"/>
      <c r="I1446" s="13"/>
    </row>
    <row r="1447" spans="1:9">
      <c r="A1447" s="13" t="s">
        <v>2181</v>
      </c>
      <c r="B1447" s="138" t="s">
        <v>730</v>
      </c>
      <c r="C1447" s="138" t="s">
        <v>639</v>
      </c>
      <c r="D1447" s="18">
        <v>20279181.25</v>
      </c>
      <c r="E1447" s="92">
        <v>0.93811048269999997</v>
      </c>
      <c r="F1447" s="18">
        <v>19024112.510000002</v>
      </c>
      <c r="G1447" s="18">
        <v>0.03</v>
      </c>
      <c r="H1447" s="13"/>
      <c r="I1447" s="13"/>
    </row>
    <row r="1448" spans="1:9">
      <c r="A1448" s="13" t="s">
        <v>2182</v>
      </c>
      <c r="B1448" s="138" t="s">
        <v>531</v>
      </c>
      <c r="C1448" s="138" t="s">
        <v>639</v>
      </c>
      <c r="D1448" s="15">
        <v>19300000</v>
      </c>
      <c r="E1448" s="92">
        <v>0.97167509939999996</v>
      </c>
      <c r="F1448" s="18">
        <v>18753329.420000002</v>
      </c>
      <c r="G1448" s="18">
        <v>0.03</v>
      </c>
      <c r="H1448" s="13"/>
      <c r="I1448" s="13"/>
    </row>
    <row r="1449" spans="1:9">
      <c r="A1449" s="13" t="s">
        <v>2183</v>
      </c>
      <c r="B1449" s="138" t="s">
        <v>489</v>
      </c>
      <c r="C1449" s="138" t="s">
        <v>639</v>
      </c>
      <c r="D1449" s="15">
        <v>9800000</v>
      </c>
      <c r="E1449" s="92">
        <v>0.96734883309999997</v>
      </c>
      <c r="F1449" s="18">
        <v>9480018.5600000005</v>
      </c>
      <c r="G1449" s="18">
        <v>0.02</v>
      </c>
      <c r="H1449" s="13"/>
      <c r="I1449" s="13"/>
    </row>
    <row r="1450" spans="1:9">
      <c r="A1450" s="13" t="s">
        <v>2184</v>
      </c>
      <c r="B1450" s="138" t="s">
        <v>560</v>
      </c>
      <c r="C1450" s="138" t="s">
        <v>639</v>
      </c>
      <c r="D1450" s="15">
        <v>7560000</v>
      </c>
      <c r="E1450" s="153">
        <v>0.97385277599999998</v>
      </c>
      <c r="F1450" s="18">
        <v>7362326.9900000002</v>
      </c>
      <c r="G1450" s="18">
        <v>0.01</v>
      </c>
      <c r="H1450" s="13"/>
      <c r="I1450" s="13"/>
    </row>
    <row r="1451" spans="1:9">
      <c r="A1451" s="13" t="s">
        <v>2185</v>
      </c>
      <c r="B1451" s="138" t="s">
        <v>494</v>
      </c>
      <c r="C1451" s="138" t="s">
        <v>639</v>
      </c>
      <c r="D1451" s="18">
        <v>9778370.3499999996</v>
      </c>
      <c r="E1451" s="92">
        <v>0.9680670696</v>
      </c>
      <c r="F1451" s="18">
        <v>9466118.3300000001</v>
      </c>
      <c r="G1451" s="18">
        <v>0.02</v>
      </c>
      <c r="H1451" s="13"/>
      <c r="I1451" s="13"/>
    </row>
    <row r="1452" spans="1:9">
      <c r="A1452" s="13" t="s">
        <v>2186</v>
      </c>
      <c r="B1452" s="138" t="s">
        <v>930</v>
      </c>
      <c r="C1452" s="138" t="s">
        <v>639</v>
      </c>
      <c r="D1452" s="18">
        <v>7553027.6100000003</v>
      </c>
      <c r="E1452" s="153">
        <v>0.97458090200000003</v>
      </c>
      <c r="F1452" s="18">
        <v>7361036.46</v>
      </c>
      <c r="G1452" s="18">
        <v>0.01</v>
      </c>
      <c r="H1452" s="13"/>
      <c r="I1452" s="13"/>
    </row>
    <row r="1453" spans="1:9">
      <c r="A1453" s="13" t="s">
        <v>2187</v>
      </c>
      <c r="B1453" s="138" t="s">
        <v>1081</v>
      </c>
      <c r="C1453" s="138" t="s">
        <v>639</v>
      </c>
      <c r="D1453" s="15">
        <v>19300000</v>
      </c>
      <c r="E1453" s="92">
        <v>0.97239997140000001</v>
      </c>
      <c r="F1453" s="18">
        <v>18767319.449999999</v>
      </c>
      <c r="G1453" s="18">
        <v>0.03</v>
      </c>
      <c r="H1453" s="13"/>
      <c r="I1453" s="13"/>
    </row>
    <row r="1454" spans="1:9">
      <c r="A1454" s="13" t="s">
        <v>2188</v>
      </c>
      <c r="B1454" s="138" t="s">
        <v>577</v>
      </c>
      <c r="C1454" s="138" t="s">
        <v>639</v>
      </c>
      <c r="D1454" s="18">
        <v>19222299.34</v>
      </c>
      <c r="E1454" s="92">
        <v>0.9731257378</v>
      </c>
      <c r="F1454" s="18">
        <v>18705714.23</v>
      </c>
      <c r="G1454" s="18">
        <v>0.03</v>
      </c>
      <c r="H1454" s="13"/>
      <c r="I1454" s="13"/>
    </row>
    <row r="1455" spans="1:9">
      <c r="A1455" s="13" t="s">
        <v>2189</v>
      </c>
      <c r="B1455" s="138" t="s">
        <v>930</v>
      </c>
      <c r="C1455" s="138" t="s">
        <v>639</v>
      </c>
      <c r="D1455" s="18">
        <v>7940103.1200000001</v>
      </c>
      <c r="E1455" s="92">
        <v>0.97458090289999999</v>
      </c>
      <c r="F1455" s="18">
        <v>7738272.8700000001</v>
      </c>
      <c r="G1455" s="18">
        <v>0.01</v>
      </c>
      <c r="H1455" s="13"/>
      <c r="I1455" s="13"/>
    </row>
    <row r="1456" spans="1:9">
      <c r="A1456" s="13" t="s">
        <v>2190</v>
      </c>
      <c r="B1456" s="138" t="s">
        <v>577</v>
      </c>
      <c r="C1456" s="138" t="s">
        <v>639</v>
      </c>
      <c r="D1456" s="15">
        <v>5225717</v>
      </c>
      <c r="E1456" s="92">
        <v>0.97312573970000005</v>
      </c>
      <c r="F1456" s="18">
        <v>5085279.72</v>
      </c>
      <c r="G1456" s="18">
        <v>0.01</v>
      </c>
      <c r="H1456" s="13"/>
      <c r="I1456" s="13"/>
    </row>
    <row r="1457" spans="1:9">
      <c r="A1457" s="13" t="s">
        <v>2191</v>
      </c>
      <c r="B1457" s="138" t="s">
        <v>593</v>
      </c>
      <c r="C1457" s="138" t="s">
        <v>639</v>
      </c>
      <c r="D1457" s="15">
        <v>5225722</v>
      </c>
      <c r="E1457" s="92">
        <v>0.95250523539999998</v>
      </c>
      <c r="F1457" s="18">
        <v>4977527.5599999996</v>
      </c>
      <c r="G1457" s="18">
        <v>0.01</v>
      </c>
      <c r="H1457" s="13"/>
      <c r="I1457" s="13"/>
    </row>
    <row r="1458" spans="1:9">
      <c r="A1458" s="13" t="s">
        <v>2192</v>
      </c>
      <c r="B1458" s="138" t="s">
        <v>560</v>
      </c>
      <c r="C1458" s="138" t="s">
        <v>639</v>
      </c>
      <c r="D1458" s="15">
        <v>5225717</v>
      </c>
      <c r="E1458" s="92">
        <v>0.97385277690000005</v>
      </c>
      <c r="F1458" s="18">
        <v>5089079.01</v>
      </c>
      <c r="G1458" s="18">
        <v>0.01</v>
      </c>
      <c r="H1458" s="13"/>
      <c r="I1458" s="13"/>
    </row>
    <row r="1459" spans="1:9">
      <c r="A1459" s="13" t="s">
        <v>2193</v>
      </c>
      <c r="B1459" s="138" t="s">
        <v>598</v>
      </c>
      <c r="C1459" s="138" t="s">
        <v>639</v>
      </c>
      <c r="D1459" s="15">
        <v>5225717</v>
      </c>
      <c r="E1459" s="92">
        <v>0.95389935520000002</v>
      </c>
      <c r="F1459" s="18">
        <v>4984808.08</v>
      </c>
      <c r="G1459" s="18">
        <v>0.01</v>
      </c>
      <c r="H1459" s="13"/>
      <c r="I1459" s="13"/>
    </row>
    <row r="1460" spans="1:9">
      <c r="A1460" s="13" t="s">
        <v>2194</v>
      </c>
      <c r="B1460" s="138" t="s">
        <v>1081</v>
      </c>
      <c r="C1460" s="138" t="s">
        <v>639</v>
      </c>
      <c r="D1460" s="15">
        <v>5225717</v>
      </c>
      <c r="E1460" s="92">
        <v>0.97239997140000001</v>
      </c>
      <c r="F1460" s="18">
        <v>5081487.0599999996</v>
      </c>
      <c r="G1460" s="18">
        <v>0.01</v>
      </c>
      <c r="H1460" s="13"/>
      <c r="I1460" s="13"/>
    </row>
    <row r="1461" spans="1:9">
      <c r="A1461" s="13" t="s">
        <v>2195</v>
      </c>
      <c r="B1461" s="138" t="s">
        <v>591</v>
      </c>
      <c r="C1461" s="138" t="s">
        <v>639</v>
      </c>
      <c r="D1461" s="15">
        <v>5225717</v>
      </c>
      <c r="E1461" s="92">
        <v>0.95320178479999995</v>
      </c>
      <c r="F1461" s="18">
        <v>4981162.7699999996</v>
      </c>
      <c r="G1461" s="18">
        <v>0.01</v>
      </c>
      <c r="H1461" s="13"/>
      <c r="I1461" s="13"/>
    </row>
    <row r="1462" spans="1:9">
      <c r="A1462" s="13" t="s">
        <v>2196</v>
      </c>
      <c r="B1462" s="138" t="s">
        <v>527</v>
      </c>
      <c r="C1462" s="138" t="s">
        <v>639</v>
      </c>
      <c r="D1462" s="18">
        <v>5584276.4299999997</v>
      </c>
      <c r="E1462" s="92">
        <v>0.97823773010000004</v>
      </c>
      <c r="F1462" s="150">
        <v>5462749.9000000004</v>
      </c>
      <c r="G1462" s="18">
        <v>0.01</v>
      </c>
      <c r="H1462" s="13"/>
      <c r="I1462" s="13"/>
    </row>
    <row r="1463" spans="1:9">
      <c r="A1463" s="13" t="s">
        <v>2197</v>
      </c>
      <c r="B1463" s="138" t="s">
        <v>527</v>
      </c>
      <c r="C1463" s="138" t="s">
        <v>639</v>
      </c>
      <c r="D1463" s="18">
        <v>6860594.6900000004</v>
      </c>
      <c r="E1463" s="92">
        <v>0.97823772779999996</v>
      </c>
      <c r="F1463" s="18">
        <v>6711292.5599999996</v>
      </c>
      <c r="G1463" s="18">
        <v>0.01</v>
      </c>
      <c r="H1463" s="13"/>
      <c r="I1463" s="13"/>
    </row>
    <row r="1464" spans="1:9">
      <c r="A1464" s="13" t="s">
        <v>2198</v>
      </c>
      <c r="B1464" s="138" t="s">
        <v>591</v>
      </c>
      <c r="C1464" s="138" t="s">
        <v>639</v>
      </c>
      <c r="D1464" s="18">
        <v>12995399.76</v>
      </c>
      <c r="E1464" s="92">
        <v>0.95320178639999997</v>
      </c>
      <c r="F1464" s="18">
        <v>12387238.27</v>
      </c>
      <c r="G1464" s="18">
        <v>0.02</v>
      </c>
      <c r="H1464" s="13"/>
      <c r="I1464" s="13"/>
    </row>
    <row r="1465" spans="1:9">
      <c r="A1465" s="13" t="s">
        <v>2199</v>
      </c>
      <c r="B1465" s="138" t="s">
        <v>560</v>
      </c>
      <c r="C1465" s="138" t="s">
        <v>639</v>
      </c>
      <c r="D1465" s="15">
        <v>12995000</v>
      </c>
      <c r="E1465" s="92">
        <v>0.97385277690000005</v>
      </c>
      <c r="F1465" s="18">
        <v>12655216.84</v>
      </c>
      <c r="G1465" s="18">
        <v>0.02</v>
      </c>
      <c r="H1465" s="13"/>
      <c r="I1465" s="13"/>
    </row>
    <row r="1466" spans="1:9">
      <c r="A1466" s="13" t="s">
        <v>2200</v>
      </c>
      <c r="B1466" s="138" t="s">
        <v>1500</v>
      </c>
      <c r="C1466" s="138" t="s">
        <v>639</v>
      </c>
      <c r="D1466" s="18">
        <v>7098063.4299999997</v>
      </c>
      <c r="E1466" s="92">
        <v>0.93474718069999996</v>
      </c>
      <c r="F1466" s="18">
        <v>6634894.7800000003</v>
      </c>
      <c r="G1466" s="18">
        <v>0.01</v>
      </c>
      <c r="H1466" s="13"/>
      <c r="I1466" s="13"/>
    </row>
    <row r="1467" spans="1:9">
      <c r="A1467" s="13" t="s">
        <v>2201</v>
      </c>
      <c r="B1467" s="138" t="s">
        <v>553</v>
      </c>
      <c r="C1467" s="138" t="s">
        <v>639</v>
      </c>
      <c r="D1467" s="18">
        <v>7098063.4299999997</v>
      </c>
      <c r="E1467" s="153">
        <v>0.95881066100000001</v>
      </c>
      <c r="F1467" s="18">
        <v>6805698.8899999997</v>
      </c>
      <c r="G1467" s="18">
        <v>0.01</v>
      </c>
      <c r="H1467" s="13"/>
      <c r="I1467" s="13"/>
    </row>
    <row r="1468" spans="1:9">
      <c r="A1468" s="13" t="s">
        <v>2202</v>
      </c>
      <c r="B1468" s="138" t="s">
        <v>551</v>
      </c>
      <c r="C1468" s="138" t="s">
        <v>639</v>
      </c>
      <c r="D1468" s="18">
        <v>7098063.4299999997</v>
      </c>
      <c r="E1468" s="92">
        <v>0.9819219293</v>
      </c>
      <c r="F1468" s="18">
        <v>6969744.1399999997</v>
      </c>
      <c r="G1468" s="18">
        <v>0.01</v>
      </c>
      <c r="H1468" s="13"/>
      <c r="I1468" s="13"/>
    </row>
    <row r="1469" spans="1:9">
      <c r="A1469" s="13" t="s">
        <v>2203</v>
      </c>
      <c r="B1469" s="138" t="s">
        <v>492</v>
      </c>
      <c r="C1469" s="138" t="s">
        <v>639</v>
      </c>
      <c r="D1469" s="18">
        <v>7523782.9100000001</v>
      </c>
      <c r="E1469" s="153">
        <v>0.96950713899999996</v>
      </c>
      <c r="F1469" s="18">
        <v>7294361.2400000002</v>
      </c>
      <c r="G1469" s="18">
        <v>0.01</v>
      </c>
      <c r="H1469" s="13"/>
      <c r="I1469" s="13"/>
    </row>
    <row r="1470" spans="1:9">
      <c r="A1470" s="13" t="s">
        <v>2204</v>
      </c>
      <c r="B1470" s="138" t="s">
        <v>607</v>
      </c>
      <c r="C1470" s="138" t="s">
        <v>639</v>
      </c>
      <c r="D1470" s="15">
        <v>7000000</v>
      </c>
      <c r="E1470" s="153">
        <v>0.97897225300000001</v>
      </c>
      <c r="F1470" s="18">
        <v>6852805.7699999996</v>
      </c>
      <c r="G1470" s="18">
        <v>0.01</v>
      </c>
      <c r="H1470" s="13"/>
      <c r="I1470" s="13"/>
    </row>
    <row r="1471" spans="1:9">
      <c r="A1471" s="13" t="s">
        <v>2205</v>
      </c>
      <c r="B1471" s="138" t="s">
        <v>560</v>
      </c>
      <c r="C1471" s="138" t="s">
        <v>639</v>
      </c>
      <c r="D1471" s="15">
        <v>8000000</v>
      </c>
      <c r="E1471" s="92">
        <v>0.97385277780000001</v>
      </c>
      <c r="F1471" s="18">
        <v>7790822.2199999997</v>
      </c>
      <c r="G1471" s="18">
        <v>0.01</v>
      </c>
      <c r="H1471" s="13"/>
      <c r="I1471" s="13"/>
    </row>
    <row r="1472" spans="1:9">
      <c r="A1472" s="13" t="s">
        <v>2206</v>
      </c>
      <c r="B1472" s="138" t="s">
        <v>454</v>
      </c>
      <c r="C1472" s="138" t="s">
        <v>639</v>
      </c>
      <c r="D1472" s="18">
        <v>6114926.9199999999</v>
      </c>
      <c r="E1472" s="92">
        <v>0.98266216750000002</v>
      </c>
      <c r="F1472" s="18">
        <v>6008907.3399999999</v>
      </c>
      <c r="G1472" s="18">
        <v>0.01</v>
      </c>
      <c r="H1472" s="13"/>
      <c r="I1472" s="13"/>
    </row>
    <row r="1473" spans="1:9">
      <c r="A1473" s="13" t="s">
        <v>2207</v>
      </c>
      <c r="B1473" s="138" t="s">
        <v>531</v>
      </c>
      <c r="C1473" s="138" t="s">
        <v>639</v>
      </c>
      <c r="D1473" s="15">
        <v>5437493</v>
      </c>
      <c r="E1473" s="92">
        <v>0.97167509939999996</v>
      </c>
      <c r="F1473" s="18">
        <v>5283476.55</v>
      </c>
      <c r="G1473" s="18">
        <v>0.01</v>
      </c>
      <c r="H1473" s="13"/>
      <c r="I1473" s="13"/>
    </row>
    <row r="1474" spans="1:9">
      <c r="A1474" s="13" t="s">
        <v>2208</v>
      </c>
      <c r="B1474" s="138" t="s">
        <v>281</v>
      </c>
      <c r="C1474" s="138" t="s">
        <v>639</v>
      </c>
      <c r="D1474" s="15">
        <v>15000000</v>
      </c>
      <c r="E1474" s="92">
        <v>0.92414433730000001</v>
      </c>
      <c r="F1474" s="18">
        <v>13862165.060000001</v>
      </c>
      <c r="G1474" s="18">
        <v>0.02</v>
      </c>
      <c r="H1474" s="13"/>
      <c r="I1474" s="13"/>
    </row>
    <row r="1475" spans="1:9">
      <c r="A1475" s="13" t="s">
        <v>2233</v>
      </c>
      <c r="B1475" s="138" t="s">
        <v>1184</v>
      </c>
      <c r="C1475" s="138" t="s">
        <v>422</v>
      </c>
      <c r="D1475" s="18">
        <v>20007806.68</v>
      </c>
      <c r="E1475" s="92">
        <v>0.89194087339999995</v>
      </c>
      <c r="F1475" s="18">
        <v>17845780.559999999</v>
      </c>
      <c r="G1475" s="18">
        <v>0.03</v>
      </c>
      <c r="H1475" s="13"/>
      <c r="I1475" s="13"/>
    </row>
    <row r="1476" spans="1:9">
      <c r="A1476" s="13" t="s">
        <v>2234</v>
      </c>
      <c r="B1476" s="138" t="s">
        <v>740</v>
      </c>
      <c r="C1476" s="138" t="s">
        <v>422</v>
      </c>
      <c r="D1476" s="15">
        <v>40000000</v>
      </c>
      <c r="E1476" s="92">
        <v>0.92218294040000004</v>
      </c>
      <c r="F1476" s="18">
        <v>36887317.619999997</v>
      </c>
      <c r="G1476" s="18">
        <v>0.06</v>
      </c>
      <c r="H1476" s="13"/>
      <c r="I1476" s="13"/>
    </row>
    <row r="1477" spans="1:9">
      <c r="A1477" s="13" t="s">
        <v>2235</v>
      </c>
      <c r="B1477" s="138" t="s">
        <v>549</v>
      </c>
      <c r="C1477" s="138" t="s">
        <v>422</v>
      </c>
      <c r="D1477" s="18">
        <v>463612.88</v>
      </c>
      <c r="E1477" s="92">
        <v>0.95337603650000002</v>
      </c>
      <c r="F1477" s="18">
        <v>441997.41</v>
      </c>
      <c r="G1477" s="15">
        <v>0</v>
      </c>
      <c r="H1477" s="13"/>
      <c r="I1477" s="13"/>
    </row>
    <row r="1478" spans="1:9">
      <c r="A1478" s="13" t="s">
        <v>2236</v>
      </c>
      <c r="B1478" s="138" t="s">
        <v>527</v>
      </c>
      <c r="C1478" s="138" t="s">
        <v>422</v>
      </c>
      <c r="D1478" s="18">
        <v>4121277.98</v>
      </c>
      <c r="E1478" s="92">
        <v>0.97445075020000005</v>
      </c>
      <c r="F1478" s="18">
        <v>4015982.42</v>
      </c>
      <c r="G1478" s="18">
        <v>0.01</v>
      </c>
      <c r="H1478" s="13"/>
      <c r="I1478" s="13"/>
    </row>
    <row r="1479" spans="1:9">
      <c r="A1479" s="13" t="s">
        <v>2237</v>
      </c>
      <c r="B1479" s="138" t="s">
        <v>585</v>
      </c>
      <c r="C1479" s="138" t="s">
        <v>422</v>
      </c>
      <c r="D1479" s="15">
        <v>1000000</v>
      </c>
      <c r="E1479" s="92">
        <v>0.95017448010000005</v>
      </c>
      <c r="F1479" s="18">
        <v>950174.48</v>
      </c>
      <c r="G1479" s="15">
        <v>0</v>
      </c>
      <c r="H1479" s="13"/>
      <c r="I1479" s="13"/>
    </row>
    <row r="1480" spans="1:9">
      <c r="A1480" s="13" t="s">
        <v>2238</v>
      </c>
      <c r="B1480" s="138" t="s">
        <v>587</v>
      </c>
      <c r="C1480" s="138" t="s">
        <v>422</v>
      </c>
      <c r="D1480" s="15">
        <v>1000000</v>
      </c>
      <c r="E1480" s="92">
        <v>0.94935886059999997</v>
      </c>
      <c r="F1480" s="18">
        <v>949358.86</v>
      </c>
      <c r="G1480" s="15">
        <v>0</v>
      </c>
      <c r="H1480" s="13"/>
      <c r="I1480" s="13"/>
    </row>
    <row r="1481" spans="1:9">
      <c r="A1481" s="13" t="s">
        <v>2239</v>
      </c>
      <c r="B1481" s="138" t="s">
        <v>589</v>
      </c>
      <c r="C1481" s="138" t="s">
        <v>422</v>
      </c>
      <c r="D1481" s="15">
        <v>1000000</v>
      </c>
      <c r="E1481" s="92">
        <v>0.94692062030000002</v>
      </c>
      <c r="F1481" s="18">
        <v>946920.62</v>
      </c>
      <c r="G1481" s="15">
        <v>0</v>
      </c>
      <c r="H1481" s="13"/>
      <c r="I1481" s="13"/>
    </row>
    <row r="1482" spans="1:9">
      <c r="A1482" s="13" t="s">
        <v>2240</v>
      </c>
      <c r="B1482" s="138" t="s">
        <v>598</v>
      </c>
      <c r="C1482" s="138" t="s">
        <v>422</v>
      </c>
      <c r="D1482" s="15">
        <v>1400000</v>
      </c>
      <c r="E1482" s="153">
        <v>0.94611080700000005</v>
      </c>
      <c r="F1482" s="18">
        <v>1324555.1299999999</v>
      </c>
      <c r="G1482" s="15">
        <v>0</v>
      </c>
      <c r="H1482" s="13"/>
      <c r="I1482" s="13"/>
    </row>
    <row r="1483" spans="1:9">
      <c r="A1483" s="13" t="s">
        <v>2241</v>
      </c>
      <c r="B1483" s="138" t="s">
        <v>1569</v>
      </c>
      <c r="C1483" s="138" t="s">
        <v>422</v>
      </c>
      <c r="D1483" s="15">
        <v>25000000</v>
      </c>
      <c r="E1483" s="92">
        <v>0.88198337520000003</v>
      </c>
      <c r="F1483" s="18">
        <v>22049584.379999999</v>
      </c>
      <c r="G1483" s="18">
        <v>0.04</v>
      </c>
      <c r="H1483" s="13"/>
      <c r="I1483" s="13"/>
    </row>
    <row r="1484" spans="1:9">
      <c r="A1484" s="13" t="s">
        <v>2242</v>
      </c>
      <c r="B1484" s="138" t="s">
        <v>1184</v>
      </c>
      <c r="C1484" s="138" t="s">
        <v>422</v>
      </c>
      <c r="D1484" s="15">
        <v>25000000</v>
      </c>
      <c r="E1484" s="92">
        <v>0.88040920540000001</v>
      </c>
      <c r="F1484" s="18">
        <v>22010230.140000001</v>
      </c>
      <c r="G1484" s="18">
        <v>0.04</v>
      </c>
      <c r="H1484" s="13"/>
      <c r="I1484" s="13"/>
    </row>
    <row r="1485" spans="1:9">
      <c r="A1485" s="13" t="s">
        <v>2243</v>
      </c>
      <c r="B1485" s="138" t="s">
        <v>622</v>
      </c>
      <c r="C1485" s="138" t="s">
        <v>422</v>
      </c>
      <c r="D1485" s="15">
        <v>40000000</v>
      </c>
      <c r="E1485" s="92">
        <v>0.98702001959999996</v>
      </c>
      <c r="F1485" s="18">
        <v>39480800.780000001</v>
      </c>
      <c r="G1485" s="18">
        <v>0.06</v>
      </c>
      <c r="H1485" s="13"/>
      <c r="I1485" s="13"/>
    </row>
    <row r="1486" spans="1:9">
      <c r="A1486" s="13" t="s">
        <v>2244</v>
      </c>
      <c r="B1486" s="138" t="s">
        <v>581</v>
      </c>
      <c r="C1486" s="138" t="s">
        <v>422</v>
      </c>
      <c r="D1486" s="15">
        <v>40000000</v>
      </c>
      <c r="E1486" s="153">
        <v>0.96204552300000001</v>
      </c>
      <c r="F1486" s="18">
        <v>38481820.920000002</v>
      </c>
      <c r="G1486" s="18">
        <v>0.06</v>
      </c>
      <c r="H1486" s="13"/>
      <c r="I1486" s="13"/>
    </row>
    <row r="1487" spans="1:9">
      <c r="A1487" s="13" t="s">
        <v>2245</v>
      </c>
      <c r="B1487" s="138" t="s">
        <v>444</v>
      </c>
      <c r="C1487" s="138" t="s">
        <v>422</v>
      </c>
      <c r="D1487" s="15">
        <v>3300000</v>
      </c>
      <c r="E1487" s="92">
        <v>0.99184787860000001</v>
      </c>
      <c r="F1487" s="15">
        <v>3273098</v>
      </c>
      <c r="G1487" s="18">
        <v>0.01</v>
      </c>
      <c r="H1487" s="13"/>
      <c r="I1487" s="13"/>
    </row>
    <row r="1488" spans="1:9">
      <c r="A1488" s="13" t="s">
        <v>2246</v>
      </c>
      <c r="B1488" s="138" t="s">
        <v>450</v>
      </c>
      <c r="C1488" s="138" t="s">
        <v>422</v>
      </c>
      <c r="D1488" s="15">
        <v>3300000</v>
      </c>
      <c r="E1488" s="92">
        <v>0.98223898759999995</v>
      </c>
      <c r="F1488" s="18">
        <v>3241388.66</v>
      </c>
      <c r="G1488" s="18">
        <v>0.01</v>
      </c>
      <c r="H1488" s="13"/>
      <c r="I1488" s="13"/>
    </row>
    <row r="1489" spans="1:9">
      <c r="A1489" s="13" t="s">
        <v>2247</v>
      </c>
      <c r="B1489" s="138" t="s">
        <v>555</v>
      </c>
      <c r="C1489" s="138" t="s">
        <v>422</v>
      </c>
      <c r="D1489" s="15">
        <v>3300000</v>
      </c>
      <c r="E1489" s="92">
        <v>0.95524744289999997</v>
      </c>
      <c r="F1489" s="18">
        <v>3152316.56</v>
      </c>
      <c r="G1489" s="18">
        <v>0.01</v>
      </c>
      <c r="H1489" s="13"/>
      <c r="I1489" s="13"/>
    </row>
    <row r="1490" spans="1:9">
      <c r="A1490" s="13" t="s">
        <v>2248</v>
      </c>
      <c r="B1490" s="138" t="s">
        <v>452</v>
      </c>
      <c r="C1490" s="138" t="s">
        <v>422</v>
      </c>
      <c r="D1490" s="15">
        <v>3300000</v>
      </c>
      <c r="E1490" s="92">
        <v>0.99265713629999996</v>
      </c>
      <c r="F1490" s="18">
        <v>3275768.55</v>
      </c>
      <c r="G1490" s="18">
        <v>0.01</v>
      </c>
      <c r="H1490" s="13"/>
      <c r="I1490" s="13"/>
    </row>
    <row r="1491" spans="1:9">
      <c r="A1491" s="13" t="s">
        <v>2249</v>
      </c>
      <c r="B1491" s="138" t="s">
        <v>492</v>
      </c>
      <c r="C1491" s="138" t="s">
        <v>422</v>
      </c>
      <c r="D1491" s="15">
        <v>3300000</v>
      </c>
      <c r="E1491" s="92">
        <v>0.96740014249999995</v>
      </c>
      <c r="F1491" s="18">
        <v>3192420.47</v>
      </c>
      <c r="G1491" s="18">
        <v>0.01</v>
      </c>
      <c r="H1491" s="13"/>
      <c r="I1491" s="13"/>
    </row>
    <row r="1492" spans="1:9">
      <c r="A1492" s="13" t="s">
        <v>2250</v>
      </c>
      <c r="B1492" s="138" t="s">
        <v>645</v>
      </c>
      <c r="C1492" s="138" t="s">
        <v>422</v>
      </c>
      <c r="D1492" s="15">
        <v>3300000</v>
      </c>
      <c r="E1492" s="92">
        <v>0.98942811230000005</v>
      </c>
      <c r="F1492" s="18">
        <v>3265112.77</v>
      </c>
      <c r="G1492" s="18">
        <v>0.01</v>
      </c>
      <c r="H1492" s="13"/>
      <c r="I1492" s="13"/>
    </row>
    <row r="1493" spans="1:9">
      <c r="A1493" s="13" t="s">
        <v>2251</v>
      </c>
      <c r="B1493" s="138" t="s">
        <v>494</v>
      </c>
      <c r="C1493" s="138" t="s">
        <v>422</v>
      </c>
      <c r="D1493" s="15">
        <v>3300000</v>
      </c>
      <c r="E1493" s="92">
        <v>0.96586406319999996</v>
      </c>
      <c r="F1493" s="18">
        <v>3187351.41</v>
      </c>
      <c r="G1493" s="18">
        <v>0.01</v>
      </c>
      <c r="H1493" s="13"/>
      <c r="I1493" s="13"/>
    </row>
    <row r="1494" spans="1:9">
      <c r="A1494" s="13" t="s">
        <v>2252</v>
      </c>
      <c r="B1494" s="138" t="s">
        <v>489</v>
      </c>
      <c r="C1494" s="138" t="s">
        <v>422</v>
      </c>
      <c r="D1494" s="15">
        <v>3300000</v>
      </c>
      <c r="E1494" s="153">
        <v>0.96509786099999995</v>
      </c>
      <c r="F1494" s="18">
        <v>3184822.94</v>
      </c>
      <c r="G1494" s="18">
        <v>0.01</v>
      </c>
      <c r="H1494" s="13"/>
      <c r="I1494" s="13"/>
    </row>
    <row r="1495" spans="1:9">
      <c r="A1495" s="13" t="s">
        <v>2253</v>
      </c>
      <c r="B1495" s="138" t="s">
        <v>553</v>
      </c>
      <c r="C1495" s="138" t="s">
        <v>422</v>
      </c>
      <c r="D1495" s="15">
        <v>3300000</v>
      </c>
      <c r="E1495" s="92">
        <v>0.95599809120000001</v>
      </c>
      <c r="F1495" s="150">
        <v>3154793.7</v>
      </c>
      <c r="G1495" s="18">
        <v>0.01</v>
      </c>
      <c r="H1495" s="13"/>
      <c r="I1495" s="13"/>
    </row>
    <row r="1496" spans="1:9">
      <c r="A1496" s="13" t="s">
        <v>2254</v>
      </c>
      <c r="B1496" s="138" t="s">
        <v>589</v>
      </c>
      <c r="C1496" s="138" t="s">
        <v>422</v>
      </c>
      <c r="D1496" s="15">
        <v>3300000</v>
      </c>
      <c r="E1496" s="153">
        <v>0.95151202700000004</v>
      </c>
      <c r="F1496" s="18">
        <v>3139989.69</v>
      </c>
      <c r="G1496" s="18">
        <v>0.01</v>
      </c>
      <c r="H1496" s="13"/>
      <c r="I1496" s="13"/>
    </row>
    <row r="1497" spans="1:9">
      <c r="A1497" s="13" t="s">
        <v>2255</v>
      </c>
      <c r="B1497" s="138" t="s">
        <v>610</v>
      </c>
      <c r="C1497" s="138" t="s">
        <v>422</v>
      </c>
      <c r="D1497" s="15">
        <v>3300000</v>
      </c>
      <c r="E1497" s="92">
        <v>0.99835888490000002</v>
      </c>
      <c r="F1497" s="18">
        <v>3294584.32</v>
      </c>
      <c r="G1497" s="18">
        <v>0.01</v>
      </c>
      <c r="H1497" s="13"/>
      <c r="I1497" s="13"/>
    </row>
    <row r="1498" spans="1:9">
      <c r="A1498" s="13" t="s">
        <v>2256</v>
      </c>
      <c r="B1498" s="138" t="s">
        <v>370</v>
      </c>
      <c r="C1498" s="138" t="s">
        <v>422</v>
      </c>
      <c r="D1498" s="15">
        <v>3300000</v>
      </c>
      <c r="E1498" s="92">
        <v>0.9975403303</v>
      </c>
      <c r="F1498" s="18">
        <v>3291883.09</v>
      </c>
      <c r="G1498" s="18">
        <v>0.01</v>
      </c>
      <c r="H1498" s="13"/>
      <c r="I1498" s="13"/>
    </row>
    <row r="1499" spans="1:9">
      <c r="A1499" s="13" t="s">
        <v>2257</v>
      </c>
      <c r="B1499" s="138" t="s">
        <v>591</v>
      </c>
      <c r="C1499" s="138" t="s">
        <v>422</v>
      </c>
      <c r="D1499" s="15">
        <v>3300000</v>
      </c>
      <c r="E1499" s="92">
        <v>0.95002616419999997</v>
      </c>
      <c r="F1499" s="18">
        <v>3135086.34</v>
      </c>
      <c r="G1499" s="18">
        <v>0.01</v>
      </c>
      <c r="H1499" s="13"/>
      <c r="I1499" s="13"/>
    </row>
    <row r="1500" spans="1:9">
      <c r="A1500" s="13" t="s">
        <v>2258</v>
      </c>
      <c r="B1500" s="138" t="s">
        <v>577</v>
      </c>
      <c r="C1500" s="138" t="s">
        <v>422</v>
      </c>
      <c r="D1500" s="15">
        <v>3300000</v>
      </c>
      <c r="E1500" s="92">
        <v>0.9712613725</v>
      </c>
      <c r="F1500" s="18">
        <v>3205162.53</v>
      </c>
      <c r="G1500" s="18">
        <v>0.01</v>
      </c>
      <c r="H1500" s="13"/>
      <c r="I1500" s="13"/>
    </row>
    <row r="1501" spans="1:9">
      <c r="A1501" s="13" t="s">
        <v>2259</v>
      </c>
      <c r="B1501" s="138" t="s">
        <v>595</v>
      </c>
      <c r="C1501" s="138" t="s">
        <v>422</v>
      </c>
      <c r="D1501" s="15">
        <v>3800000</v>
      </c>
      <c r="E1501" s="92">
        <v>0.94633140319999998</v>
      </c>
      <c r="F1501" s="18">
        <v>3596059.33</v>
      </c>
      <c r="G1501" s="18">
        <v>0.01</v>
      </c>
      <c r="H1501" s="13"/>
      <c r="I1501" s="13"/>
    </row>
    <row r="1502" spans="1:9">
      <c r="A1502" s="13" t="s">
        <v>2260</v>
      </c>
      <c r="B1502" s="138" t="s">
        <v>930</v>
      </c>
      <c r="C1502" s="138" t="s">
        <v>422</v>
      </c>
      <c r="D1502" s="18">
        <v>63439463.229999997</v>
      </c>
      <c r="E1502" s="92">
        <v>0.97458095690000002</v>
      </c>
      <c r="F1502" s="18">
        <v>61826892.780000001</v>
      </c>
      <c r="G1502" s="150">
        <v>0.1</v>
      </c>
      <c r="H1502" s="13"/>
      <c r="I1502" s="13"/>
    </row>
    <row r="1503" spans="1:9">
      <c r="A1503" s="13" t="s">
        <v>2261</v>
      </c>
      <c r="B1503" s="138" t="s">
        <v>527</v>
      </c>
      <c r="C1503" s="138" t="s">
        <v>422</v>
      </c>
      <c r="D1503" s="18">
        <v>6308233.75</v>
      </c>
      <c r="E1503" s="92">
        <v>0.97445074870000004</v>
      </c>
      <c r="F1503" s="150">
        <v>6147063.0999999996</v>
      </c>
      <c r="G1503" s="18">
        <v>0.01</v>
      </c>
      <c r="H1503" s="13"/>
      <c r="I1503" s="13"/>
    </row>
    <row r="1504" spans="1:9">
      <c r="A1504" s="13" t="s">
        <v>2262</v>
      </c>
      <c r="B1504" s="138" t="s">
        <v>494</v>
      </c>
      <c r="C1504" s="138" t="s">
        <v>422</v>
      </c>
      <c r="D1504" s="18">
        <v>10044547.85</v>
      </c>
      <c r="E1504" s="92">
        <v>0.9625782155</v>
      </c>
      <c r="F1504" s="18">
        <v>9668662.9399999995</v>
      </c>
      <c r="G1504" s="18">
        <v>0.02</v>
      </c>
      <c r="H1504" s="13"/>
      <c r="I1504" s="13"/>
    </row>
    <row r="1505" spans="1:9">
      <c r="A1505" s="13" t="s">
        <v>2263</v>
      </c>
      <c r="B1505" s="138" t="s">
        <v>577</v>
      </c>
      <c r="C1505" s="138" t="s">
        <v>422</v>
      </c>
      <c r="D1505" s="18">
        <v>1716831.66</v>
      </c>
      <c r="E1505" s="92">
        <v>0.96847809210000002</v>
      </c>
      <c r="F1505" s="18">
        <v>1662713.85</v>
      </c>
      <c r="G1505" s="15">
        <v>0</v>
      </c>
      <c r="H1505" s="13"/>
      <c r="I1505" s="13"/>
    </row>
    <row r="1506" spans="1:9">
      <c r="A1506" s="13" t="s">
        <v>2264</v>
      </c>
      <c r="B1506" s="138" t="s">
        <v>577</v>
      </c>
      <c r="C1506" s="138" t="s">
        <v>422</v>
      </c>
      <c r="D1506" s="18">
        <v>21884339.98</v>
      </c>
      <c r="E1506" s="92">
        <v>0.96847809770000004</v>
      </c>
      <c r="F1506" s="18">
        <v>21194503.949999999</v>
      </c>
      <c r="G1506" s="18">
        <v>0.03</v>
      </c>
      <c r="H1506" s="13"/>
      <c r="I1506" s="13"/>
    </row>
    <row r="1507" spans="1:9">
      <c r="A1507" s="13" t="s">
        <v>2265</v>
      </c>
      <c r="B1507" s="138" t="s">
        <v>172</v>
      </c>
      <c r="C1507" s="138" t="s">
        <v>422</v>
      </c>
      <c r="D1507" s="150">
        <v>224380.5</v>
      </c>
      <c r="E1507" s="28">
        <v>0.99371103999999999</v>
      </c>
      <c r="F1507" s="18">
        <v>222969.38</v>
      </c>
      <c r="G1507" s="15">
        <v>0</v>
      </c>
      <c r="H1507" s="13"/>
      <c r="I1507" s="13"/>
    </row>
    <row r="1508" spans="1:9">
      <c r="A1508" s="13" t="s">
        <v>2266</v>
      </c>
      <c r="B1508" s="138" t="s">
        <v>450</v>
      </c>
      <c r="C1508" s="138" t="s">
        <v>422</v>
      </c>
      <c r="D1508" s="15">
        <v>5000000</v>
      </c>
      <c r="E1508" s="92">
        <v>0.98049753009999996</v>
      </c>
      <c r="F1508" s="18">
        <v>4902487.6500000004</v>
      </c>
      <c r="G1508" s="18">
        <v>0.01</v>
      </c>
      <c r="H1508" s="13"/>
      <c r="I1508" s="13"/>
    </row>
    <row r="1509" spans="1:9">
      <c r="A1509" s="13" t="s">
        <v>2267</v>
      </c>
      <c r="B1509" s="138" t="s">
        <v>527</v>
      </c>
      <c r="C1509" s="138" t="s">
        <v>422</v>
      </c>
      <c r="D1509" s="15">
        <v>5000000</v>
      </c>
      <c r="E1509" s="153">
        <v>0.97445074799999998</v>
      </c>
      <c r="F1509" s="18">
        <v>4872253.74</v>
      </c>
      <c r="G1509" s="18">
        <v>0.01</v>
      </c>
      <c r="H1509" s="13"/>
      <c r="I1509" s="13"/>
    </row>
    <row r="1510" spans="1:9">
      <c r="A1510" s="13" t="s">
        <v>2268</v>
      </c>
      <c r="B1510" s="138" t="s">
        <v>610</v>
      </c>
      <c r="C1510" s="138" t="s">
        <v>422</v>
      </c>
      <c r="D1510" s="15">
        <v>5000000</v>
      </c>
      <c r="E1510" s="28">
        <v>0.99819506999999996</v>
      </c>
      <c r="F1510" s="18">
        <v>4990975.3499999996</v>
      </c>
      <c r="G1510" s="18">
        <v>0.01</v>
      </c>
      <c r="H1510" s="13"/>
      <c r="I1510" s="13"/>
    </row>
    <row r="1511" spans="1:9">
      <c r="A1511" s="13" t="s">
        <v>2269</v>
      </c>
      <c r="B1511" s="138" t="s">
        <v>622</v>
      </c>
      <c r="C1511" s="138" t="s">
        <v>422</v>
      </c>
      <c r="D1511" s="15">
        <v>5000000</v>
      </c>
      <c r="E1511" s="92">
        <v>0.98661982189999997</v>
      </c>
      <c r="F1511" s="18">
        <v>4933099.1100000003</v>
      </c>
      <c r="G1511" s="18">
        <v>0.01</v>
      </c>
      <c r="H1511" s="13"/>
      <c r="I1511" s="13"/>
    </row>
    <row r="1512" spans="1:9">
      <c r="A1512" s="13" t="s">
        <v>2281</v>
      </c>
      <c r="B1512" s="138" t="s">
        <v>499</v>
      </c>
      <c r="C1512" s="138" t="s">
        <v>441</v>
      </c>
      <c r="D1512" s="15">
        <v>3455000</v>
      </c>
      <c r="E1512" s="92">
        <v>0.95250526189999996</v>
      </c>
      <c r="F1512" s="18">
        <v>3290905.68</v>
      </c>
      <c r="G1512" s="18">
        <v>0.01</v>
      </c>
      <c r="H1512" s="13"/>
      <c r="I1512" s="13"/>
    </row>
    <row r="1513" spans="1:9">
      <c r="A1513" s="13" t="s">
        <v>2282</v>
      </c>
      <c r="B1513" s="138" t="s">
        <v>600</v>
      </c>
      <c r="C1513" s="138" t="s">
        <v>441</v>
      </c>
      <c r="D1513" s="15">
        <v>2112995</v>
      </c>
      <c r="E1513" s="92">
        <v>0.94990249839999996</v>
      </c>
      <c r="F1513" s="18">
        <v>2007139.23</v>
      </c>
      <c r="G1513" s="15">
        <v>0</v>
      </c>
      <c r="H1513" s="13"/>
      <c r="I1513" s="13"/>
    </row>
    <row r="1514" spans="1:9">
      <c r="A1514" s="13" t="s">
        <v>2283</v>
      </c>
      <c r="B1514" s="138" t="s">
        <v>553</v>
      </c>
      <c r="C1514" s="138" t="s">
        <v>441</v>
      </c>
      <c r="D1514" s="18">
        <v>4359563.53</v>
      </c>
      <c r="E1514" s="153">
        <v>0.94903798500000003</v>
      </c>
      <c r="F1514" s="18">
        <v>4137391.39</v>
      </c>
      <c r="G1514" s="18">
        <v>0.01</v>
      </c>
      <c r="H1514" s="13"/>
      <c r="I1514" s="13"/>
    </row>
    <row r="1515" spans="1:9">
      <c r="A1515" s="13" t="s">
        <v>2284</v>
      </c>
      <c r="B1515" s="138" t="s">
        <v>589</v>
      </c>
      <c r="C1515" s="138" t="s">
        <v>441</v>
      </c>
      <c r="D1515" s="18">
        <v>3072441.47</v>
      </c>
      <c r="E1515" s="92">
        <v>0.94388426290000005</v>
      </c>
      <c r="F1515" s="18">
        <v>2900029.15</v>
      </c>
      <c r="G1515" s="15">
        <v>0</v>
      </c>
      <c r="H1515" s="13"/>
      <c r="I1515" s="13"/>
    </row>
    <row r="1516" spans="1:9">
      <c r="A1516" s="13" t="s">
        <v>2285</v>
      </c>
      <c r="B1516" s="138" t="s">
        <v>573</v>
      </c>
      <c r="C1516" s="138" t="s">
        <v>441</v>
      </c>
      <c r="D1516" s="15">
        <v>150000000</v>
      </c>
      <c r="E1516" s="92">
        <v>0.93407723350000005</v>
      </c>
      <c r="F1516" s="18">
        <v>140111585.03</v>
      </c>
      <c r="G1516" s="18">
        <v>0.23</v>
      </c>
      <c r="H1516" s="13"/>
      <c r="I1516" s="13"/>
    </row>
    <row r="1517" spans="1:9">
      <c r="A1517" s="13" t="s">
        <v>2286</v>
      </c>
      <c r="B1517" s="138" t="s">
        <v>999</v>
      </c>
      <c r="C1517" s="138" t="s">
        <v>441</v>
      </c>
      <c r="D1517" s="15">
        <v>150000000</v>
      </c>
      <c r="E1517" s="92">
        <v>0.91570508589999999</v>
      </c>
      <c r="F1517" s="18">
        <v>137355762.88999999</v>
      </c>
      <c r="G1517" s="18">
        <v>0.22</v>
      </c>
      <c r="H1517" s="13"/>
      <c r="I1517" s="13"/>
    </row>
    <row r="1518" spans="1:9">
      <c r="A1518" s="13" t="s">
        <v>2287</v>
      </c>
      <c r="B1518" s="138" t="s">
        <v>589</v>
      </c>
      <c r="C1518" s="138" t="s">
        <v>441</v>
      </c>
      <c r="D1518" s="15">
        <v>100000000</v>
      </c>
      <c r="E1518" s="92">
        <v>0.95151209319999996</v>
      </c>
      <c r="F1518" s="18">
        <v>95151209.319999993</v>
      </c>
      <c r="G1518" s="18">
        <v>0.16</v>
      </c>
      <c r="H1518" s="13"/>
      <c r="I1518" s="13"/>
    </row>
    <row r="1519" spans="1:9">
      <c r="A1519" s="13" t="s">
        <v>2288</v>
      </c>
      <c r="B1519" s="138" t="s">
        <v>589</v>
      </c>
      <c r="C1519" s="138" t="s">
        <v>441</v>
      </c>
      <c r="D1519" s="15">
        <v>100000000</v>
      </c>
      <c r="E1519" s="92">
        <v>0.95151209319999996</v>
      </c>
      <c r="F1519" s="18">
        <v>95151209.319999993</v>
      </c>
      <c r="G1519" s="18">
        <v>0.16</v>
      </c>
      <c r="H1519" s="13"/>
      <c r="I1519" s="13"/>
    </row>
    <row r="1520" spans="1:9">
      <c r="A1520" s="13" t="s">
        <v>2289</v>
      </c>
      <c r="B1520" s="138" t="s">
        <v>598</v>
      </c>
      <c r="C1520" s="138" t="s">
        <v>441</v>
      </c>
      <c r="D1520" s="15">
        <v>100000000</v>
      </c>
      <c r="E1520" s="92">
        <v>0.95076846979999996</v>
      </c>
      <c r="F1520" s="18">
        <v>95076846.980000004</v>
      </c>
      <c r="G1520" s="18">
        <v>0.16</v>
      </c>
      <c r="H1520" s="13"/>
      <c r="I1520" s="13"/>
    </row>
    <row r="1521" spans="1:9">
      <c r="A1521" s="13" t="s">
        <v>2290</v>
      </c>
      <c r="B1521" s="138" t="s">
        <v>598</v>
      </c>
      <c r="C1521" s="138" t="s">
        <v>441</v>
      </c>
      <c r="D1521" s="15">
        <v>100000000</v>
      </c>
      <c r="E1521" s="92">
        <v>0.95076846979999996</v>
      </c>
      <c r="F1521" s="18">
        <v>95076846.980000004</v>
      </c>
      <c r="G1521" s="18">
        <v>0.16</v>
      </c>
      <c r="H1521" s="13"/>
      <c r="I1521" s="13"/>
    </row>
    <row r="1522" spans="1:9">
      <c r="A1522" s="13" t="s">
        <v>2293</v>
      </c>
      <c r="B1522" s="138" t="s">
        <v>1249</v>
      </c>
      <c r="C1522" s="138" t="s">
        <v>441</v>
      </c>
      <c r="D1522" s="15">
        <v>20000000</v>
      </c>
      <c r="E1522" s="153">
        <v>0.89316304899999999</v>
      </c>
      <c r="F1522" s="18">
        <v>17863260.98</v>
      </c>
      <c r="G1522" s="18">
        <v>0.03</v>
      </c>
      <c r="H1522" s="13"/>
      <c r="I1522" s="13"/>
    </row>
    <row r="1523" spans="1:9">
      <c r="A1523" s="13" t="s">
        <v>2294</v>
      </c>
      <c r="B1523" s="138" t="s">
        <v>1590</v>
      </c>
      <c r="C1523" s="138" t="s">
        <v>441</v>
      </c>
      <c r="D1523" s="15">
        <v>50000000</v>
      </c>
      <c r="E1523" s="92">
        <v>0.93445992980000003</v>
      </c>
      <c r="F1523" s="18">
        <v>46722996.490000002</v>
      </c>
      <c r="G1523" s="18">
        <v>0.08</v>
      </c>
      <c r="H1523" s="13"/>
      <c r="I1523" s="13"/>
    </row>
    <row r="1524" spans="1:9">
      <c r="A1524" s="13" t="s">
        <v>2295</v>
      </c>
      <c r="B1524" s="138" t="s">
        <v>890</v>
      </c>
      <c r="C1524" s="138" t="s">
        <v>441</v>
      </c>
      <c r="D1524" s="15">
        <v>50000000</v>
      </c>
      <c r="E1524" s="92">
        <v>0.94217868969999996</v>
      </c>
      <c r="F1524" s="18">
        <v>47108934.490000002</v>
      </c>
      <c r="G1524" s="18">
        <v>0.08</v>
      </c>
      <c r="H1524" s="13"/>
      <c r="I1524" s="13"/>
    </row>
    <row r="1525" spans="1:9">
      <c r="A1525" s="13" t="s">
        <v>2296</v>
      </c>
      <c r="B1525" s="138" t="s">
        <v>2297</v>
      </c>
      <c r="C1525" s="138" t="s">
        <v>441</v>
      </c>
      <c r="D1525" s="15">
        <v>50000000</v>
      </c>
      <c r="E1525" s="92">
        <v>0.89098281980000005</v>
      </c>
      <c r="F1525" s="18">
        <v>44549140.990000002</v>
      </c>
      <c r="G1525" s="18">
        <v>7.0000000000000007E-2</v>
      </c>
      <c r="H1525" s="13"/>
      <c r="I1525" s="13"/>
    </row>
    <row r="1526" spans="1:9">
      <c r="A1526" s="13" t="s">
        <v>2298</v>
      </c>
      <c r="B1526" s="138" t="s">
        <v>1872</v>
      </c>
      <c r="C1526" s="138" t="s">
        <v>441</v>
      </c>
      <c r="D1526" s="15">
        <v>40000000</v>
      </c>
      <c r="E1526" s="153">
        <v>0.92776180900000005</v>
      </c>
      <c r="F1526" s="18">
        <v>37110472.359999999</v>
      </c>
      <c r="G1526" s="18">
        <v>0.06</v>
      </c>
      <c r="H1526" s="13"/>
      <c r="I1526" s="13"/>
    </row>
    <row r="1527" spans="1:9">
      <c r="A1527" s="13" t="s">
        <v>2299</v>
      </c>
      <c r="B1527" s="138" t="s">
        <v>573</v>
      </c>
      <c r="C1527" s="138" t="s">
        <v>441</v>
      </c>
      <c r="D1527" s="15">
        <v>150000000</v>
      </c>
      <c r="E1527" s="92">
        <v>0.93407723350000005</v>
      </c>
      <c r="F1527" s="18">
        <v>140111585.03</v>
      </c>
      <c r="G1527" s="18">
        <v>0.23</v>
      </c>
      <c r="H1527" s="13"/>
      <c r="I1527" s="13"/>
    </row>
    <row r="1528" spans="1:9">
      <c r="A1528" s="13" t="s">
        <v>2300</v>
      </c>
      <c r="B1528" s="138" t="s">
        <v>598</v>
      </c>
      <c r="C1528" s="138" t="s">
        <v>441</v>
      </c>
      <c r="D1528" s="15">
        <v>150000000</v>
      </c>
      <c r="E1528" s="92">
        <v>0.95389926410000003</v>
      </c>
      <c r="F1528" s="18">
        <v>143084889.62</v>
      </c>
      <c r="G1528" s="18">
        <v>0.23</v>
      </c>
      <c r="H1528" s="13"/>
      <c r="I1528" s="13"/>
    </row>
    <row r="1529" spans="1:9">
      <c r="A1529" s="13" t="s">
        <v>2301</v>
      </c>
      <c r="B1529" s="138" t="s">
        <v>560</v>
      </c>
      <c r="C1529" s="138" t="s">
        <v>441</v>
      </c>
      <c r="D1529" s="15">
        <v>100000000</v>
      </c>
      <c r="E1529" s="92">
        <v>0.97385288609999998</v>
      </c>
      <c r="F1529" s="18">
        <v>97385288.609999999</v>
      </c>
      <c r="G1529" s="18">
        <v>0.16</v>
      </c>
      <c r="H1529" s="13"/>
      <c r="I1529" s="13"/>
    </row>
    <row r="1530" spans="1:9">
      <c r="A1530" s="13" t="s">
        <v>2302</v>
      </c>
      <c r="B1530" s="138" t="s">
        <v>575</v>
      </c>
      <c r="C1530" s="138" t="s">
        <v>441</v>
      </c>
      <c r="D1530" s="15">
        <v>150000000</v>
      </c>
      <c r="E1530" s="92">
        <v>0.94354256510000001</v>
      </c>
      <c r="F1530" s="18">
        <v>141531384.77000001</v>
      </c>
      <c r="G1530" s="18">
        <v>0.23</v>
      </c>
      <c r="H1530" s="13"/>
      <c r="I1530" s="13"/>
    </row>
    <row r="1531" spans="1:9">
      <c r="A1531" s="13" t="s">
        <v>2303</v>
      </c>
      <c r="B1531" s="138" t="s">
        <v>497</v>
      </c>
      <c r="C1531" s="138" t="s">
        <v>441</v>
      </c>
      <c r="D1531" s="15">
        <v>150000000</v>
      </c>
      <c r="E1531" s="92">
        <v>0.93946266730000005</v>
      </c>
      <c r="F1531" s="150">
        <v>140919400.09999999</v>
      </c>
      <c r="G1531" s="18">
        <v>0.23</v>
      </c>
      <c r="H1531" s="13"/>
      <c r="I1531" s="13"/>
    </row>
    <row r="1532" spans="1:9">
      <c r="A1532" s="13" t="s">
        <v>2304</v>
      </c>
      <c r="B1532" s="138" t="s">
        <v>553</v>
      </c>
      <c r="C1532" s="138" t="s">
        <v>441</v>
      </c>
      <c r="D1532" s="15">
        <v>150000000</v>
      </c>
      <c r="E1532" s="92">
        <v>0.95881056929999997</v>
      </c>
      <c r="F1532" s="150">
        <v>143821585.40000001</v>
      </c>
      <c r="G1532" s="18">
        <v>0.24</v>
      </c>
      <c r="H1532" s="13"/>
      <c r="I1532" s="13"/>
    </row>
    <row r="1533" spans="1:9">
      <c r="A1533" s="13" t="s">
        <v>2305</v>
      </c>
      <c r="B1533" s="138" t="s">
        <v>1872</v>
      </c>
      <c r="C1533" s="138" t="s">
        <v>441</v>
      </c>
      <c r="D1533" s="15">
        <v>150000000</v>
      </c>
      <c r="E1533" s="92">
        <v>0.93007860880000004</v>
      </c>
      <c r="F1533" s="18">
        <v>139511791.31999999</v>
      </c>
      <c r="G1533" s="18">
        <v>0.23</v>
      </c>
      <c r="H1533" s="13"/>
      <c r="I1533" s="13"/>
    </row>
    <row r="1534" spans="1:9">
      <c r="A1534" s="13" t="s">
        <v>2306</v>
      </c>
      <c r="B1534" s="138" t="s">
        <v>560</v>
      </c>
      <c r="C1534" s="138" t="s">
        <v>441</v>
      </c>
      <c r="D1534" s="18">
        <v>555972720.34000003</v>
      </c>
      <c r="E1534" s="92">
        <v>0.96484293610000005</v>
      </c>
      <c r="F1534" s="18">
        <v>536426351.88</v>
      </c>
      <c r="G1534" s="18">
        <v>0.88</v>
      </c>
      <c r="H1534" s="13"/>
      <c r="I1534" s="13"/>
    </row>
    <row r="1535" spans="1:9">
      <c r="A1535" s="13" t="s">
        <v>2307</v>
      </c>
      <c r="B1535" s="138" t="s">
        <v>568</v>
      </c>
      <c r="C1535" s="138" t="s">
        <v>441</v>
      </c>
      <c r="D1535" s="15">
        <v>50000000</v>
      </c>
      <c r="E1535" s="92">
        <v>0.94286026440000004</v>
      </c>
      <c r="F1535" s="18">
        <v>47143013.219999999</v>
      </c>
      <c r="G1535" s="18">
        <v>0.08</v>
      </c>
      <c r="H1535" s="13"/>
      <c r="I1535" s="13"/>
    </row>
    <row r="1536" spans="1:9">
      <c r="A1536" s="13" t="s">
        <v>2308</v>
      </c>
      <c r="B1536" s="138" t="s">
        <v>2126</v>
      </c>
      <c r="C1536" s="138" t="s">
        <v>441</v>
      </c>
      <c r="D1536" s="15">
        <v>850000000</v>
      </c>
      <c r="E1536" s="153">
        <v>0.92153100899999996</v>
      </c>
      <c r="F1536" s="18">
        <v>783301357.64999998</v>
      </c>
      <c r="G1536" s="18">
        <v>1.28</v>
      </c>
      <c r="H1536" s="13"/>
      <c r="I1536" s="13"/>
    </row>
    <row r="1537" spans="1:9">
      <c r="A1537" s="13" t="s">
        <v>2309</v>
      </c>
      <c r="B1537" s="138" t="s">
        <v>549</v>
      </c>
      <c r="C1537" s="138" t="s">
        <v>441</v>
      </c>
      <c r="D1537" s="15">
        <v>50000000</v>
      </c>
      <c r="E1537" s="153">
        <v>0.96234981100000005</v>
      </c>
      <c r="F1537" s="18">
        <v>48117490.549999997</v>
      </c>
      <c r="G1537" s="18">
        <v>0.08</v>
      </c>
      <c r="H1537" s="13"/>
      <c r="I1537" s="13"/>
    </row>
    <row r="1538" spans="1:9">
      <c r="A1538" s="13" t="s">
        <v>2310</v>
      </c>
      <c r="B1538" s="138" t="s">
        <v>450</v>
      </c>
      <c r="C1538" s="138" t="s">
        <v>441</v>
      </c>
      <c r="D1538" s="15">
        <v>50000000</v>
      </c>
      <c r="E1538" s="92">
        <v>0.98340345389999995</v>
      </c>
      <c r="F1538" s="150">
        <v>49170172.700000003</v>
      </c>
      <c r="G1538" s="18">
        <v>0.08</v>
      </c>
      <c r="H1538" s="13"/>
      <c r="I1538" s="13"/>
    </row>
    <row r="1539" spans="1:9">
      <c r="A1539" s="13" t="s">
        <v>2311</v>
      </c>
      <c r="B1539" s="138" t="s">
        <v>544</v>
      </c>
      <c r="C1539" s="138" t="s">
        <v>441</v>
      </c>
      <c r="D1539" s="18">
        <v>43906518.189999998</v>
      </c>
      <c r="E1539" s="92">
        <v>0.96306083850000002</v>
      </c>
      <c r="F1539" s="18">
        <v>42284648.219999999</v>
      </c>
      <c r="G1539" s="18">
        <v>7.0000000000000007E-2</v>
      </c>
      <c r="H1539" s="13"/>
      <c r="I1539" s="13"/>
    </row>
    <row r="1540" spans="1:9">
      <c r="A1540" s="13" t="s">
        <v>2312</v>
      </c>
      <c r="B1540" s="138" t="s">
        <v>544</v>
      </c>
      <c r="C1540" s="138" t="s">
        <v>441</v>
      </c>
      <c r="D1540" s="18">
        <v>42705929.289999999</v>
      </c>
      <c r="E1540" s="92">
        <v>0.96306083850000002</v>
      </c>
      <c r="F1540" s="18">
        <v>41128408.07</v>
      </c>
      <c r="G1540" s="18">
        <v>7.0000000000000007E-2</v>
      </c>
      <c r="H1540" s="13"/>
      <c r="I1540" s="13"/>
    </row>
    <row r="1541" spans="1:9">
      <c r="A1541" s="13" t="s">
        <v>2313</v>
      </c>
      <c r="B1541" s="138" t="s">
        <v>544</v>
      </c>
      <c r="C1541" s="138" t="s">
        <v>441</v>
      </c>
      <c r="D1541" s="18">
        <v>43306223.729999997</v>
      </c>
      <c r="E1541" s="92">
        <v>0.96306083850000002</v>
      </c>
      <c r="F1541" s="18">
        <v>41706528.140000001</v>
      </c>
      <c r="G1541" s="18">
        <v>7.0000000000000007E-2</v>
      </c>
      <c r="H1541" s="13"/>
      <c r="I1541" s="13"/>
    </row>
    <row r="1542" spans="1:9">
      <c r="A1542" s="13" t="s">
        <v>2324</v>
      </c>
      <c r="B1542" s="138" t="s">
        <v>497</v>
      </c>
      <c r="C1542" s="138" t="s">
        <v>535</v>
      </c>
      <c r="D1542" s="15">
        <v>25000000</v>
      </c>
      <c r="E1542" s="92">
        <v>0.92545657280000004</v>
      </c>
      <c r="F1542" s="18">
        <v>23136414.32</v>
      </c>
      <c r="G1542" s="18">
        <v>0.04</v>
      </c>
      <c r="H1542" s="13"/>
      <c r="I1542" s="13"/>
    </row>
    <row r="1543" spans="1:9">
      <c r="A1543" s="13" t="s">
        <v>2325</v>
      </c>
      <c r="B1543" s="138" t="s">
        <v>549</v>
      </c>
      <c r="C1543" s="138" t="s">
        <v>535</v>
      </c>
      <c r="D1543" s="15">
        <v>20000000</v>
      </c>
      <c r="E1543" s="92">
        <v>0.95337618629999998</v>
      </c>
      <c r="F1543" s="18">
        <v>19067523.73</v>
      </c>
      <c r="G1543" s="18">
        <v>0.03</v>
      </c>
      <c r="H1543" s="13"/>
      <c r="I1543" s="13"/>
    </row>
    <row r="1544" spans="1:9">
      <c r="A1544" s="13" t="s">
        <v>2326</v>
      </c>
      <c r="B1544" s="138" t="s">
        <v>600</v>
      </c>
      <c r="C1544" s="138" t="s">
        <v>535</v>
      </c>
      <c r="D1544" s="15">
        <v>20000000</v>
      </c>
      <c r="E1544" s="92">
        <v>0.94990257450000004</v>
      </c>
      <c r="F1544" s="18">
        <v>18998051.489999998</v>
      </c>
      <c r="G1544" s="18">
        <v>0.03</v>
      </c>
      <c r="H1544" s="13"/>
      <c r="I1544" s="13"/>
    </row>
    <row r="1545" spans="1:9">
      <c r="A1545" s="13" t="s">
        <v>2327</v>
      </c>
      <c r="B1545" s="138" t="s">
        <v>607</v>
      </c>
      <c r="C1545" s="138" t="s">
        <v>535</v>
      </c>
      <c r="D1545" s="15">
        <v>10950000</v>
      </c>
      <c r="E1545" s="92">
        <v>0.9789722206</v>
      </c>
      <c r="F1545" s="18">
        <v>10719745.82</v>
      </c>
      <c r="G1545" s="18">
        <v>0.02</v>
      </c>
      <c r="H1545" s="13"/>
      <c r="I1545" s="13"/>
    </row>
    <row r="1546" spans="1:9">
      <c r="A1546" s="13" t="s">
        <v>2328</v>
      </c>
      <c r="B1546" s="138" t="s">
        <v>456</v>
      </c>
      <c r="C1546" s="138" t="s">
        <v>535</v>
      </c>
      <c r="D1546" s="15">
        <v>10950000</v>
      </c>
      <c r="E1546" s="92">
        <v>0.98414598090000005</v>
      </c>
      <c r="F1546" s="18">
        <v>10776398.49</v>
      </c>
      <c r="G1546" s="18">
        <v>0.02</v>
      </c>
      <c r="H1546" s="13"/>
      <c r="I1546" s="13"/>
    </row>
    <row r="1547" spans="1:9">
      <c r="A1547" s="13" t="s">
        <v>2329</v>
      </c>
      <c r="B1547" s="138" t="s">
        <v>544</v>
      </c>
      <c r="C1547" s="138" t="s">
        <v>535</v>
      </c>
      <c r="D1547" s="15">
        <v>10950000</v>
      </c>
      <c r="E1547" s="92">
        <v>0.96306068860000005</v>
      </c>
      <c r="F1547" s="18">
        <v>10545514.539999999</v>
      </c>
      <c r="G1547" s="18">
        <v>0.02</v>
      </c>
      <c r="H1547" s="13"/>
      <c r="I1547" s="13"/>
    </row>
    <row r="1548" spans="1:9">
      <c r="A1548" s="13" t="s">
        <v>2330</v>
      </c>
      <c r="B1548" s="138" t="s">
        <v>560</v>
      </c>
      <c r="C1548" s="138" t="s">
        <v>535</v>
      </c>
      <c r="D1548" s="15">
        <v>10950000</v>
      </c>
      <c r="E1548" s="92">
        <v>0.97385274509999997</v>
      </c>
      <c r="F1548" s="18">
        <v>10663687.560000001</v>
      </c>
      <c r="G1548" s="18">
        <v>0.02</v>
      </c>
      <c r="H1548" s="13"/>
      <c r="I1548" s="13"/>
    </row>
    <row r="1549" spans="1:9">
      <c r="A1549" s="13" t="s">
        <v>2331</v>
      </c>
      <c r="B1549" s="138" t="s">
        <v>549</v>
      </c>
      <c r="C1549" s="138" t="s">
        <v>535</v>
      </c>
      <c r="D1549" s="15">
        <v>40000000</v>
      </c>
      <c r="E1549" s="92">
        <v>0.95464788170000003</v>
      </c>
      <c r="F1549" s="18">
        <v>38185915.270000003</v>
      </c>
      <c r="G1549" s="18">
        <v>0.06</v>
      </c>
      <c r="H1549" s="13"/>
      <c r="I1549" s="13"/>
    </row>
    <row r="1550" spans="1:9">
      <c r="A1550" s="13" t="s">
        <v>2332</v>
      </c>
      <c r="B1550" s="138" t="s">
        <v>1271</v>
      </c>
      <c r="C1550" s="138" t="s">
        <v>535</v>
      </c>
      <c r="D1550" s="15">
        <v>2000000</v>
      </c>
      <c r="E1550" s="92">
        <v>0.90656213429999999</v>
      </c>
      <c r="F1550" s="18">
        <v>1813124.27</v>
      </c>
      <c r="G1550" s="15">
        <v>0</v>
      </c>
      <c r="H1550" s="13"/>
      <c r="I1550" s="13"/>
    </row>
    <row r="1551" spans="1:9">
      <c r="A1551" s="13" t="s">
        <v>2333</v>
      </c>
      <c r="B1551" s="138" t="s">
        <v>531</v>
      </c>
      <c r="C1551" s="138" t="s">
        <v>535</v>
      </c>
      <c r="D1551" s="15">
        <v>2000000</v>
      </c>
      <c r="E1551" s="92">
        <v>0.96678505039999996</v>
      </c>
      <c r="F1551" s="150">
        <v>1933570.1</v>
      </c>
      <c r="G1551" s="15">
        <v>0</v>
      </c>
      <c r="H1551" s="13"/>
      <c r="I1551" s="13"/>
    </row>
    <row r="1552" spans="1:9">
      <c r="A1552" s="13" t="s">
        <v>2334</v>
      </c>
      <c r="B1552" s="138" t="s">
        <v>950</v>
      </c>
      <c r="C1552" s="138" t="s">
        <v>535</v>
      </c>
      <c r="D1552" s="15">
        <v>2000000</v>
      </c>
      <c r="E1552" s="28">
        <v>0.93968032000000001</v>
      </c>
      <c r="F1552" s="18">
        <v>1879360.64</v>
      </c>
      <c r="G1552" s="15">
        <v>0</v>
      </c>
      <c r="H1552" s="13"/>
      <c r="I1552" s="13"/>
    </row>
    <row r="1553" spans="1:9">
      <c r="A1553" s="13" t="s">
        <v>2335</v>
      </c>
      <c r="B1553" s="138" t="s">
        <v>1567</v>
      </c>
      <c r="C1553" s="138" t="s">
        <v>535</v>
      </c>
      <c r="D1553" s="15">
        <v>2000000</v>
      </c>
      <c r="E1553" s="92">
        <v>0.87639285369999997</v>
      </c>
      <c r="F1553" s="18">
        <v>1752785.71</v>
      </c>
      <c r="G1553" s="15">
        <v>0</v>
      </c>
      <c r="H1553" s="13"/>
      <c r="I1553" s="13"/>
    </row>
    <row r="1554" spans="1:9">
      <c r="A1554" s="13" t="s">
        <v>2336</v>
      </c>
      <c r="B1554" s="138" t="s">
        <v>2337</v>
      </c>
      <c r="C1554" s="138" t="s">
        <v>535</v>
      </c>
      <c r="D1554" s="15">
        <v>2000000</v>
      </c>
      <c r="E1554" s="92">
        <v>0.87224592479999996</v>
      </c>
      <c r="F1554" s="18">
        <v>1744491.85</v>
      </c>
      <c r="G1554" s="15">
        <v>0</v>
      </c>
      <c r="H1554" s="13"/>
      <c r="I1554" s="13"/>
    </row>
    <row r="1555" spans="1:9">
      <c r="A1555" s="13" t="s">
        <v>2338</v>
      </c>
      <c r="B1555" s="138" t="s">
        <v>591</v>
      </c>
      <c r="C1555" s="138" t="s">
        <v>535</v>
      </c>
      <c r="D1555" s="15">
        <v>7000000</v>
      </c>
      <c r="E1555" s="92">
        <v>0.94373776379999996</v>
      </c>
      <c r="F1555" s="18">
        <v>6606164.3499999996</v>
      </c>
      <c r="G1555" s="18">
        <v>0.01</v>
      </c>
      <c r="H1555" s="13"/>
      <c r="I1555" s="13"/>
    </row>
    <row r="1556" spans="1:9">
      <c r="A1556" s="13" t="s">
        <v>2339</v>
      </c>
      <c r="B1556" s="138" t="s">
        <v>593</v>
      </c>
      <c r="C1556" s="138" t="s">
        <v>535</v>
      </c>
      <c r="D1556" s="15">
        <v>7000000</v>
      </c>
      <c r="E1556" s="92">
        <v>0.9429090403</v>
      </c>
      <c r="F1556" s="18">
        <v>6600363.2800000003</v>
      </c>
      <c r="G1556" s="18">
        <v>0.01</v>
      </c>
      <c r="H1556" s="13"/>
      <c r="I1556" s="13"/>
    </row>
    <row r="1557" spans="1:9">
      <c r="A1557" s="13" t="s">
        <v>2340</v>
      </c>
      <c r="B1557" s="138" t="s">
        <v>647</v>
      </c>
      <c r="C1557" s="138" t="s">
        <v>535</v>
      </c>
      <c r="D1557" s="15">
        <v>5053996</v>
      </c>
      <c r="E1557" s="92">
        <v>0.98531477079999996</v>
      </c>
      <c r="F1557" s="18">
        <v>4979776.91</v>
      </c>
      <c r="G1557" s="18">
        <v>0.01</v>
      </c>
      <c r="H1557" s="13"/>
      <c r="I1557" s="13"/>
    </row>
    <row r="1558" spans="1:9">
      <c r="A1558" s="13" t="s">
        <v>2401</v>
      </c>
      <c r="B1558" s="138" t="s">
        <v>1148</v>
      </c>
      <c r="C1558" s="138" t="s">
        <v>342</v>
      </c>
      <c r="D1558" s="15">
        <v>26000000</v>
      </c>
      <c r="E1558" s="153">
        <v>0.92606693500000004</v>
      </c>
      <c r="F1558" s="18">
        <v>24077740.309999999</v>
      </c>
      <c r="G1558" s="18">
        <v>0.04</v>
      </c>
      <c r="H1558" s="13"/>
      <c r="I1558" s="13"/>
    </row>
    <row r="1559" spans="1:9">
      <c r="A1559" s="13" t="s">
        <v>2402</v>
      </c>
      <c r="B1559" s="138" t="s">
        <v>740</v>
      </c>
      <c r="C1559" s="138" t="s">
        <v>342</v>
      </c>
      <c r="D1559" s="15">
        <v>10000000</v>
      </c>
      <c r="E1559" s="153">
        <v>0.94047946500000001</v>
      </c>
      <c r="F1559" s="18">
        <v>9404794.6500000004</v>
      </c>
      <c r="G1559" s="18">
        <v>0.02</v>
      </c>
      <c r="H1559" s="13"/>
      <c r="I1559" s="13"/>
    </row>
    <row r="1560" spans="1:9">
      <c r="A1560" s="13" t="s">
        <v>2403</v>
      </c>
      <c r="B1560" s="138" t="s">
        <v>568</v>
      </c>
      <c r="C1560" s="138" t="s">
        <v>342</v>
      </c>
      <c r="D1560" s="15">
        <v>10000000</v>
      </c>
      <c r="E1560" s="92">
        <v>0.93902760780000005</v>
      </c>
      <c r="F1560" s="18">
        <v>9390276.0800000001</v>
      </c>
      <c r="G1560" s="18">
        <v>0.02</v>
      </c>
      <c r="H1560" s="13"/>
      <c r="I1560" s="13"/>
    </row>
    <row r="1561" spans="1:9">
      <c r="A1561" s="13" t="s">
        <v>2404</v>
      </c>
      <c r="B1561" s="138" t="s">
        <v>575</v>
      </c>
      <c r="C1561" s="138" t="s">
        <v>342</v>
      </c>
      <c r="D1561" s="15">
        <v>10000000</v>
      </c>
      <c r="E1561" s="92">
        <v>0.93975297560000004</v>
      </c>
      <c r="F1561" s="18">
        <v>9397529.7599999998</v>
      </c>
      <c r="G1561" s="18">
        <v>0.02</v>
      </c>
      <c r="H1561" s="13"/>
      <c r="I1561" s="13"/>
    </row>
    <row r="1562" spans="1:9">
      <c r="A1562" s="13" t="s">
        <v>2405</v>
      </c>
      <c r="B1562" s="138" t="s">
        <v>734</v>
      </c>
      <c r="C1562" s="138" t="s">
        <v>342</v>
      </c>
      <c r="D1562" s="15">
        <v>40000000</v>
      </c>
      <c r="E1562" s="92">
        <v>0.93613752890000002</v>
      </c>
      <c r="F1562" s="18">
        <v>37445501.159999996</v>
      </c>
      <c r="G1562" s="18">
        <v>0.06</v>
      </c>
      <c r="H1562" s="13"/>
      <c r="I1562" s="13"/>
    </row>
    <row r="1563" spans="1:9">
      <c r="A1563" s="13" t="s">
        <v>2406</v>
      </c>
      <c r="B1563" s="138" t="s">
        <v>549</v>
      </c>
      <c r="C1563" s="138" t="s">
        <v>342</v>
      </c>
      <c r="D1563" s="15">
        <v>40000000</v>
      </c>
      <c r="E1563" s="92">
        <v>0.95976860630000005</v>
      </c>
      <c r="F1563" s="18">
        <v>38390744.25</v>
      </c>
      <c r="G1563" s="18">
        <v>0.06</v>
      </c>
      <c r="H1563" s="13"/>
      <c r="I1563" s="13"/>
    </row>
    <row r="1564" spans="1:9">
      <c r="A1564" s="13" t="s">
        <v>2407</v>
      </c>
      <c r="B1564" s="138" t="s">
        <v>575</v>
      </c>
      <c r="C1564" s="138" t="s">
        <v>342</v>
      </c>
      <c r="D1564" s="15">
        <v>11000000</v>
      </c>
      <c r="E1564" s="92">
        <v>0.93975297560000004</v>
      </c>
      <c r="F1564" s="18">
        <v>10337282.73</v>
      </c>
      <c r="G1564" s="18">
        <v>0.02</v>
      </c>
      <c r="H1564" s="13"/>
      <c r="I1564" s="13"/>
    </row>
    <row r="1565" spans="1:9">
      <c r="A1565" s="13" t="s">
        <v>2408</v>
      </c>
      <c r="B1565" s="138" t="s">
        <v>950</v>
      </c>
      <c r="C1565" s="138" t="s">
        <v>342</v>
      </c>
      <c r="D1565" s="15">
        <v>11000000</v>
      </c>
      <c r="E1565" s="92">
        <v>0.94486163160000003</v>
      </c>
      <c r="F1565" s="18">
        <v>10393477.949999999</v>
      </c>
      <c r="G1565" s="18">
        <v>0.02</v>
      </c>
      <c r="H1565" s="13"/>
      <c r="I1565" s="13"/>
    </row>
    <row r="1566" spans="1:9">
      <c r="A1566" s="13" t="s">
        <v>2409</v>
      </c>
      <c r="B1566" s="138" t="s">
        <v>591</v>
      </c>
      <c r="C1566" s="138" t="s">
        <v>342</v>
      </c>
      <c r="D1566" s="15">
        <v>11000000</v>
      </c>
      <c r="E1566" s="92">
        <v>0.95002613260000002</v>
      </c>
      <c r="F1566" s="18">
        <v>10450287.460000001</v>
      </c>
      <c r="G1566" s="18">
        <v>0.02</v>
      </c>
      <c r="H1566" s="13"/>
      <c r="I1566" s="13"/>
    </row>
    <row r="1567" spans="1:9">
      <c r="A1567" s="13" t="s">
        <v>2410</v>
      </c>
      <c r="B1567" s="138" t="s">
        <v>577</v>
      </c>
      <c r="C1567" s="138" t="s">
        <v>342</v>
      </c>
      <c r="D1567" s="15">
        <v>9000000</v>
      </c>
      <c r="E1567" s="92">
        <v>0.9731257593</v>
      </c>
      <c r="F1567" s="18">
        <v>8758131.8300000001</v>
      </c>
      <c r="G1567" s="18">
        <v>0.01</v>
      </c>
      <c r="H1567" s="13"/>
      <c r="I1567" s="13"/>
    </row>
    <row r="1568" spans="1:9">
      <c r="A1568" s="13" t="s">
        <v>2411</v>
      </c>
      <c r="B1568" s="138" t="s">
        <v>560</v>
      </c>
      <c r="C1568" s="138" t="s">
        <v>342</v>
      </c>
      <c r="D1568" s="15">
        <v>9000000</v>
      </c>
      <c r="E1568" s="92">
        <v>0.97385280149999998</v>
      </c>
      <c r="F1568" s="18">
        <v>8764675.2100000009</v>
      </c>
      <c r="G1568" s="18">
        <v>0.01</v>
      </c>
      <c r="H1568" s="13"/>
      <c r="I1568" s="13"/>
    </row>
    <row r="1569" spans="1:9">
      <c r="A1569" s="13" t="s">
        <v>2412</v>
      </c>
      <c r="B1569" s="138" t="s">
        <v>930</v>
      </c>
      <c r="C1569" s="138" t="s">
        <v>342</v>
      </c>
      <c r="D1569" s="15">
        <v>9000000</v>
      </c>
      <c r="E1569" s="92">
        <v>0.9745809312</v>
      </c>
      <c r="F1569" s="18">
        <v>8771228.3800000008</v>
      </c>
      <c r="G1569" s="18">
        <v>0.01</v>
      </c>
      <c r="H1569" s="13"/>
      <c r="I1569" s="13"/>
    </row>
    <row r="1570" spans="1:9">
      <c r="A1570" s="13" t="s">
        <v>2382</v>
      </c>
      <c r="B1570" s="138" t="s">
        <v>603</v>
      </c>
      <c r="C1570" s="138" t="s">
        <v>342</v>
      </c>
      <c r="D1570" s="15">
        <v>9000000</v>
      </c>
      <c r="E1570" s="92">
        <v>0.97677166810000005</v>
      </c>
      <c r="F1570" s="18">
        <v>8790945.0099999998</v>
      </c>
      <c r="G1570" s="18">
        <v>0.01</v>
      </c>
      <c r="H1570" s="13"/>
      <c r="I1570" s="13"/>
    </row>
    <row r="1571" spans="1:9">
      <c r="A1571" s="13" t="s">
        <v>2383</v>
      </c>
      <c r="B1571" s="138" t="s">
        <v>544</v>
      </c>
      <c r="C1571" s="138" t="s">
        <v>342</v>
      </c>
      <c r="D1571" s="15">
        <v>5000000</v>
      </c>
      <c r="E1571" s="92">
        <v>0.96052638020000003</v>
      </c>
      <c r="F1571" s="150">
        <v>4802631.9000000004</v>
      </c>
      <c r="G1571" s="18">
        <v>0.01</v>
      </c>
      <c r="H1571" s="13"/>
      <c r="I1571" s="13"/>
    </row>
    <row r="1572" spans="1:9">
      <c r="A1572" s="13" t="s">
        <v>2384</v>
      </c>
      <c r="B1572" s="138" t="s">
        <v>553</v>
      </c>
      <c r="C1572" s="138" t="s">
        <v>342</v>
      </c>
      <c r="D1572" s="15">
        <v>5000000</v>
      </c>
      <c r="E1572" s="92">
        <v>0.95599805329999998</v>
      </c>
      <c r="F1572" s="18">
        <v>4779990.2699999996</v>
      </c>
      <c r="G1572" s="18">
        <v>0.01</v>
      </c>
      <c r="H1572" s="13"/>
      <c r="I1572" s="13"/>
    </row>
    <row r="1573" spans="1:9">
      <c r="A1573" s="13" t="s">
        <v>2385</v>
      </c>
      <c r="B1573" s="138" t="s">
        <v>598</v>
      </c>
      <c r="C1573" s="138" t="s">
        <v>342</v>
      </c>
      <c r="D1573" s="15">
        <v>5000000</v>
      </c>
      <c r="E1573" s="92">
        <v>0.95076859930000002</v>
      </c>
      <c r="F1573" s="15">
        <v>4753843</v>
      </c>
      <c r="G1573" s="18">
        <v>0.01</v>
      </c>
      <c r="H1573" s="13"/>
      <c r="I1573" s="13"/>
    </row>
    <row r="1574" spans="1:9">
      <c r="A1574" s="13" t="s">
        <v>2386</v>
      </c>
      <c r="B1574" s="138" t="s">
        <v>1391</v>
      </c>
      <c r="C1574" s="138" t="s">
        <v>342</v>
      </c>
      <c r="D1574" s="15">
        <v>10000000</v>
      </c>
      <c r="E1574" s="92">
        <v>0.94120684639999996</v>
      </c>
      <c r="F1574" s="18">
        <v>9412068.4600000009</v>
      </c>
      <c r="G1574" s="18">
        <v>0.02</v>
      </c>
      <c r="H1574" s="13"/>
      <c r="I1574" s="13"/>
    </row>
    <row r="1575" spans="1:9">
      <c r="A1575" s="13" t="s">
        <v>2387</v>
      </c>
      <c r="B1575" s="138" t="s">
        <v>1498</v>
      </c>
      <c r="C1575" s="138" t="s">
        <v>342</v>
      </c>
      <c r="D1575" s="15">
        <v>10000000</v>
      </c>
      <c r="E1575" s="92">
        <v>0.93326518489999999</v>
      </c>
      <c r="F1575" s="18">
        <v>9332651.8499999996</v>
      </c>
      <c r="G1575" s="18">
        <v>0.02</v>
      </c>
      <c r="H1575" s="13"/>
      <c r="I1575" s="13"/>
    </row>
    <row r="1576" spans="1:9">
      <c r="A1576" s="13" t="s">
        <v>2388</v>
      </c>
      <c r="B1576" s="138" t="s">
        <v>1498</v>
      </c>
      <c r="C1576" s="138" t="s">
        <v>342</v>
      </c>
      <c r="D1576" s="15">
        <v>15000000</v>
      </c>
      <c r="E1576" s="92">
        <v>0.93119374889999995</v>
      </c>
      <c r="F1576" s="18">
        <v>13967906.23</v>
      </c>
      <c r="G1576" s="18">
        <v>0.02</v>
      </c>
      <c r="H1576" s="13"/>
      <c r="I1576" s="13"/>
    </row>
    <row r="1577" spans="1:9">
      <c r="A1577" s="13" t="s">
        <v>2389</v>
      </c>
      <c r="B1577" s="138" t="s">
        <v>884</v>
      </c>
      <c r="C1577" s="138" t="s">
        <v>342</v>
      </c>
      <c r="D1577" s="15">
        <v>15000000</v>
      </c>
      <c r="E1577" s="153">
        <v>0.92679594600000004</v>
      </c>
      <c r="F1577" s="18">
        <v>13901939.189999999</v>
      </c>
      <c r="G1577" s="18">
        <v>0.02</v>
      </c>
      <c r="H1577" s="13"/>
      <c r="I1577" s="13"/>
    </row>
    <row r="1578" spans="1:9">
      <c r="A1578" s="13" t="s">
        <v>2390</v>
      </c>
      <c r="B1578" s="138" t="s">
        <v>571</v>
      </c>
      <c r="C1578" s="138" t="s">
        <v>342</v>
      </c>
      <c r="D1578" s="15">
        <v>15000000</v>
      </c>
      <c r="E1578" s="92">
        <v>0.93266913250000005</v>
      </c>
      <c r="F1578" s="18">
        <v>13990036.99</v>
      </c>
      <c r="G1578" s="18">
        <v>0.02</v>
      </c>
      <c r="H1578" s="13"/>
      <c r="I1578" s="13"/>
    </row>
    <row r="1579" spans="1:9">
      <c r="A1579" s="13" t="s">
        <v>2391</v>
      </c>
      <c r="B1579" s="138" t="s">
        <v>704</v>
      </c>
      <c r="C1579" s="138" t="s">
        <v>342</v>
      </c>
      <c r="D1579" s="15">
        <v>15000000</v>
      </c>
      <c r="E1579" s="92">
        <v>0.92388700369999999</v>
      </c>
      <c r="F1579" s="18">
        <v>13858305.060000001</v>
      </c>
      <c r="G1579" s="18">
        <v>0.02</v>
      </c>
      <c r="H1579" s="13"/>
      <c r="I1579" s="13"/>
    </row>
    <row r="1580" spans="1:9">
      <c r="A1580" s="13" t="s">
        <v>2392</v>
      </c>
      <c r="B1580" s="138" t="s">
        <v>573</v>
      </c>
      <c r="C1580" s="138" t="s">
        <v>342</v>
      </c>
      <c r="D1580" s="15">
        <v>15000000</v>
      </c>
      <c r="E1580" s="92">
        <v>0.92752610639999999</v>
      </c>
      <c r="F1580" s="150">
        <v>13912891.6</v>
      </c>
      <c r="G1580" s="18">
        <v>0.02</v>
      </c>
      <c r="H1580" s="13"/>
      <c r="I1580" s="13"/>
    </row>
    <row r="1581" spans="1:9">
      <c r="A1581" s="13" t="s">
        <v>2393</v>
      </c>
      <c r="B1581" s="138" t="s">
        <v>577</v>
      </c>
      <c r="C1581" s="138" t="s">
        <v>342</v>
      </c>
      <c r="D1581" s="15">
        <v>14000000</v>
      </c>
      <c r="E1581" s="92">
        <v>0.97312575840000004</v>
      </c>
      <c r="F1581" s="18">
        <v>13623760.619999999</v>
      </c>
      <c r="G1581" s="18">
        <v>0.02</v>
      </c>
      <c r="H1581" s="13"/>
      <c r="I1581" s="13"/>
    </row>
    <row r="1582" spans="1:9">
      <c r="A1582" s="13" t="s">
        <v>2394</v>
      </c>
      <c r="B1582" s="138" t="s">
        <v>571</v>
      </c>
      <c r="C1582" s="138" t="s">
        <v>342</v>
      </c>
      <c r="D1582" s="15">
        <v>3000000</v>
      </c>
      <c r="E1582" s="92">
        <v>0.93469926650000001</v>
      </c>
      <c r="F1582" s="150">
        <v>2804097.8</v>
      </c>
      <c r="G1582" s="15">
        <v>0</v>
      </c>
      <c r="H1582" s="13"/>
      <c r="I1582" s="13"/>
    </row>
    <row r="1583" spans="1:9">
      <c r="A1583" s="13" t="s">
        <v>2395</v>
      </c>
      <c r="B1583" s="138" t="s">
        <v>740</v>
      </c>
      <c r="C1583" s="138" t="s">
        <v>342</v>
      </c>
      <c r="D1583" s="15">
        <v>3000000</v>
      </c>
      <c r="E1583" s="92">
        <v>0.94047946319999998</v>
      </c>
      <c r="F1583" s="18">
        <v>2821438.39</v>
      </c>
      <c r="G1583" s="15">
        <v>0</v>
      </c>
      <c r="H1583" s="13"/>
      <c r="I1583" s="13"/>
    </row>
    <row r="1584" spans="1:9">
      <c r="A1584" s="13" t="s">
        <v>2396</v>
      </c>
      <c r="B1584" s="138" t="s">
        <v>585</v>
      </c>
      <c r="C1584" s="138" t="s">
        <v>342</v>
      </c>
      <c r="D1584" s="15">
        <v>3000000</v>
      </c>
      <c r="E1584" s="92">
        <v>0.95449792680000001</v>
      </c>
      <c r="F1584" s="18">
        <v>2863493.78</v>
      </c>
      <c r="G1584" s="15">
        <v>0</v>
      </c>
      <c r="H1584" s="13"/>
      <c r="I1584" s="13"/>
    </row>
    <row r="1585" spans="1:9">
      <c r="A1585" s="13" t="s">
        <v>2397</v>
      </c>
      <c r="B1585" s="138" t="s">
        <v>591</v>
      </c>
      <c r="C1585" s="138" t="s">
        <v>342</v>
      </c>
      <c r="D1585" s="15">
        <v>3000000</v>
      </c>
      <c r="E1585" s="92">
        <v>0.95002612939999997</v>
      </c>
      <c r="F1585" s="18">
        <v>2850078.39</v>
      </c>
      <c r="G1585" s="15">
        <v>0</v>
      </c>
      <c r="H1585" s="13"/>
      <c r="I1585" s="13"/>
    </row>
    <row r="1586" spans="1:9">
      <c r="A1586" s="13" t="s">
        <v>2398</v>
      </c>
      <c r="B1586" s="138" t="s">
        <v>497</v>
      </c>
      <c r="C1586" s="138" t="s">
        <v>342</v>
      </c>
      <c r="D1586" s="15">
        <v>25000000</v>
      </c>
      <c r="E1586" s="28">
        <v>0.93541795999999999</v>
      </c>
      <c r="F1586" s="15">
        <v>23385449</v>
      </c>
      <c r="G1586" s="18">
        <v>0.04</v>
      </c>
      <c r="H1586" s="13"/>
      <c r="I1586" s="13"/>
    </row>
    <row r="1587" spans="1:9">
      <c r="A1587" s="13" t="s">
        <v>2399</v>
      </c>
      <c r="B1587" s="138" t="s">
        <v>890</v>
      </c>
      <c r="C1587" s="138" t="s">
        <v>342</v>
      </c>
      <c r="D1587" s="15">
        <v>25000000</v>
      </c>
      <c r="E1587" s="92">
        <v>0.94559604180000001</v>
      </c>
      <c r="F1587" s="18">
        <v>23639901.050000001</v>
      </c>
      <c r="G1587" s="18">
        <v>0.04</v>
      </c>
      <c r="H1587" s="13"/>
      <c r="I1587" s="13"/>
    </row>
    <row r="1588" spans="1:9">
      <c r="A1588" s="13" t="s">
        <v>2400</v>
      </c>
      <c r="B1588" s="138" t="s">
        <v>1872</v>
      </c>
      <c r="C1588" s="138" t="s">
        <v>342</v>
      </c>
      <c r="D1588" s="15">
        <v>25000000</v>
      </c>
      <c r="E1588" s="92">
        <v>0.92545642159999997</v>
      </c>
      <c r="F1588" s="18">
        <v>23136410.539999999</v>
      </c>
      <c r="G1588" s="18">
        <v>0.04</v>
      </c>
      <c r="H1588" s="13"/>
      <c r="I1588" s="13"/>
    </row>
    <row r="1589" spans="1:9">
      <c r="A1589" s="13" t="s">
        <v>2375</v>
      </c>
      <c r="B1589" s="138" t="s">
        <v>2374</v>
      </c>
      <c r="C1589" s="138" t="s">
        <v>342</v>
      </c>
      <c r="D1589" s="15">
        <v>25000000</v>
      </c>
      <c r="E1589" s="92">
        <v>0.85721016429999997</v>
      </c>
      <c r="F1589" s="18">
        <v>21430254.109999999</v>
      </c>
      <c r="G1589" s="18">
        <v>0.04</v>
      </c>
      <c r="H1589" s="13"/>
      <c r="I1589" s="13"/>
    </row>
    <row r="1590" spans="1:9">
      <c r="A1590" s="13" t="s">
        <v>2376</v>
      </c>
      <c r="B1590" s="138" t="s">
        <v>1148</v>
      </c>
      <c r="C1590" s="138" t="s">
        <v>342</v>
      </c>
      <c r="D1590" s="15">
        <v>25000000</v>
      </c>
      <c r="E1590" s="92">
        <v>0.9238635785</v>
      </c>
      <c r="F1590" s="18">
        <v>23096589.460000001</v>
      </c>
      <c r="G1590" s="18">
        <v>0.04</v>
      </c>
      <c r="H1590" s="13"/>
      <c r="I1590" s="13"/>
    </row>
    <row r="1591" spans="1:9">
      <c r="A1591" s="13" t="s">
        <v>2377</v>
      </c>
      <c r="B1591" s="138" t="s">
        <v>549</v>
      </c>
      <c r="C1591" s="138" t="s">
        <v>342</v>
      </c>
      <c r="D1591" s="15">
        <v>25000000</v>
      </c>
      <c r="E1591" s="92">
        <v>0.95976860630000005</v>
      </c>
      <c r="F1591" s="18">
        <v>23994215.16</v>
      </c>
      <c r="G1591" s="18">
        <v>0.04</v>
      </c>
      <c r="H1591" s="13"/>
      <c r="I1591" s="13"/>
    </row>
    <row r="1592" spans="1:9">
      <c r="A1592" s="13" t="s">
        <v>2378</v>
      </c>
      <c r="B1592" s="138" t="s">
        <v>591</v>
      </c>
      <c r="C1592" s="138" t="s">
        <v>342</v>
      </c>
      <c r="D1592" s="15">
        <v>25000000</v>
      </c>
      <c r="E1592" s="92">
        <v>0.95002613260000002</v>
      </c>
      <c r="F1592" s="18">
        <v>23750653.32</v>
      </c>
      <c r="G1592" s="18">
        <v>0.04</v>
      </c>
      <c r="H1592" s="13"/>
      <c r="I1592" s="13"/>
    </row>
    <row r="1593" spans="1:9">
      <c r="A1593" s="13" t="s">
        <v>2379</v>
      </c>
      <c r="B1593" s="138" t="s">
        <v>600</v>
      </c>
      <c r="C1593" s="138" t="s">
        <v>342</v>
      </c>
      <c r="D1593" s="15">
        <v>42000000</v>
      </c>
      <c r="E1593" s="92">
        <v>0.94584115160000004</v>
      </c>
      <c r="F1593" s="18">
        <v>39725328.369999997</v>
      </c>
      <c r="G1593" s="18">
        <v>7.0000000000000007E-2</v>
      </c>
      <c r="H1593" s="13"/>
      <c r="I1593" s="13"/>
    </row>
    <row r="1594" spans="1:9">
      <c r="A1594" s="13" t="s">
        <v>2380</v>
      </c>
      <c r="B1594" s="138" t="s">
        <v>555</v>
      </c>
      <c r="C1594" s="138" t="s">
        <v>342</v>
      </c>
      <c r="D1594" s="15">
        <v>40400000</v>
      </c>
      <c r="E1594" s="92">
        <v>0.94398189720000003</v>
      </c>
      <c r="F1594" s="18">
        <v>38136868.649999999</v>
      </c>
      <c r="G1594" s="18">
        <v>0.06</v>
      </c>
      <c r="H1594" s="13"/>
      <c r="I1594" s="13"/>
    </row>
    <row r="1595" spans="1:9">
      <c r="A1595" s="13" t="s">
        <v>2381</v>
      </c>
      <c r="B1595" s="138" t="s">
        <v>555</v>
      </c>
      <c r="C1595" s="138" t="s">
        <v>342</v>
      </c>
      <c r="D1595" s="15">
        <v>40400000</v>
      </c>
      <c r="E1595" s="92">
        <v>0.94398189720000003</v>
      </c>
      <c r="F1595" s="18">
        <v>38136868.649999999</v>
      </c>
      <c r="G1595" s="18">
        <v>0.06</v>
      </c>
      <c r="H1595" s="13"/>
      <c r="I1595" s="13"/>
    </row>
    <row r="1596" spans="1:9">
      <c r="A1596" s="13" t="s">
        <v>2348</v>
      </c>
      <c r="B1596" s="138" t="s">
        <v>1498</v>
      </c>
      <c r="C1596" s="138" t="s">
        <v>342</v>
      </c>
      <c r="D1596" s="15">
        <v>100000000</v>
      </c>
      <c r="E1596" s="92">
        <v>0.92503425230000003</v>
      </c>
      <c r="F1596" s="18">
        <v>92503425.230000004</v>
      </c>
      <c r="G1596" s="18">
        <v>0.15</v>
      </c>
      <c r="H1596" s="13"/>
      <c r="I1596" s="13"/>
    </row>
    <row r="1597" spans="1:9">
      <c r="A1597" s="13" t="s">
        <v>2349</v>
      </c>
      <c r="B1597" s="138" t="s">
        <v>533</v>
      </c>
      <c r="C1597" s="138" t="s">
        <v>342</v>
      </c>
      <c r="D1597" s="18">
        <v>88070645.049999997</v>
      </c>
      <c r="E1597" s="92">
        <v>0.98787494870000003</v>
      </c>
      <c r="F1597" s="18">
        <v>87002783.959999993</v>
      </c>
      <c r="G1597" s="18">
        <v>0.14000000000000001</v>
      </c>
      <c r="H1597" s="13"/>
      <c r="I1597" s="13"/>
    </row>
    <row r="1598" spans="1:9">
      <c r="A1598" s="13" t="s">
        <v>2350</v>
      </c>
      <c r="B1598" s="138" t="s">
        <v>489</v>
      </c>
      <c r="C1598" s="138" t="s">
        <v>342</v>
      </c>
      <c r="D1598" s="18">
        <v>48082135.859999999</v>
      </c>
      <c r="E1598" s="92">
        <v>0.96734886470000003</v>
      </c>
      <c r="F1598" s="18">
        <v>46512199.539999999</v>
      </c>
      <c r="G1598" s="18">
        <v>0.08</v>
      </c>
      <c r="H1598" s="13"/>
      <c r="I1598" s="13"/>
    </row>
    <row r="1599" spans="1:9">
      <c r="A1599" s="13" t="s">
        <v>2351</v>
      </c>
      <c r="B1599" s="138" t="s">
        <v>489</v>
      </c>
      <c r="C1599" s="138" t="s">
        <v>342</v>
      </c>
      <c r="D1599" s="18">
        <v>48082135.859999999</v>
      </c>
      <c r="E1599" s="92">
        <v>0.96734886470000003</v>
      </c>
      <c r="F1599" s="18">
        <v>46512199.539999999</v>
      </c>
      <c r="G1599" s="18">
        <v>0.08</v>
      </c>
      <c r="H1599" s="13"/>
      <c r="I1599" s="13"/>
    </row>
    <row r="1600" spans="1:9">
      <c r="A1600" s="13" t="s">
        <v>2352</v>
      </c>
      <c r="B1600" s="138" t="s">
        <v>489</v>
      </c>
      <c r="C1600" s="138" t="s">
        <v>342</v>
      </c>
      <c r="D1600" s="18">
        <v>48082135.859999999</v>
      </c>
      <c r="E1600" s="92">
        <v>0.96734886470000003</v>
      </c>
      <c r="F1600" s="18">
        <v>46512199.539999999</v>
      </c>
      <c r="G1600" s="18">
        <v>0.08</v>
      </c>
      <c r="H1600" s="13"/>
      <c r="I1600" s="13"/>
    </row>
    <row r="1601" spans="1:9">
      <c r="A1601" s="13" t="s">
        <v>2353</v>
      </c>
      <c r="B1601" s="138" t="s">
        <v>489</v>
      </c>
      <c r="C1601" s="138" t="s">
        <v>342</v>
      </c>
      <c r="D1601" s="18">
        <v>48082135.859999999</v>
      </c>
      <c r="E1601" s="92">
        <v>0.96734886470000003</v>
      </c>
      <c r="F1601" s="18">
        <v>46512199.539999999</v>
      </c>
      <c r="G1601" s="18">
        <v>0.08</v>
      </c>
      <c r="H1601" s="13"/>
      <c r="I1601" s="13"/>
    </row>
    <row r="1602" spans="1:9">
      <c r="A1602" s="13" t="s">
        <v>2354</v>
      </c>
      <c r="B1602" s="138" t="s">
        <v>489</v>
      </c>
      <c r="C1602" s="138" t="s">
        <v>342</v>
      </c>
      <c r="D1602" s="18">
        <v>68400163.159999996</v>
      </c>
      <c r="E1602" s="92">
        <v>0.96734886470000003</v>
      </c>
      <c r="F1602" s="18">
        <v>66166820.18</v>
      </c>
      <c r="G1602" s="18">
        <v>0.11</v>
      </c>
      <c r="H1602" s="13"/>
      <c r="I1602" s="13"/>
    </row>
    <row r="1603" spans="1:9">
      <c r="A1603" s="13" t="s">
        <v>2355</v>
      </c>
      <c r="B1603" s="138" t="s">
        <v>489</v>
      </c>
      <c r="C1603" s="138" t="s">
        <v>342</v>
      </c>
      <c r="D1603" s="18">
        <v>48082135.859999999</v>
      </c>
      <c r="E1603" s="92">
        <v>0.96734886470000003</v>
      </c>
      <c r="F1603" s="18">
        <v>46512199.539999999</v>
      </c>
      <c r="G1603" s="18">
        <v>0.08</v>
      </c>
      <c r="H1603" s="13"/>
      <c r="I1603" s="13"/>
    </row>
    <row r="1604" spans="1:9">
      <c r="A1604" s="13" t="s">
        <v>2356</v>
      </c>
      <c r="B1604" s="138" t="s">
        <v>489</v>
      </c>
      <c r="C1604" s="138" t="s">
        <v>342</v>
      </c>
      <c r="D1604" s="18">
        <v>48082135.859999999</v>
      </c>
      <c r="E1604" s="92">
        <v>0.96734886470000003</v>
      </c>
      <c r="F1604" s="18">
        <v>46512199.539999999</v>
      </c>
      <c r="G1604" s="18">
        <v>0.08</v>
      </c>
      <c r="H1604" s="13"/>
      <c r="I1604" s="13"/>
    </row>
    <row r="1605" spans="1:9">
      <c r="A1605" s="13" t="s">
        <v>2357</v>
      </c>
      <c r="B1605" s="138" t="s">
        <v>489</v>
      </c>
      <c r="C1605" s="138" t="s">
        <v>342</v>
      </c>
      <c r="D1605" s="18">
        <v>48082135.859999999</v>
      </c>
      <c r="E1605" s="92">
        <v>0.96734886470000003</v>
      </c>
      <c r="F1605" s="18">
        <v>46512199.539999999</v>
      </c>
      <c r="G1605" s="18">
        <v>0.08</v>
      </c>
      <c r="H1605" s="13"/>
      <c r="I1605" s="13"/>
    </row>
    <row r="1606" spans="1:9">
      <c r="A1606" s="13" t="s">
        <v>2358</v>
      </c>
      <c r="B1606" s="138" t="s">
        <v>489</v>
      </c>
      <c r="C1606" s="138" t="s">
        <v>342</v>
      </c>
      <c r="D1606" s="18">
        <v>48082135.859999999</v>
      </c>
      <c r="E1606" s="92">
        <v>0.96734886470000003</v>
      </c>
      <c r="F1606" s="18">
        <v>46512199.539999999</v>
      </c>
      <c r="G1606" s="18">
        <v>0.08</v>
      </c>
      <c r="H1606" s="13"/>
      <c r="I1606" s="13"/>
    </row>
    <row r="1607" spans="1:9">
      <c r="A1607" s="13" t="s">
        <v>2359</v>
      </c>
      <c r="B1607" s="138" t="s">
        <v>489</v>
      </c>
      <c r="C1607" s="138" t="s">
        <v>342</v>
      </c>
      <c r="D1607" s="18">
        <v>68400163.150000006</v>
      </c>
      <c r="E1607" s="92">
        <v>0.96734886470000003</v>
      </c>
      <c r="F1607" s="18">
        <v>66166820.170000002</v>
      </c>
      <c r="G1607" s="18">
        <v>0.11</v>
      </c>
      <c r="H1607" s="13"/>
      <c r="I1607" s="13"/>
    </row>
    <row r="1608" spans="1:9">
      <c r="A1608" s="13" t="s">
        <v>2360</v>
      </c>
      <c r="B1608" s="138" t="s">
        <v>489</v>
      </c>
      <c r="C1608" s="138" t="s">
        <v>342</v>
      </c>
      <c r="D1608" s="18">
        <v>48082135.869999997</v>
      </c>
      <c r="E1608" s="92">
        <v>0.96734886470000003</v>
      </c>
      <c r="F1608" s="18">
        <v>46512199.549999997</v>
      </c>
      <c r="G1608" s="18">
        <v>0.08</v>
      </c>
      <c r="H1608" s="13"/>
      <c r="I1608" s="13"/>
    </row>
    <row r="1609" spans="1:9">
      <c r="A1609" s="13" t="s">
        <v>2361</v>
      </c>
      <c r="B1609" s="138" t="s">
        <v>489</v>
      </c>
      <c r="C1609" s="138" t="s">
        <v>342</v>
      </c>
      <c r="D1609" s="18">
        <v>48082135.859999999</v>
      </c>
      <c r="E1609" s="92">
        <v>0.96734886470000003</v>
      </c>
      <c r="F1609" s="18">
        <v>46512199.539999999</v>
      </c>
      <c r="G1609" s="18">
        <v>0.08</v>
      </c>
      <c r="H1609" s="13"/>
      <c r="I1609" s="13"/>
    </row>
    <row r="1610" spans="1:9">
      <c r="A1610" s="13" t="s">
        <v>2345</v>
      </c>
      <c r="B1610" s="138" t="s">
        <v>2344</v>
      </c>
      <c r="C1610" s="138" t="s">
        <v>342</v>
      </c>
      <c r="D1610" s="15">
        <v>50000000</v>
      </c>
      <c r="E1610" s="92">
        <v>0.88403413119999996</v>
      </c>
      <c r="F1610" s="18">
        <v>44201706.560000002</v>
      </c>
      <c r="G1610" s="18">
        <v>7.0000000000000007E-2</v>
      </c>
      <c r="H1610" s="13"/>
      <c r="I1610" s="13"/>
    </row>
    <row r="1611" spans="1:9">
      <c r="A1611" s="13" t="s">
        <v>2346</v>
      </c>
      <c r="B1611" s="138" t="s">
        <v>267</v>
      </c>
      <c r="C1611" s="138" t="s">
        <v>342</v>
      </c>
      <c r="D1611" s="15">
        <v>50000000</v>
      </c>
      <c r="E1611" s="92">
        <v>0.90239327170000005</v>
      </c>
      <c r="F1611" s="18">
        <v>45119663.590000004</v>
      </c>
      <c r="G1611" s="18">
        <v>7.0000000000000007E-2</v>
      </c>
      <c r="H1611" s="13"/>
      <c r="I1611" s="13"/>
    </row>
    <row r="1612" spans="1:9">
      <c r="A1612" s="13" t="s">
        <v>2347</v>
      </c>
      <c r="B1612" s="138" t="s">
        <v>593</v>
      </c>
      <c r="C1612" s="138" t="s">
        <v>342</v>
      </c>
      <c r="D1612" s="15">
        <v>50000000</v>
      </c>
      <c r="E1612" s="153">
        <v>0.95250525799999997</v>
      </c>
      <c r="F1612" s="150">
        <v>47625262.899999999</v>
      </c>
      <c r="G1612" s="18">
        <v>0.08</v>
      </c>
      <c r="H1612" s="13"/>
      <c r="I1612" s="13"/>
    </row>
    <row r="1613" spans="1:9">
      <c r="A1613" s="13" t="s">
        <v>2367</v>
      </c>
      <c r="B1613" s="138" t="s">
        <v>527</v>
      </c>
      <c r="C1613" s="138" t="s">
        <v>342</v>
      </c>
      <c r="D1613" s="18">
        <v>6668567.0099999998</v>
      </c>
      <c r="E1613" s="92">
        <v>0.9736968574</v>
      </c>
      <c r="F1613" s="18">
        <v>6493162.7400000002</v>
      </c>
      <c r="G1613" s="18">
        <v>0.01</v>
      </c>
      <c r="H1613" s="13"/>
      <c r="I1613" s="13"/>
    </row>
    <row r="1614" spans="1:9">
      <c r="A1614" s="13" t="s">
        <v>2369</v>
      </c>
      <c r="B1614" s="138" t="s">
        <v>444</v>
      </c>
      <c r="C1614" s="138" t="s">
        <v>342</v>
      </c>
      <c r="D1614" s="18">
        <v>16968117.52</v>
      </c>
      <c r="E1614" s="92">
        <v>0.99103995109999998</v>
      </c>
      <c r="F1614" s="18">
        <v>16816082.359999999</v>
      </c>
      <c r="G1614" s="18">
        <v>0.03</v>
      </c>
      <c r="H1614" s="13"/>
      <c r="I1614" s="13"/>
    </row>
    <row r="1615" spans="1:9">
      <c r="A1615" s="13" t="s">
        <v>2363</v>
      </c>
      <c r="B1615" s="138" t="s">
        <v>501</v>
      </c>
      <c r="C1615" s="138" t="s">
        <v>342</v>
      </c>
      <c r="D1615" s="15">
        <v>150000000</v>
      </c>
      <c r="E1615" s="92">
        <v>0.9073056827</v>
      </c>
      <c r="F1615" s="18">
        <v>136095852.41</v>
      </c>
      <c r="G1615" s="18">
        <v>0.22</v>
      </c>
      <c r="H1615" s="13"/>
      <c r="I1615" s="13"/>
    </row>
    <row r="1616" spans="1:9">
      <c r="A1616" s="13" t="s">
        <v>2364</v>
      </c>
      <c r="B1616" s="138" t="s">
        <v>734</v>
      </c>
      <c r="C1616" s="138" t="s">
        <v>342</v>
      </c>
      <c r="D1616" s="15">
        <v>25000000</v>
      </c>
      <c r="E1616" s="92">
        <v>0.93019706079999998</v>
      </c>
      <c r="F1616" s="18">
        <v>23254926.52</v>
      </c>
      <c r="G1616" s="18">
        <v>0.04</v>
      </c>
      <c r="H1616" s="13"/>
      <c r="I1616" s="13"/>
    </row>
    <row r="1617" spans="1:9">
      <c r="A1617" s="13" t="s">
        <v>2365</v>
      </c>
      <c r="B1617" s="138" t="s">
        <v>598</v>
      </c>
      <c r="C1617" s="138" t="s">
        <v>342</v>
      </c>
      <c r="D1617" s="15">
        <v>25000000</v>
      </c>
      <c r="E1617" s="92">
        <v>0.94611076059999999</v>
      </c>
      <c r="F1617" s="18">
        <v>23652769.02</v>
      </c>
      <c r="G1617" s="18">
        <v>0.04</v>
      </c>
      <c r="H1617" s="13"/>
      <c r="I1617" s="13"/>
    </row>
    <row r="1618" spans="1:9">
      <c r="A1618" s="13" t="s">
        <v>2372</v>
      </c>
      <c r="B1618" s="138" t="s">
        <v>2371</v>
      </c>
      <c r="C1618" s="138" t="s">
        <v>342</v>
      </c>
      <c r="D1618" s="15">
        <v>20000000</v>
      </c>
      <c r="E1618" s="92">
        <v>0.87698225379999994</v>
      </c>
      <c r="F1618" s="18">
        <v>17539645.079999998</v>
      </c>
      <c r="G1618" s="18">
        <v>0.03</v>
      </c>
      <c r="H1618" s="13"/>
      <c r="I1618" s="13"/>
    </row>
    <row r="1619" spans="1:9">
      <c r="A1619" s="13" t="s">
        <v>2373</v>
      </c>
      <c r="B1619" s="138" t="s">
        <v>1245</v>
      </c>
      <c r="C1619" s="138" t="s">
        <v>342</v>
      </c>
      <c r="D1619" s="15">
        <v>20000000</v>
      </c>
      <c r="E1619" s="92">
        <v>0.89981268680000004</v>
      </c>
      <c r="F1619" s="18">
        <v>17996253.739999998</v>
      </c>
      <c r="G1619" s="18">
        <v>0.03</v>
      </c>
      <c r="H1619" s="13"/>
      <c r="I1619" s="13"/>
    </row>
    <row r="1620" spans="1:9">
      <c r="A1620" s="13" t="s">
        <v>2415</v>
      </c>
      <c r="B1620" s="138" t="s">
        <v>593</v>
      </c>
      <c r="C1620" s="138" t="s">
        <v>345</v>
      </c>
      <c r="D1620" s="15">
        <v>3000000</v>
      </c>
      <c r="E1620" s="92">
        <v>0.94928484960000004</v>
      </c>
      <c r="F1620" s="18">
        <v>2847854.55</v>
      </c>
      <c r="G1620" s="15">
        <v>0</v>
      </c>
      <c r="H1620" s="13"/>
      <c r="I1620" s="13"/>
    </row>
    <row r="1621" spans="1:9">
      <c r="A1621" s="13" t="s">
        <v>2416</v>
      </c>
      <c r="B1621" s="138" t="s">
        <v>549</v>
      </c>
      <c r="C1621" s="138" t="s">
        <v>345</v>
      </c>
      <c r="D1621" s="15">
        <v>3000000</v>
      </c>
      <c r="E1621" s="92">
        <v>0.95976862949999997</v>
      </c>
      <c r="F1621" s="18">
        <v>2879305.89</v>
      </c>
      <c r="G1621" s="15">
        <v>0</v>
      </c>
      <c r="H1621" s="13"/>
      <c r="I1621" s="13"/>
    </row>
    <row r="1622" spans="1:9">
      <c r="A1622" s="13" t="s">
        <v>2417</v>
      </c>
      <c r="B1622" s="138" t="s">
        <v>598</v>
      </c>
      <c r="C1622" s="138" t="s">
        <v>345</v>
      </c>
      <c r="D1622" s="15">
        <v>6500000</v>
      </c>
      <c r="E1622" s="92">
        <v>0.94303084640000001</v>
      </c>
      <c r="F1622" s="150">
        <v>6129700.5</v>
      </c>
      <c r="G1622" s="18">
        <v>0.01</v>
      </c>
      <c r="H1622" s="13"/>
      <c r="I1622" s="13"/>
    </row>
    <row r="1623" spans="1:9">
      <c r="A1623" s="13" t="s">
        <v>2418</v>
      </c>
      <c r="B1623" s="138" t="s">
        <v>1171</v>
      </c>
      <c r="C1623" s="138" t="s">
        <v>345</v>
      </c>
      <c r="D1623" s="15">
        <v>6500000</v>
      </c>
      <c r="E1623" s="92">
        <v>0.94047925789999998</v>
      </c>
      <c r="F1623" s="18">
        <v>6113115.1799999997</v>
      </c>
      <c r="G1623" s="18">
        <v>0.01</v>
      </c>
      <c r="H1623" s="13"/>
      <c r="I1623" s="13"/>
    </row>
    <row r="1624" spans="1:9">
      <c r="A1624" s="13" t="s">
        <v>2419</v>
      </c>
      <c r="B1624" s="138" t="s">
        <v>499</v>
      </c>
      <c r="C1624" s="138" t="s">
        <v>345</v>
      </c>
      <c r="D1624" s="18">
        <v>55065217.939999998</v>
      </c>
      <c r="E1624" s="92">
        <v>0.96163998449999999</v>
      </c>
      <c r="F1624" s="18">
        <v>52952915.329999998</v>
      </c>
      <c r="G1624" s="18">
        <v>0.09</v>
      </c>
      <c r="H1624" s="13"/>
      <c r="I1624" s="13"/>
    </row>
    <row r="1625" spans="1:9">
      <c r="A1625" s="13" t="s">
        <v>2420</v>
      </c>
      <c r="B1625" s="138" t="s">
        <v>499</v>
      </c>
      <c r="C1625" s="138" t="s">
        <v>345</v>
      </c>
      <c r="D1625" s="18">
        <v>55065217.939999998</v>
      </c>
      <c r="E1625" s="92">
        <v>0.96163998449999999</v>
      </c>
      <c r="F1625" s="18">
        <v>52952915.329999998</v>
      </c>
      <c r="G1625" s="18">
        <v>0.09</v>
      </c>
      <c r="H1625" s="13"/>
      <c r="I1625" s="13"/>
    </row>
    <row r="1626" spans="1:9">
      <c r="A1626" s="13" t="s">
        <v>2421</v>
      </c>
      <c r="B1626" s="138" t="s">
        <v>1243</v>
      </c>
      <c r="C1626" s="138" t="s">
        <v>345</v>
      </c>
      <c r="D1626" s="15">
        <v>25000000</v>
      </c>
      <c r="E1626" s="92">
        <v>0.88268743620000001</v>
      </c>
      <c r="F1626" s="18">
        <v>22067185.91</v>
      </c>
      <c r="G1626" s="18">
        <v>0.04</v>
      </c>
      <c r="H1626" s="13"/>
      <c r="I1626" s="13"/>
    </row>
    <row r="1627" spans="1:9">
      <c r="A1627" s="13" t="s">
        <v>2422</v>
      </c>
      <c r="B1627" s="138" t="s">
        <v>1391</v>
      </c>
      <c r="C1627" s="138" t="s">
        <v>345</v>
      </c>
      <c r="D1627" s="15">
        <v>105000000</v>
      </c>
      <c r="E1627" s="153">
        <v>0.93753217499999997</v>
      </c>
      <c r="F1627" s="18">
        <v>98440878.379999995</v>
      </c>
      <c r="G1627" s="18">
        <v>0.16</v>
      </c>
      <c r="H1627" s="13"/>
      <c r="I1627" s="13"/>
    </row>
    <row r="1628" spans="1:9">
      <c r="A1628" s="13" t="s">
        <v>2423</v>
      </c>
      <c r="B1628" s="138" t="s">
        <v>494</v>
      </c>
      <c r="C1628" s="138" t="s">
        <v>345</v>
      </c>
      <c r="D1628" s="15">
        <v>104500000</v>
      </c>
      <c r="E1628" s="92">
        <v>0.96367100279999995</v>
      </c>
      <c r="F1628" s="18">
        <v>100703619.79000001</v>
      </c>
      <c r="G1628" s="18">
        <v>0.16</v>
      </c>
      <c r="H1628" s="13"/>
      <c r="I1628" s="13"/>
    </row>
    <row r="1629" spans="1:9">
      <c r="A1629" s="13" t="s">
        <v>2424</v>
      </c>
      <c r="B1629" s="138" t="s">
        <v>499</v>
      </c>
      <c r="C1629" s="138" t="s">
        <v>345</v>
      </c>
      <c r="D1629" s="15">
        <v>269000000</v>
      </c>
      <c r="E1629" s="92">
        <v>0.94864356139999995</v>
      </c>
      <c r="F1629" s="18">
        <v>255185118.02000001</v>
      </c>
      <c r="G1629" s="18">
        <v>0.42</v>
      </c>
      <c r="H1629" s="13"/>
      <c r="I1629" s="13"/>
    </row>
    <row r="1630" spans="1:9">
      <c r="A1630" s="13" t="s">
        <v>2425</v>
      </c>
      <c r="B1630" s="138" t="s">
        <v>1081</v>
      </c>
      <c r="C1630" s="138" t="s">
        <v>345</v>
      </c>
      <c r="D1630" s="15">
        <v>298500000</v>
      </c>
      <c r="E1630" s="92">
        <v>0.96290852680000005</v>
      </c>
      <c r="F1630" s="18">
        <v>287428195.25</v>
      </c>
      <c r="G1630" s="18">
        <v>0.47</v>
      </c>
      <c r="H1630" s="13"/>
      <c r="I1630" s="13"/>
    </row>
    <row r="1631" spans="1:9">
      <c r="A1631" s="13" t="s">
        <v>2426</v>
      </c>
      <c r="B1631" s="138" t="s">
        <v>622</v>
      </c>
      <c r="C1631" s="138" t="s">
        <v>345</v>
      </c>
      <c r="D1631" s="15">
        <v>2000000</v>
      </c>
      <c r="E1631" s="92">
        <v>0.98702022020000002</v>
      </c>
      <c r="F1631" s="18">
        <v>1974040.44</v>
      </c>
      <c r="G1631" s="15">
        <v>0</v>
      </c>
      <c r="H1631" s="13"/>
      <c r="I1631" s="13"/>
    </row>
    <row r="1632" spans="1:9">
      <c r="A1632" s="13" t="s">
        <v>2427</v>
      </c>
      <c r="B1632" s="138" t="s">
        <v>450</v>
      </c>
      <c r="C1632" s="138" t="s">
        <v>345</v>
      </c>
      <c r="D1632" s="15">
        <v>2000000</v>
      </c>
      <c r="E1632" s="92">
        <v>0.98107731509999996</v>
      </c>
      <c r="F1632" s="18">
        <v>1962154.63</v>
      </c>
      <c r="G1632" s="15">
        <v>0</v>
      </c>
      <c r="H1632" s="13"/>
      <c r="I1632" s="13"/>
    </row>
    <row r="1633" spans="1:9">
      <c r="A1633" s="13" t="s">
        <v>2428</v>
      </c>
      <c r="B1633" s="138" t="s">
        <v>560</v>
      </c>
      <c r="C1633" s="138" t="s">
        <v>345</v>
      </c>
      <c r="D1633" s="15">
        <v>2000000</v>
      </c>
      <c r="E1633" s="92">
        <v>0.97022872459999998</v>
      </c>
      <c r="F1633" s="18">
        <v>1940457.45</v>
      </c>
      <c r="G1633" s="15">
        <v>0</v>
      </c>
      <c r="H1633" s="13"/>
      <c r="I1633" s="13"/>
    </row>
    <row r="1634" spans="1:9">
      <c r="A1634" s="13" t="s">
        <v>2429</v>
      </c>
      <c r="B1634" s="138" t="s">
        <v>1081</v>
      </c>
      <c r="C1634" s="138" t="s">
        <v>345</v>
      </c>
      <c r="D1634" s="15">
        <v>2000000</v>
      </c>
      <c r="E1634" s="92">
        <v>0.96858106970000002</v>
      </c>
      <c r="F1634" s="18">
        <v>1937162.14</v>
      </c>
      <c r="G1634" s="15">
        <v>0</v>
      </c>
      <c r="H1634" s="13"/>
      <c r="I1634" s="13"/>
    </row>
    <row r="1635" spans="1:9">
      <c r="A1635" s="13" t="s">
        <v>2430</v>
      </c>
      <c r="B1635" s="138" t="s">
        <v>444</v>
      </c>
      <c r="C1635" s="138" t="s">
        <v>345</v>
      </c>
      <c r="D1635" s="15">
        <v>2000000</v>
      </c>
      <c r="E1635" s="92">
        <v>0.99130913009999999</v>
      </c>
      <c r="F1635" s="18">
        <v>1982618.26</v>
      </c>
      <c r="G1635" s="15">
        <v>0</v>
      </c>
      <c r="H1635" s="13"/>
      <c r="I1635" s="13"/>
    </row>
    <row r="1636" spans="1:9">
      <c r="A1636" s="13" t="s">
        <v>2431</v>
      </c>
      <c r="B1636" s="138" t="s">
        <v>299</v>
      </c>
      <c r="C1636" s="138" t="s">
        <v>345</v>
      </c>
      <c r="D1636" s="15">
        <v>10000000</v>
      </c>
      <c r="E1636" s="92">
        <v>0.8836704004</v>
      </c>
      <c r="F1636" s="15">
        <v>8836704</v>
      </c>
      <c r="G1636" s="18">
        <v>0.01</v>
      </c>
      <c r="H1636" s="13"/>
      <c r="I1636" s="13"/>
    </row>
    <row r="1637" spans="1:9">
      <c r="A1637" s="13" t="s">
        <v>2432</v>
      </c>
      <c r="B1637" s="138" t="s">
        <v>267</v>
      </c>
      <c r="C1637" s="138" t="s">
        <v>345</v>
      </c>
      <c r="D1637" s="15">
        <v>10000000</v>
      </c>
      <c r="E1637" s="92">
        <v>0.89305386229999995</v>
      </c>
      <c r="F1637" s="18">
        <v>8930538.6199999992</v>
      </c>
      <c r="G1637" s="18">
        <v>0.01</v>
      </c>
      <c r="H1637" s="13"/>
      <c r="I1637" s="13"/>
    </row>
    <row r="1638" spans="1:9">
      <c r="A1638" s="13" t="s">
        <v>2433</v>
      </c>
      <c r="B1638" s="138" t="s">
        <v>591</v>
      </c>
      <c r="C1638" s="138" t="s">
        <v>345</v>
      </c>
      <c r="D1638" s="15">
        <v>50000000</v>
      </c>
      <c r="E1638" s="92">
        <v>0.94373786839999996</v>
      </c>
      <c r="F1638" s="18">
        <v>47186893.420000002</v>
      </c>
      <c r="G1638" s="18">
        <v>0.08</v>
      </c>
      <c r="H1638" s="13"/>
      <c r="I1638" s="13"/>
    </row>
    <row r="1639" spans="1:9">
      <c r="A1639" s="13" t="s">
        <v>2434</v>
      </c>
      <c r="B1639" s="138" t="s">
        <v>1081</v>
      </c>
      <c r="C1639" s="138" t="s">
        <v>345</v>
      </c>
      <c r="D1639" s="15">
        <v>12936672</v>
      </c>
      <c r="E1639" s="92">
        <v>0.96763100849999995</v>
      </c>
      <c r="F1639" s="18">
        <v>12517924.970000001</v>
      </c>
      <c r="G1639" s="18">
        <v>0.02</v>
      </c>
      <c r="H1639" s="13"/>
      <c r="I1639" s="13"/>
    </row>
    <row r="1640" spans="1:9">
      <c r="A1640" s="13" t="s">
        <v>2437</v>
      </c>
      <c r="B1640" s="138" t="s">
        <v>1249</v>
      </c>
      <c r="C1640" s="138" t="s">
        <v>170</v>
      </c>
      <c r="D1640" s="15">
        <v>50000000</v>
      </c>
      <c r="E1640" s="153">
        <v>0.91158841700000004</v>
      </c>
      <c r="F1640" s="18">
        <v>45579420.850000001</v>
      </c>
      <c r="G1640" s="18">
        <v>7.0000000000000007E-2</v>
      </c>
      <c r="H1640" s="13"/>
      <c r="I1640" s="13"/>
    </row>
    <row r="1641" spans="1:9">
      <c r="A1641" s="13" t="s">
        <v>2438</v>
      </c>
      <c r="B1641" s="138" t="s">
        <v>906</v>
      </c>
      <c r="C1641" s="138" t="s">
        <v>170</v>
      </c>
      <c r="D1641" s="15">
        <v>50000000</v>
      </c>
      <c r="E1641" s="92">
        <v>0.91090609320000004</v>
      </c>
      <c r="F1641" s="18">
        <v>45545304.659999996</v>
      </c>
      <c r="G1641" s="18">
        <v>7.0000000000000007E-2</v>
      </c>
      <c r="H1641" s="13"/>
      <c r="I1641" s="13"/>
    </row>
    <row r="1642" spans="1:9">
      <c r="A1642" s="13" t="s">
        <v>2439</v>
      </c>
      <c r="B1642" s="138" t="s">
        <v>999</v>
      </c>
      <c r="C1642" s="138" t="s">
        <v>170</v>
      </c>
      <c r="D1642" s="15">
        <v>50000000</v>
      </c>
      <c r="E1642" s="92">
        <v>0.91022455329999996</v>
      </c>
      <c r="F1642" s="18">
        <v>45511227.670000002</v>
      </c>
      <c r="G1642" s="18">
        <v>7.0000000000000007E-2</v>
      </c>
      <c r="H1642" s="13"/>
      <c r="I1642" s="13"/>
    </row>
    <row r="1643" spans="1:9">
      <c r="A1643" s="13" t="s">
        <v>2440</v>
      </c>
      <c r="B1643" s="138" t="s">
        <v>999</v>
      </c>
      <c r="C1643" s="138" t="s">
        <v>170</v>
      </c>
      <c r="D1643" s="15">
        <v>50000000</v>
      </c>
      <c r="E1643" s="92">
        <v>0.91022455329999996</v>
      </c>
      <c r="F1643" s="18">
        <v>45511227.670000002</v>
      </c>
      <c r="G1643" s="18">
        <v>7.0000000000000007E-2</v>
      </c>
      <c r="H1643" s="13"/>
      <c r="I1643" s="13"/>
    </row>
    <row r="1644" spans="1:9">
      <c r="A1644" s="13" t="s">
        <v>2441</v>
      </c>
      <c r="B1644" s="138" t="s">
        <v>1175</v>
      </c>
      <c r="C1644" s="138" t="s">
        <v>170</v>
      </c>
      <c r="D1644" s="15">
        <v>50000000</v>
      </c>
      <c r="E1644" s="92">
        <v>0.90683232349999998</v>
      </c>
      <c r="F1644" s="18">
        <v>45341616.18</v>
      </c>
      <c r="G1644" s="18">
        <v>7.0000000000000007E-2</v>
      </c>
      <c r="H1644" s="13"/>
      <c r="I1644" s="13"/>
    </row>
    <row r="1645" spans="1:9">
      <c r="A1645" s="13" t="s">
        <v>2442</v>
      </c>
      <c r="B1645" s="138" t="s">
        <v>1184</v>
      </c>
      <c r="C1645" s="138" t="s">
        <v>170</v>
      </c>
      <c r="D1645" s="15">
        <v>50000000</v>
      </c>
      <c r="E1645" s="92">
        <v>0.90078988240000002</v>
      </c>
      <c r="F1645" s="18">
        <v>45039494.119999997</v>
      </c>
      <c r="G1645" s="18">
        <v>7.0000000000000007E-2</v>
      </c>
      <c r="H1645" s="13"/>
      <c r="I1645" s="13"/>
    </row>
    <row r="1646" spans="1:9">
      <c r="A1646" s="13" t="s">
        <v>2443</v>
      </c>
      <c r="B1646" s="138" t="s">
        <v>999</v>
      </c>
      <c r="C1646" s="138" t="s">
        <v>170</v>
      </c>
      <c r="D1646" s="15">
        <v>50000000</v>
      </c>
      <c r="E1646" s="92">
        <v>0.91022455329999996</v>
      </c>
      <c r="F1646" s="18">
        <v>45511227.670000002</v>
      </c>
      <c r="G1646" s="18">
        <v>7.0000000000000007E-2</v>
      </c>
      <c r="H1646" s="13"/>
      <c r="I1646" s="13"/>
    </row>
    <row r="1647" spans="1:9">
      <c r="A1647" s="13" t="s">
        <v>2444</v>
      </c>
      <c r="B1647" s="138" t="s">
        <v>1175</v>
      </c>
      <c r="C1647" s="138" t="s">
        <v>170</v>
      </c>
      <c r="D1647" s="15">
        <v>50000000</v>
      </c>
      <c r="E1647" s="92">
        <v>0.90683232349999998</v>
      </c>
      <c r="F1647" s="18">
        <v>45341616.18</v>
      </c>
      <c r="G1647" s="18">
        <v>7.0000000000000007E-2</v>
      </c>
      <c r="H1647" s="13"/>
      <c r="I1647" s="13"/>
    </row>
    <row r="1648" spans="1:9">
      <c r="A1648" s="13" t="s">
        <v>2445</v>
      </c>
      <c r="B1648" s="138" t="s">
        <v>1639</v>
      </c>
      <c r="C1648" s="138" t="s">
        <v>170</v>
      </c>
      <c r="D1648" s="15">
        <v>50000000</v>
      </c>
      <c r="E1648" s="92">
        <v>0.90615709730000005</v>
      </c>
      <c r="F1648" s="18">
        <v>45307854.869999997</v>
      </c>
      <c r="G1648" s="18">
        <v>7.0000000000000007E-2</v>
      </c>
      <c r="H1648" s="13"/>
      <c r="I1648" s="13"/>
    </row>
    <row r="1649" spans="1:9">
      <c r="A1649" s="13" t="s">
        <v>2446</v>
      </c>
      <c r="B1649" s="138" t="s">
        <v>1245</v>
      </c>
      <c r="C1649" s="138" t="s">
        <v>170</v>
      </c>
      <c r="D1649" s="15">
        <v>50000000</v>
      </c>
      <c r="E1649" s="92">
        <v>0.90548264180000004</v>
      </c>
      <c r="F1649" s="18">
        <v>45274132.090000004</v>
      </c>
      <c r="G1649" s="18">
        <v>7.0000000000000007E-2</v>
      </c>
      <c r="H1649" s="13"/>
      <c r="I1649" s="13"/>
    </row>
    <row r="1650" spans="1:9">
      <c r="A1650" s="13" t="s">
        <v>2447</v>
      </c>
      <c r="B1650" s="138" t="s">
        <v>1569</v>
      </c>
      <c r="C1650" s="138" t="s">
        <v>170</v>
      </c>
      <c r="D1650" s="15">
        <v>50000000</v>
      </c>
      <c r="E1650" s="92">
        <v>0.9021256003</v>
      </c>
      <c r="F1650" s="18">
        <v>45106280.020000003</v>
      </c>
      <c r="G1650" s="18">
        <v>7.0000000000000007E-2</v>
      </c>
      <c r="H1650" s="13"/>
      <c r="I1650" s="13"/>
    </row>
    <row r="1651" spans="1:9">
      <c r="A1651" s="13" t="s">
        <v>2448</v>
      </c>
      <c r="B1651" s="138" t="s">
        <v>1280</v>
      </c>
      <c r="C1651" s="138" t="s">
        <v>170</v>
      </c>
      <c r="D1651" s="15">
        <v>50000000</v>
      </c>
      <c r="E1651" s="92">
        <v>0.90145736310000002</v>
      </c>
      <c r="F1651" s="18">
        <v>45072868.159999996</v>
      </c>
      <c r="G1651" s="18">
        <v>7.0000000000000007E-2</v>
      </c>
      <c r="H1651" s="13"/>
      <c r="I1651" s="13"/>
    </row>
    <row r="1652" spans="1:9">
      <c r="A1652" s="13" t="s">
        <v>2449</v>
      </c>
      <c r="B1652" s="138" t="s">
        <v>577</v>
      </c>
      <c r="C1652" s="138" t="s">
        <v>170</v>
      </c>
      <c r="D1652" s="15">
        <v>700000000</v>
      </c>
      <c r="E1652" s="92">
        <v>0.96663149420000005</v>
      </c>
      <c r="F1652" s="18">
        <v>676642045.94000006</v>
      </c>
      <c r="G1652" s="18">
        <v>1.1100000000000001</v>
      </c>
      <c r="H1652" s="13"/>
      <c r="I1652" s="13"/>
    </row>
    <row r="1653" spans="1:9">
      <c r="A1653" s="13" t="s">
        <v>2450</v>
      </c>
      <c r="B1653" s="138" t="s">
        <v>172</v>
      </c>
      <c r="C1653" s="138" t="s">
        <v>170</v>
      </c>
      <c r="D1653" s="15">
        <v>350000</v>
      </c>
      <c r="E1653" s="92">
        <v>0.99333251420000002</v>
      </c>
      <c r="F1653" s="18">
        <v>347666.38</v>
      </c>
      <c r="G1653" s="15">
        <v>0</v>
      </c>
      <c r="H1653" s="13"/>
      <c r="I1653" s="13"/>
    </row>
    <row r="1654" spans="1:9">
      <c r="A1654" s="13" t="s">
        <v>2451</v>
      </c>
      <c r="B1654" s="138" t="s">
        <v>415</v>
      </c>
      <c r="C1654" s="138" t="s">
        <v>170</v>
      </c>
      <c r="D1654" s="15">
        <v>624000</v>
      </c>
      <c r="E1654" s="92">
        <v>0.99238721159999999</v>
      </c>
      <c r="F1654" s="18">
        <v>619249.62</v>
      </c>
      <c r="G1654" s="15">
        <v>0</v>
      </c>
      <c r="H1654" s="13"/>
      <c r="I1654" s="13"/>
    </row>
    <row r="1655" spans="1:9">
      <c r="A1655" s="13" t="s">
        <v>2452</v>
      </c>
      <c r="B1655" s="138" t="s">
        <v>585</v>
      </c>
      <c r="C1655" s="138" t="s">
        <v>170</v>
      </c>
      <c r="D1655" s="18">
        <v>1066766.07</v>
      </c>
      <c r="E1655" s="92">
        <v>0.94731392260000002</v>
      </c>
      <c r="F1655" s="18">
        <v>1010562.35</v>
      </c>
      <c r="G1655" s="15">
        <v>0</v>
      </c>
      <c r="H1655" s="13"/>
      <c r="I1655" s="13"/>
    </row>
    <row r="1656" spans="1:9">
      <c r="A1656" s="13" t="s">
        <v>2453</v>
      </c>
      <c r="B1656" s="138" t="s">
        <v>930</v>
      </c>
      <c r="C1656" s="138" t="s">
        <v>170</v>
      </c>
      <c r="D1656" s="18">
        <v>6110495.9400000004</v>
      </c>
      <c r="E1656" s="92">
        <v>0.96930105150000001</v>
      </c>
      <c r="F1656" s="18">
        <v>5922910.1399999997</v>
      </c>
      <c r="G1656" s="18">
        <v>0.01</v>
      </c>
      <c r="H1656" s="13"/>
      <c r="I1656" s="13"/>
    </row>
    <row r="1657" spans="1:9">
      <c r="A1657" s="13" t="s">
        <v>2454</v>
      </c>
      <c r="B1657" s="138" t="s">
        <v>610</v>
      </c>
      <c r="C1657" s="138" t="s">
        <v>170</v>
      </c>
      <c r="D1657" s="18">
        <v>5986158.2300000004</v>
      </c>
      <c r="E1657" s="92">
        <v>0.99814051859999997</v>
      </c>
      <c r="F1657" s="18">
        <v>5975027.0800000001</v>
      </c>
      <c r="G1657" s="18">
        <v>0.01</v>
      </c>
      <c r="H1657" s="13"/>
      <c r="I1657" s="13"/>
    </row>
    <row r="1658" spans="1:9">
      <c r="A1658" s="13" t="s">
        <v>2455</v>
      </c>
      <c r="B1658" s="138" t="s">
        <v>571</v>
      </c>
      <c r="C1658" s="138" t="s">
        <v>170</v>
      </c>
      <c r="D1658" s="15">
        <v>15000000</v>
      </c>
      <c r="E1658" s="92">
        <v>0.92463586340000004</v>
      </c>
      <c r="F1658" s="18">
        <v>13869537.949999999</v>
      </c>
      <c r="G1658" s="18">
        <v>0.02</v>
      </c>
      <c r="H1658" s="13"/>
      <c r="I1658" s="13"/>
    </row>
    <row r="1659" spans="1:9">
      <c r="A1659" s="13" t="s">
        <v>2456</v>
      </c>
      <c r="B1659" s="138" t="s">
        <v>1500</v>
      </c>
      <c r="C1659" s="138" t="s">
        <v>170</v>
      </c>
      <c r="D1659" s="15">
        <v>20000000</v>
      </c>
      <c r="E1659" s="153">
        <v>0.91974309399999998</v>
      </c>
      <c r="F1659" s="18">
        <v>18394861.879999999</v>
      </c>
      <c r="G1659" s="18">
        <v>0.03</v>
      </c>
      <c r="H1659" s="13"/>
      <c r="I1659" s="13"/>
    </row>
    <row r="1660" spans="1:9">
      <c r="A1660" s="13" t="s">
        <v>2457</v>
      </c>
      <c r="B1660" s="138" t="s">
        <v>568</v>
      </c>
      <c r="C1660" s="138" t="s">
        <v>170</v>
      </c>
      <c r="D1660" s="150">
        <v>1555000.5</v>
      </c>
      <c r="E1660" s="92">
        <v>0.92771472489999995</v>
      </c>
      <c r="F1660" s="18">
        <v>1442596.86</v>
      </c>
      <c r="G1660" s="15">
        <v>0</v>
      </c>
      <c r="H1660" s="13"/>
      <c r="I1660" s="13"/>
    </row>
    <row r="1661" spans="1:9">
      <c r="A1661" s="13" t="s">
        <v>2458</v>
      </c>
      <c r="B1661" s="138" t="s">
        <v>1498</v>
      </c>
      <c r="C1661" s="138" t="s">
        <v>170</v>
      </c>
      <c r="D1661" s="150">
        <v>1555000.5</v>
      </c>
      <c r="E1661" s="92">
        <v>0.92097309869999999</v>
      </c>
      <c r="F1661" s="18">
        <v>1432113.63</v>
      </c>
      <c r="G1661" s="15">
        <v>0</v>
      </c>
      <c r="H1661" s="13"/>
      <c r="I1661" s="13"/>
    </row>
    <row r="1662" spans="1:9">
      <c r="A1662" s="13" t="s">
        <v>2459</v>
      </c>
      <c r="B1662" s="138" t="s">
        <v>1500</v>
      </c>
      <c r="C1662" s="138" t="s">
        <v>170</v>
      </c>
      <c r="D1662" s="150">
        <v>1555000.5</v>
      </c>
      <c r="E1662" s="92">
        <v>0.91763889470000004</v>
      </c>
      <c r="F1662" s="18">
        <v>1426928.94</v>
      </c>
      <c r="G1662" s="15">
        <v>0</v>
      </c>
      <c r="H1662" s="13"/>
      <c r="I1662" s="13"/>
    </row>
    <row r="1663" spans="1:9">
      <c r="A1663" s="13" t="s">
        <v>2460</v>
      </c>
      <c r="B1663" s="138" t="s">
        <v>1391</v>
      </c>
      <c r="C1663" s="138" t="s">
        <v>170</v>
      </c>
      <c r="D1663" s="150">
        <v>1555000.5</v>
      </c>
      <c r="E1663" s="92">
        <v>0.93026827249999999</v>
      </c>
      <c r="F1663" s="18">
        <v>1446567.63</v>
      </c>
      <c r="G1663" s="15">
        <v>0</v>
      </c>
      <c r="H1663" s="13"/>
      <c r="I1663" s="13"/>
    </row>
    <row r="1664" spans="1:9">
      <c r="A1664" s="13" t="s">
        <v>2461</v>
      </c>
      <c r="B1664" s="138" t="s">
        <v>740</v>
      </c>
      <c r="C1664" s="138" t="s">
        <v>170</v>
      </c>
      <c r="D1664" s="18">
        <v>4213657.9800000004</v>
      </c>
      <c r="E1664" s="92">
        <v>0.92941543429999995</v>
      </c>
      <c r="F1664" s="18">
        <v>3916238.76</v>
      </c>
      <c r="G1664" s="18">
        <v>0.01</v>
      </c>
      <c r="H1664" s="13"/>
      <c r="I1664" s="13"/>
    </row>
    <row r="1665" spans="1:9">
      <c r="A1665" s="13" t="s">
        <v>2462</v>
      </c>
      <c r="B1665" s="138" t="s">
        <v>740</v>
      </c>
      <c r="C1665" s="138" t="s">
        <v>170</v>
      </c>
      <c r="D1665" s="150">
        <v>1555000.5</v>
      </c>
      <c r="E1665" s="92">
        <v>0.92941543790000003</v>
      </c>
      <c r="F1665" s="18">
        <v>1445241.47</v>
      </c>
      <c r="G1665" s="15">
        <v>0</v>
      </c>
      <c r="H1665" s="13"/>
      <c r="I1665" s="13"/>
    </row>
    <row r="1666" spans="1:9">
      <c r="A1666" s="13" t="s">
        <v>2463</v>
      </c>
      <c r="B1666" s="138" t="s">
        <v>575</v>
      </c>
      <c r="C1666" s="138" t="s">
        <v>170</v>
      </c>
      <c r="D1666" s="150">
        <v>3256800.5</v>
      </c>
      <c r="E1666" s="92">
        <v>0.92856444189999998</v>
      </c>
      <c r="F1666" s="18">
        <v>3024149.14</v>
      </c>
      <c r="G1666" s="15">
        <v>0</v>
      </c>
      <c r="H1666" s="13"/>
      <c r="I1666" s="13"/>
    </row>
    <row r="1667" spans="1:9">
      <c r="A1667" s="13" t="s">
        <v>2464</v>
      </c>
      <c r="B1667" s="138" t="s">
        <v>575</v>
      </c>
      <c r="C1667" s="138" t="s">
        <v>170</v>
      </c>
      <c r="D1667" s="18">
        <v>2510000.36</v>
      </c>
      <c r="E1667" s="28">
        <v>0.92856444000000005</v>
      </c>
      <c r="F1667" s="18">
        <v>2330697.08</v>
      </c>
      <c r="G1667" s="15">
        <v>0</v>
      </c>
      <c r="H1667" s="13"/>
      <c r="I1667" s="13"/>
    </row>
    <row r="1668" spans="1:9">
      <c r="A1668" s="13" t="s">
        <v>2465</v>
      </c>
      <c r="B1668" s="138" t="s">
        <v>575</v>
      </c>
      <c r="C1668" s="138" t="s">
        <v>170</v>
      </c>
      <c r="D1668" s="18">
        <v>2510000.36</v>
      </c>
      <c r="E1668" s="28">
        <v>0.92856444000000005</v>
      </c>
      <c r="F1668" s="18">
        <v>2330697.08</v>
      </c>
      <c r="G1668" s="15">
        <v>0</v>
      </c>
      <c r="H1668" s="13"/>
      <c r="I1668" s="13"/>
    </row>
    <row r="1669" spans="1:9">
      <c r="A1669" s="13" t="s">
        <v>2466</v>
      </c>
      <c r="B1669" s="138" t="s">
        <v>568</v>
      </c>
      <c r="C1669" s="138" t="s">
        <v>170</v>
      </c>
      <c r="D1669" s="18">
        <v>2510000.36</v>
      </c>
      <c r="E1669" s="92">
        <v>0.92771471559999996</v>
      </c>
      <c r="F1669" s="18">
        <v>2328564.27</v>
      </c>
      <c r="G1669" s="15">
        <v>0</v>
      </c>
      <c r="H1669" s="13"/>
      <c r="I1669" s="13"/>
    </row>
    <row r="1670" spans="1:9">
      <c r="A1670" s="13" t="s">
        <v>2467</v>
      </c>
      <c r="B1670" s="138" t="s">
        <v>1500</v>
      </c>
      <c r="C1670" s="138" t="s">
        <v>170</v>
      </c>
      <c r="D1670" s="18">
        <v>3789564.21</v>
      </c>
      <c r="E1670" s="92">
        <v>0.91763889679999999</v>
      </c>
      <c r="F1670" s="18">
        <v>3477451.52</v>
      </c>
      <c r="G1670" s="18">
        <v>0.01</v>
      </c>
      <c r="H1670" s="13"/>
      <c r="I1670" s="13"/>
    </row>
    <row r="1671" spans="1:9">
      <c r="A1671" s="13" t="s">
        <v>2468</v>
      </c>
      <c r="B1671" s="138" t="s">
        <v>1391</v>
      </c>
      <c r="C1671" s="138" t="s">
        <v>170</v>
      </c>
      <c r="D1671" s="18">
        <v>2510000.36</v>
      </c>
      <c r="E1671" s="92">
        <v>0.93026827609999996</v>
      </c>
      <c r="F1671" s="18">
        <v>2334973.71</v>
      </c>
      <c r="G1671" s="15">
        <v>0</v>
      </c>
      <c r="H1671" s="13"/>
      <c r="I1671" s="13"/>
    </row>
    <row r="1672" spans="1:9">
      <c r="A1672" s="13" t="s">
        <v>2469</v>
      </c>
      <c r="B1672" s="138" t="s">
        <v>740</v>
      </c>
      <c r="C1672" s="138" t="s">
        <v>170</v>
      </c>
      <c r="D1672" s="18">
        <v>3789564.21</v>
      </c>
      <c r="E1672" s="92">
        <v>0.92941543609999999</v>
      </c>
      <c r="F1672" s="18">
        <v>3522079.47</v>
      </c>
      <c r="G1672" s="18">
        <v>0.01</v>
      </c>
      <c r="H1672" s="13"/>
      <c r="I1672" s="13"/>
    </row>
    <row r="1673" spans="1:9">
      <c r="A1673" s="13" t="s">
        <v>2470</v>
      </c>
      <c r="B1673" s="138" t="s">
        <v>740</v>
      </c>
      <c r="C1673" s="138" t="s">
        <v>170</v>
      </c>
      <c r="D1673" s="18">
        <v>2510000.36</v>
      </c>
      <c r="E1673" s="92">
        <v>0.92941543240000002</v>
      </c>
      <c r="F1673" s="18">
        <v>2332833.0699999998</v>
      </c>
      <c r="G1673" s="15">
        <v>0</v>
      </c>
      <c r="H1673" s="13"/>
      <c r="I1673" s="13"/>
    </row>
    <row r="1674" spans="1:9">
      <c r="A1674" s="13" t="s">
        <v>2471</v>
      </c>
      <c r="B1674" s="138" t="s">
        <v>553</v>
      </c>
      <c r="C1674" s="138" t="s">
        <v>170</v>
      </c>
      <c r="D1674" s="15">
        <v>215500000</v>
      </c>
      <c r="E1674" s="92">
        <v>0.94491043180000001</v>
      </c>
      <c r="F1674" s="18">
        <v>203628198.05000001</v>
      </c>
      <c r="G1674" s="18">
        <v>0.33</v>
      </c>
      <c r="H1674" s="13"/>
      <c r="I1674" s="13"/>
    </row>
    <row r="1675" spans="1:9">
      <c r="A1675" s="13" t="s">
        <v>2472</v>
      </c>
      <c r="B1675" s="138" t="s">
        <v>950</v>
      </c>
      <c r="C1675" s="138" t="s">
        <v>170</v>
      </c>
      <c r="D1675" s="15">
        <v>2500000</v>
      </c>
      <c r="E1675" s="92">
        <v>0.93968049170000001</v>
      </c>
      <c r="F1675" s="18">
        <v>2349201.23</v>
      </c>
      <c r="G1675" s="15">
        <v>0</v>
      </c>
      <c r="H1675" s="13"/>
      <c r="I1675" s="13"/>
    </row>
    <row r="1676" spans="1:9">
      <c r="A1676" s="13" t="s">
        <v>2473</v>
      </c>
      <c r="B1676" s="138" t="s">
        <v>1391</v>
      </c>
      <c r="C1676" s="138" t="s">
        <v>170</v>
      </c>
      <c r="D1676" s="15">
        <v>2500000</v>
      </c>
      <c r="E1676" s="92">
        <v>0.93570564030000003</v>
      </c>
      <c r="F1676" s="150">
        <v>2339264.1</v>
      </c>
      <c r="G1676" s="15">
        <v>0</v>
      </c>
      <c r="H1676" s="13"/>
      <c r="I1676" s="13"/>
    </row>
    <row r="1677" spans="1:9">
      <c r="A1677" s="13" t="s">
        <v>2474</v>
      </c>
      <c r="B1677" s="138" t="s">
        <v>740</v>
      </c>
      <c r="C1677" s="138" t="s">
        <v>170</v>
      </c>
      <c r="D1677" s="15">
        <v>2500000</v>
      </c>
      <c r="E1677" s="92">
        <v>0.93491465259999995</v>
      </c>
      <c r="F1677" s="18">
        <v>2337286.63</v>
      </c>
      <c r="G1677" s="15">
        <v>0</v>
      </c>
      <c r="H1677" s="13"/>
      <c r="I1677" s="13"/>
    </row>
    <row r="1678" spans="1:9">
      <c r="A1678" s="13" t="s">
        <v>2475</v>
      </c>
      <c r="B1678" s="138" t="s">
        <v>575</v>
      </c>
      <c r="C1678" s="138" t="s">
        <v>170</v>
      </c>
      <c r="D1678" s="15">
        <v>2500000</v>
      </c>
      <c r="E1678" s="92">
        <v>0.93412526029999998</v>
      </c>
      <c r="F1678" s="18">
        <v>2335313.15</v>
      </c>
      <c r="G1678" s="15">
        <v>0</v>
      </c>
      <c r="H1678" s="13"/>
      <c r="I1678" s="13"/>
    </row>
    <row r="1679" spans="1:9">
      <c r="A1679" s="13" t="s">
        <v>2476</v>
      </c>
      <c r="B1679" s="138" t="s">
        <v>575</v>
      </c>
      <c r="C1679" s="138" t="s">
        <v>170</v>
      </c>
      <c r="D1679" s="15">
        <v>2500000</v>
      </c>
      <c r="E1679" s="92">
        <v>0.93412526029999998</v>
      </c>
      <c r="F1679" s="18">
        <v>2335313.15</v>
      </c>
      <c r="G1679" s="15">
        <v>0</v>
      </c>
      <c r="H1679" s="13"/>
      <c r="I1679" s="13"/>
    </row>
    <row r="1680" spans="1:9">
      <c r="A1680" s="13" t="s">
        <v>2477</v>
      </c>
      <c r="B1680" s="138" t="s">
        <v>568</v>
      </c>
      <c r="C1680" s="138" t="s">
        <v>170</v>
      </c>
      <c r="D1680" s="15">
        <v>2500000</v>
      </c>
      <c r="E1680" s="92">
        <v>0.93333693129999995</v>
      </c>
      <c r="F1680" s="18">
        <v>2333342.33</v>
      </c>
      <c r="G1680" s="15">
        <v>0</v>
      </c>
      <c r="H1680" s="13"/>
      <c r="I1680" s="13"/>
    </row>
    <row r="1681" spans="1:9">
      <c r="A1681" s="13" t="s">
        <v>2478</v>
      </c>
      <c r="B1681" s="138" t="s">
        <v>1590</v>
      </c>
      <c r="C1681" s="138" t="s">
        <v>170</v>
      </c>
      <c r="D1681" s="15">
        <v>2500000</v>
      </c>
      <c r="E1681" s="92">
        <v>0.93254993929999996</v>
      </c>
      <c r="F1681" s="18">
        <v>2331374.85</v>
      </c>
      <c r="G1681" s="15">
        <v>0</v>
      </c>
      <c r="H1681" s="13"/>
      <c r="I1681" s="13"/>
    </row>
    <row r="1682" spans="1:9">
      <c r="A1682" s="13" t="s">
        <v>2479</v>
      </c>
      <c r="B1682" s="138" t="s">
        <v>734</v>
      </c>
      <c r="C1682" s="138" t="s">
        <v>170</v>
      </c>
      <c r="D1682" s="15">
        <v>2500000</v>
      </c>
      <c r="E1682" s="92">
        <v>0.93019716320000001</v>
      </c>
      <c r="F1682" s="18">
        <v>2325492.91</v>
      </c>
      <c r="G1682" s="15">
        <v>0</v>
      </c>
      <c r="H1682" s="13"/>
      <c r="I1682" s="13"/>
    </row>
    <row r="1683" spans="1:9">
      <c r="A1683" s="13" t="s">
        <v>2480</v>
      </c>
      <c r="B1683" s="138" t="s">
        <v>497</v>
      </c>
      <c r="C1683" s="138" t="s">
        <v>170</v>
      </c>
      <c r="D1683" s="15">
        <v>2500000</v>
      </c>
      <c r="E1683" s="153">
        <v>0.92941544700000001</v>
      </c>
      <c r="F1683" s="18">
        <v>2323538.62</v>
      </c>
      <c r="G1683" s="15">
        <v>0</v>
      </c>
      <c r="H1683" s="13"/>
      <c r="I1683" s="13"/>
    </row>
    <row r="1684" spans="1:9">
      <c r="A1684" s="13" t="s">
        <v>2481</v>
      </c>
      <c r="B1684" s="138" t="s">
        <v>571</v>
      </c>
      <c r="C1684" s="138" t="s">
        <v>170</v>
      </c>
      <c r="D1684" s="15">
        <v>2500000</v>
      </c>
      <c r="E1684" s="92">
        <v>0.92863505180000006</v>
      </c>
      <c r="F1684" s="18">
        <v>2321587.63</v>
      </c>
      <c r="G1684" s="15">
        <v>0</v>
      </c>
      <c r="H1684" s="13"/>
      <c r="I1684" s="13"/>
    </row>
    <row r="1685" spans="1:9">
      <c r="A1685" s="13" t="s">
        <v>2482</v>
      </c>
      <c r="B1685" s="138" t="s">
        <v>730</v>
      </c>
      <c r="C1685" s="138" t="s">
        <v>170</v>
      </c>
      <c r="D1685" s="15">
        <v>2500000</v>
      </c>
      <c r="E1685" s="92">
        <v>0.92785623210000001</v>
      </c>
      <c r="F1685" s="18">
        <v>2319640.58</v>
      </c>
      <c r="G1685" s="15">
        <v>0</v>
      </c>
      <c r="H1685" s="13"/>
      <c r="I1685" s="13"/>
    </row>
    <row r="1686" spans="1:9">
      <c r="A1686" s="13" t="s">
        <v>2483</v>
      </c>
      <c r="B1686" s="138" t="s">
        <v>1498</v>
      </c>
      <c r="C1686" s="138" t="s">
        <v>170</v>
      </c>
      <c r="D1686" s="15">
        <v>2500000</v>
      </c>
      <c r="E1686" s="92">
        <v>0.92707844360000002</v>
      </c>
      <c r="F1686" s="18">
        <v>2317696.11</v>
      </c>
      <c r="G1686" s="15">
        <v>0</v>
      </c>
      <c r="H1686" s="13"/>
      <c r="I1686" s="13"/>
    </row>
    <row r="1687" spans="1:9">
      <c r="A1687" s="13" t="s">
        <v>2484</v>
      </c>
      <c r="B1687" s="138" t="s">
        <v>1500</v>
      </c>
      <c r="C1687" s="138" t="s">
        <v>170</v>
      </c>
      <c r="D1687" s="15">
        <v>2500000</v>
      </c>
      <c r="E1687" s="92">
        <v>0.92398057209999995</v>
      </c>
      <c r="F1687" s="18">
        <v>2309951.4300000002</v>
      </c>
      <c r="G1687" s="15">
        <v>0</v>
      </c>
      <c r="H1687" s="13"/>
      <c r="I1687" s="13"/>
    </row>
    <row r="1688" spans="1:9">
      <c r="A1688" s="13" t="s">
        <v>2485</v>
      </c>
      <c r="B1688" s="138" t="s">
        <v>573</v>
      </c>
      <c r="C1688" s="138" t="s">
        <v>170</v>
      </c>
      <c r="D1688" s="15">
        <v>2500000</v>
      </c>
      <c r="E1688" s="92">
        <v>0.92320927210000003</v>
      </c>
      <c r="F1688" s="18">
        <v>2308023.1800000002</v>
      </c>
      <c r="G1688" s="15">
        <v>0</v>
      </c>
      <c r="H1688" s="13"/>
      <c r="I1688" s="13"/>
    </row>
    <row r="1689" spans="1:9">
      <c r="A1689" s="13" t="s">
        <v>2486</v>
      </c>
      <c r="B1689" s="138" t="s">
        <v>884</v>
      </c>
      <c r="C1689" s="138" t="s">
        <v>170</v>
      </c>
      <c r="D1689" s="15">
        <v>2500000</v>
      </c>
      <c r="E1689" s="92">
        <v>0.92243951530000001</v>
      </c>
      <c r="F1689" s="18">
        <v>2306098.79</v>
      </c>
      <c r="G1689" s="15">
        <v>0</v>
      </c>
      <c r="H1689" s="13"/>
      <c r="I1689" s="13"/>
    </row>
    <row r="1690" spans="1:9">
      <c r="A1690" s="13" t="s">
        <v>2487</v>
      </c>
      <c r="B1690" s="138" t="s">
        <v>1148</v>
      </c>
      <c r="C1690" s="138" t="s">
        <v>170</v>
      </c>
      <c r="D1690" s="15">
        <v>2500000</v>
      </c>
      <c r="E1690" s="92">
        <v>0.92167078459999996</v>
      </c>
      <c r="F1690" s="18">
        <v>2304176.96</v>
      </c>
      <c r="G1690" s="15">
        <v>0</v>
      </c>
      <c r="H1690" s="13"/>
      <c r="I1690" s="13"/>
    </row>
    <row r="1691" spans="1:9">
      <c r="A1691" s="13" t="s">
        <v>2488</v>
      </c>
      <c r="B1691" s="138" t="s">
        <v>704</v>
      </c>
      <c r="C1691" s="138" t="s">
        <v>170</v>
      </c>
      <c r="D1691" s="15">
        <v>2500000</v>
      </c>
      <c r="E1691" s="92">
        <v>0.91937251689999999</v>
      </c>
      <c r="F1691" s="18">
        <v>2298431.29</v>
      </c>
      <c r="G1691" s="15">
        <v>0</v>
      </c>
      <c r="H1691" s="13"/>
      <c r="I1691" s="13"/>
    </row>
    <row r="1692" spans="1:9">
      <c r="A1692" s="13" t="s">
        <v>2489</v>
      </c>
      <c r="B1692" s="138" t="s">
        <v>1872</v>
      </c>
      <c r="C1692" s="138" t="s">
        <v>170</v>
      </c>
      <c r="D1692" s="15">
        <v>2500000</v>
      </c>
      <c r="E1692" s="92">
        <v>0.91860888860000001</v>
      </c>
      <c r="F1692" s="18">
        <v>2296522.2200000002</v>
      </c>
      <c r="G1692" s="15">
        <v>0</v>
      </c>
      <c r="H1692" s="13"/>
      <c r="I1692" s="13"/>
    </row>
    <row r="1693" spans="1:9">
      <c r="A1693" s="13" t="s">
        <v>2490</v>
      </c>
      <c r="B1693" s="138" t="s">
        <v>1221</v>
      </c>
      <c r="C1693" s="138" t="s">
        <v>170</v>
      </c>
      <c r="D1693" s="15">
        <v>2500000</v>
      </c>
      <c r="E1693" s="153">
        <v>0.91784651500000003</v>
      </c>
      <c r="F1693" s="18">
        <v>2294616.29</v>
      </c>
      <c r="G1693" s="15">
        <v>0</v>
      </c>
      <c r="H1693" s="13"/>
      <c r="I1693" s="13"/>
    </row>
    <row r="1694" spans="1:9">
      <c r="A1694" s="13" t="s">
        <v>2491</v>
      </c>
      <c r="B1694" s="138" t="s">
        <v>712</v>
      </c>
      <c r="C1694" s="138" t="s">
        <v>170</v>
      </c>
      <c r="D1694" s="15">
        <v>2500000</v>
      </c>
      <c r="E1694" s="153">
        <v>0.93888276800000003</v>
      </c>
      <c r="F1694" s="18">
        <v>2347206.92</v>
      </c>
      <c r="G1694" s="15">
        <v>0</v>
      </c>
      <c r="H1694" s="13"/>
      <c r="I1694" s="13"/>
    </row>
    <row r="1695" spans="1:9">
      <c r="A1695" s="13" t="s">
        <v>2492</v>
      </c>
      <c r="B1695" s="138" t="s">
        <v>1171</v>
      </c>
      <c r="C1695" s="138" t="s">
        <v>170</v>
      </c>
      <c r="D1695" s="15">
        <v>2500000</v>
      </c>
      <c r="E1695" s="92">
        <v>0.94368899610000001</v>
      </c>
      <c r="F1695" s="18">
        <v>2359222.4900000002</v>
      </c>
      <c r="G1695" s="15">
        <v>0</v>
      </c>
      <c r="H1695" s="13"/>
      <c r="I1695" s="13"/>
    </row>
    <row r="1696" spans="1:9">
      <c r="A1696" s="13" t="s">
        <v>2493</v>
      </c>
      <c r="B1696" s="138" t="s">
        <v>595</v>
      </c>
      <c r="C1696" s="138" t="s">
        <v>170</v>
      </c>
      <c r="D1696" s="15">
        <v>2500000</v>
      </c>
      <c r="E1696" s="92">
        <v>0.94127974339999998</v>
      </c>
      <c r="F1696" s="18">
        <v>2353199.36</v>
      </c>
      <c r="G1696" s="15">
        <v>0</v>
      </c>
      <c r="H1696" s="13"/>
      <c r="I1696" s="13"/>
    </row>
    <row r="1697" spans="1:9">
      <c r="A1697" s="13" t="s">
        <v>2494</v>
      </c>
      <c r="B1697" s="138" t="s">
        <v>489</v>
      </c>
      <c r="C1697" s="138" t="s">
        <v>170</v>
      </c>
      <c r="D1697" s="15">
        <v>187200000</v>
      </c>
      <c r="E1697" s="92">
        <v>0.95399905110000005</v>
      </c>
      <c r="F1697" s="18">
        <v>178588622.37</v>
      </c>
      <c r="G1697" s="18">
        <v>0.28999999999999998</v>
      </c>
      <c r="H1697" s="13"/>
      <c r="I1697" s="13"/>
    </row>
    <row r="1698" spans="1:9">
      <c r="A1698" s="13" t="s">
        <v>2495</v>
      </c>
      <c r="B1698" s="138" t="s">
        <v>454</v>
      </c>
      <c r="C1698" s="138" t="s">
        <v>170</v>
      </c>
      <c r="D1698" s="150">
        <v>7498343.4000000004</v>
      </c>
      <c r="E1698" s="92">
        <v>0.97902474429999997</v>
      </c>
      <c r="F1698" s="18">
        <v>7341063.7300000004</v>
      </c>
      <c r="G1698" s="18">
        <v>0.01</v>
      </c>
      <c r="H1698" s="13"/>
      <c r="I1698" s="13"/>
    </row>
    <row r="1699" spans="1:9">
      <c r="A1699" s="13" t="s">
        <v>2496</v>
      </c>
      <c r="B1699" s="138" t="s">
        <v>456</v>
      </c>
      <c r="C1699" s="138" t="s">
        <v>170</v>
      </c>
      <c r="D1699" s="18">
        <v>41056810.280000001</v>
      </c>
      <c r="E1699" s="92">
        <v>0.9813676107</v>
      </c>
      <c r="F1699" s="18">
        <v>40291823.810000002</v>
      </c>
      <c r="G1699" s="18">
        <v>7.0000000000000007E-2</v>
      </c>
      <c r="H1699" s="13"/>
      <c r="I1699" s="13"/>
    </row>
    <row r="1700" spans="1:9">
      <c r="A1700" s="13" t="s">
        <v>2497</v>
      </c>
      <c r="B1700" s="138" t="s">
        <v>577</v>
      </c>
      <c r="C1700" s="138" t="s">
        <v>170</v>
      </c>
      <c r="D1700" s="18">
        <v>42880531.420000002</v>
      </c>
      <c r="E1700" s="92">
        <v>0.96847816060000003</v>
      </c>
      <c r="F1700" s="150">
        <v>41528858.200000003</v>
      </c>
      <c r="G1700" s="18">
        <v>7.0000000000000007E-2</v>
      </c>
      <c r="H1700" s="13"/>
      <c r="I1700" s="13"/>
    </row>
    <row r="1701" spans="1:9">
      <c r="A1701" s="13" t="s">
        <v>2498</v>
      </c>
      <c r="B1701" s="138" t="s">
        <v>890</v>
      </c>
      <c r="C1701" s="138" t="s">
        <v>170</v>
      </c>
      <c r="D1701" s="18">
        <v>44921898.869999997</v>
      </c>
      <c r="E1701" s="92">
        <v>0.94047930540000002</v>
      </c>
      <c r="F1701" s="18">
        <v>42248116.25</v>
      </c>
      <c r="G1701" s="18">
        <v>7.0000000000000007E-2</v>
      </c>
      <c r="H1701" s="13"/>
      <c r="I1701" s="13"/>
    </row>
    <row r="1702" spans="1:9">
      <c r="A1702" s="13" t="s">
        <v>2499</v>
      </c>
      <c r="B1702" s="138" t="s">
        <v>450</v>
      </c>
      <c r="C1702" s="138" t="s">
        <v>170</v>
      </c>
      <c r="D1702" s="18">
        <v>40178584.170000002</v>
      </c>
      <c r="E1702" s="153">
        <v>0.98049758399999998</v>
      </c>
      <c r="F1702" s="18">
        <v>39395004.710000001</v>
      </c>
      <c r="G1702" s="18">
        <v>0.06</v>
      </c>
      <c r="H1702" s="13"/>
      <c r="I1702" s="13"/>
    </row>
    <row r="1703" spans="1:9">
      <c r="A1703" s="13" t="s">
        <v>2500</v>
      </c>
      <c r="B1703" s="138" t="s">
        <v>494</v>
      </c>
      <c r="C1703" s="138" t="s">
        <v>170</v>
      </c>
      <c r="D1703" s="18">
        <v>56057920.039999999</v>
      </c>
      <c r="E1703" s="153">
        <v>0.96257828099999998</v>
      </c>
      <c r="F1703" s="18">
        <v>53960136.310000002</v>
      </c>
      <c r="G1703" s="18">
        <v>0.09</v>
      </c>
      <c r="H1703" s="13"/>
      <c r="I1703" s="13"/>
    </row>
    <row r="1704" spans="1:9">
      <c r="A1704" s="13" t="s">
        <v>2501</v>
      </c>
      <c r="B1704" s="138" t="s">
        <v>1590</v>
      </c>
      <c r="C1704" s="138" t="s">
        <v>170</v>
      </c>
      <c r="D1704" s="18">
        <v>100071435.06999999</v>
      </c>
      <c r="E1704" s="92">
        <v>0.93254993740000003</v>
      </c>
      <c r="F1704" s="18">
        <v>93321610.510000005</v>
      </c>
      <c r="G1704" s="18">
        <v>0.15</v>
      </c>
      <c r="H1704" s="13"/>
      <c r="I1704" s="13"/>
    </row>
    <row r="1705" spans="1:9">
      <c r="A1705" s="13" t="s">
        <v>2502</v>
      </c>
      <c r="B1705" s="138" t="s">
        <v>489</v>
      </c>
      <c r="C1705" s="138" t="s">
        <v>170</v>
      </c>
      <c r="D1705" s="18">
        <v>38402544.32</v>
      </c>
      <c r="E1705" s="92">
        <v>0.96174122809999996</v>
      </c>
      <c r="F1705" s="18">
        <v>36933310.140000001</v>
      </c>
      <c r="G1705" s="18">
        <v>0.06</v>
      </c>
      <c r="H1705" s="13"/>
      <c r="I1705" s="13"/>
    </row>
    <row r="1706" spans="1:9">
      <c r="A1706" s="13" t="s">
        <v>2503</v>
      </c>
      <c r="B1706" s="138" t="s">
        <v>450</v>
      </c>
      <c r="C1706" s="138" t="s">
        <v>170</v>
      </c>
      <c r="D1706" s="18">
        <v>54981002.380000003</v>
      </c>
      <c r="E1706" s="92">
        <v>0.98049758350000005</v>
      </c>
      <c r="F1706" s="18">
        <v>53908739.969999999</v>
      </c>
      <c r="G1706" s="18">
        <v>0.09</v>
      </c>
      <c r="H1706" s="13"/>
      <c r="I1706" s="13"/>
    </row>
    <row r="1707" spans="1:9">
      <c r="A1707" s="13" t="s">
        <v>2504</v>
      </c>
      <c r="B1707" s="138" t="s">
        <v>450</v>
      </c>
      <c r="C1707" s="138" t="s">
        <v>170</v>
      </c>
      <c r="D1707" s="18">
        <v>62834653.810000002</v>
      </c>
      <c r="E1707" s="92">
        <v>0.98049758350000005</v>
      </c>
      <c r="F1707" s="18">
        <v>61609226.219999999</v>
      </c>
      <c r="G1707" s="150">
        <v>0.1</v>
      </c>
      <c r="H1707" s="13"/>
      <c r="I1707" s="13"/>
    </row>
    <row r="1708" spans="1:9">
      <c r="A1708" s="13" t="s">
        <v>2505</v>
      </c>
      <c r="B1708" s="138" t="s">
        <v>450</v>
      </c>
      <c r="C1708" s="138" t="s">
        <v>170</v>
      </c>
      <c r="D1708" s="18">
        <v>60486147.640000001</v>
      </c>
      <c r="E1708" s="92">
        <v>0.98049758350000005</v>
      </c>
      <c r="F1708" s="150">
        <v>59306521.600000001</v>
      </c>
      <c r="G1708" s="150">
        <v>0.1</v>
      </c>
      <c r="H1708" s="13"/>
      <c r="I1708" s="13"/>
    </row>
    <row r="1709" spans="1:9">
      <c r="A1709" s="13" t="s">
        <v>2506</v>
      </c>
      <c r="B1709" s="138" t="s">
        <v>450</v>
      </c>
      <c r="C1709" s="138" t="s">
        <v>170</v>
      </c>
      <c r="D1709" s="18">
        <v>10751187.560000001</v>
      </c>
      <c r="E1709" s="153">
        <v>0.98049758399999998</v>
      </c>
      <c r="F1709" s="18">
        <v>10541513.43</v>
      </c>
      <c r="G1709" s="18">
        <v>0.02</v>
      </c>
      <c r="H1709" s="13"/>
      <c r="I1709" s="13"/>
    </row>
    <row r="1710" spans="1:9">
      <c r="A1710" s="13" t="s">
        <v>2507</v>
      </c>
      <c r="B1710" s="138" t="s">
        <v>450</v>
      </c>
      <c r="C1710" s="138" t="s">
        <v>170</v>
      </c>
      <c r="D1710" s="18">
        <v>22236047.670000002</v>
      </c>
      <c r="E1710" s="92">
        <v>0.98049758350000005</v>
      </c>
      <c r="F1710" s="18">
        <v>21802391.010000002</v>
      </c>
      <c r="G1710" s="18">
        <v>0.04</v>
      </c>
      <c r="H1710" s="13"/>
      <c r="I1710" s="13"/>
    </row>
    <row r="1711" spans="1:9">
      <c r="A1711" s="13" t="s">
        <v>2508</v>
      </c>
      <c r="B1711" s="138" t="s">
        <v>450</v>
      </c>
      <c r="C1711" s="138" t="s">
        <v>170</v>
      </c>
      <c r="D1711" s="18">
        <v>34954720.25</v>
      </c>
      <c r="E1711" s="92">
        <v>0.98049758350000005</v>
      </c>
      <c r="F1711" s="18">
        <v>34273018.740000002</v>
      </c>
      <c r="G1711" s="18">
        <v>0.06</v>
      </c>
      <c r="H1711" s="13"/>
      <c r="I1711" s="13"/>
    </row>
    <row r="1712" spans="1:9">
      <c r="A1712" s="13" t="s">
        <v>2509</v>
      </c>
      <c r="B1712" s="138" t="s">
        <v>549</v>
      </c>
      <c r="C1712" s="138" t="s">
        <v>170</v>
      </c>
      <c r="D1712" s="18">
        <v>24760170.170000002</v>
      </c>
      <c r="E1712" s="92">
        <v>0.95592289630000005</v>
      </c>
      <c r="F1712" s="18">
        <v>23668813.579999998</v>
      </c>
      <c r="G1712" s="18">
        <v>0.04</v>
      </c>
      <c r="H1712" s="13"/>
      <c r="I1712" s="13"/>
    </row>
    <row r="1713" spans="1:9">
      <c r="A1713" s="13" t="s">
        <v>2510</v>
      </c>
      <c r="B1713" s="138" t="s">
        <v>450</v>
      </c>
      <c r="C1713" s="138" t="s">
        <v>170</v>
      </c>
      <c r="D1713" s="18">
        <v>29615091.850000001</v>
      </c>
      <c r="E1713" s="92">
        <v>0.98049758350000005</v>
      </c>
      <c r="F1713" s="18">
        <v>29037525.989999998</v>
      </c>
      <c r="G1713" s="18">
        <v>0.05</v>
      </c>
      <c r="H1713" s="13"/>
      <c r="I1713" s="13"/>
    </row>
    <row r="1714" spans="1:9">
      <c r="A1714" s="13" t="s">
        <v>2523</v>
      </c>
      <c r="B1714" s="138" t="s">
        <v>544</v>
      </c>
      <c r="C1714" s="138" t="s">
        <v>463</v>
      </c>
      <c r="D1714" s="18">
        <v>18239769.260000002</v>
      </c>
      <c r="E1714" s="92">
        <v>0.95800549830000004</v>
      </c>
      <c r="F1714" s="18">
        <v>17473799.239999998</v>
      </c>
      <c r="G1714" s="18">
        <v>0.03</v>
      </c>
      <c r="H1714" s="13"/>
      <c r="I1714" s="13"/>
    </row>
    <row r="1715" spans="1:9">
      <c r="A1715" s="13" t="s">
        <v>2524</v>
      </c>
      <c r="B1715" s="138" t="s">
        <v>553</v>
      </c>
      <c r="C1715" s="138" t="s">
        <v>463</v>
      </c>
      <c r="D1715" s="18">
        <v>18239769.260000002</v>
      </c>
      <c r="E1715" s="92">
        <v>0.95320178980000003</v>
      </c>
      <c r="F1715" s="150">
        <v>17386180.699999999</v>
      </c>
      <c r="G1715" s="18">
        <v>0.03</v>
      </c>
      <c r="H1715" s="13"/>
      <c r="I1715" s="13"/>
    </row>
    <row r="1716" spans="1:9">
      <c r="A1716" s="13" t="s">
        <v>2525</v>
      </c>
      <c r="B1716" s="138" t="s">
        <v>527</v>
      </c>
      <c r="C1716" s="138" t="s">
        <v>463</v>
      </c>
      <c r="D1716" s="15">
        <v>70000000</v>
      </c>
      <c r="E1716" s="153">
        <v>0.97294434900000004</v>
      </c>
      <c r="F1716" s="18">
        <v>68106104.430000007</v>
      </c>
      <c r="G1716" s="18">
        <v>0.11</v>
      </c>
      <c r="H1716" s="13"/>
      <c r="I1716" s="13"/>
    </row>
    <row r="1717" spans="1:9">
      <c r="A1717" s="13" t="s">
        <v>2526</v>
      </c>
      <c r="B1717" s="138" t="s">
        <v>589</v>
      </c>
      <c r="C1717" s="138" t="s">
        <v>463</v>
      </c>
      <c r="D1717" s="18">
        <v>35466704.420000002</v>
      </c>
      <c r="E1717" s="92">
        <v>0.95151215310000004</v>
      </c>
      <c r="F1717" s="18">
        <v>33747000.289999999</v>
      </c>
      <c r="G1717" s="18">
        <v>0.06</v>
      </c>
      <c r="H1717" s="13"/>
      <c r="I1717" s="13"/>
    </row>
    <row r="1718" spans="1:9">
      <c r="A1718" s="13" t="s">
        <v>2528</v>
      </c>
      <c r="B1718" s="138" t="s">
        <v>607</v>
      </c>
      <c r="C1718" s="138" t="s">
        <v>445</v>
      </c>
      <c r="D1718" s="15">
        <v>677500000</v>
      </c>
      <c r="E1718" s="92">
        <v>0.97458086229999996</v>
      </c>
      <c r="F1718" s="18">
        <v>660278534.21000004</v>
      </c>
      <c r="G1718" s="18">
        <v>1.08</v>
      </c>
      <c r="H1718" s="13"/>
      <c r="I1718" s="13"/>
    </row>
    <row r="1719" spans="1:9">
      <c r="A1719" s="13" t="s">
        <v>2529</v>
      </c>
      <c r="B1719" s="138" t="s">
        <v>581</v>
      </c>
      <c r="C1719" s="138" t="s">
        <v>445</v>
      </c>
      <c r="D1719" s="15">
        <v>17357571</v>
      </c>
      <c r="E1719" s="92">
        <v>0.96204549110000004</v>
      </c>
      <c r="F1719" s="18">
        <v>16698772.92</v>
      </c>
      <c r="G1719" s="18">
        <v>0.03</v>
      </c>
      <c r="H1719" s="13"/>
      <c r="I1719" s="13"/>
    </row>
    <row r="1720" spans="1:9">
      <c r="A1720" s="13" t="s">
        <v>2530</v>
      </c>
      <c r="B1720" s="138" t="s">
        <v>560</v>
      </c>
      <c r="C1720" s="138" t="s">
        <v>445</v>
      </c>
      <c r="D1720" s="15">
        <v>29575498</v>
      </c>
      <c r="E1720" s="92">
        <v>0.97022868669999995</v>
      </c>
      <c r="F1720" s="18">
        <v>28694996.579999998</v>
      </c>
      <c r="G1720" s="18">
        <v>0.05</v>
      </c>
      <c r="H1720" s="13"/>
      <c r="I1720" s="13"/>
    </row>
    <row r="1721" spans="1:9">
      <c r="A1721" s="13" t="s">
        <v>2531</v>
      </c>
      <c r="B1721" s="138" t="s">
        <v>999</v>
      </c>
      <c r="C1721" s="138" t="s">
        <v>445</v>
      </c>
      <c r="D1721" s="15">
        <v>5800000</v>
      </c>
      <c r="E1721" s="92">
        <v>0.90212556150000001</v>
      </c>
      <c r="F1721" s="18">
        <v>5232328.26</v>
      </c>
      <c r="G1721" s="18">
        <v>0.01</v>
      </c>
      <c r="H1721" s="13"/>
      <c r="I1721" s="13"/>
    </row>
    <row r="1722" spans="1:9">
      <c r="A1722" s="13" t="s">
        <v>2532</v>
      </c>
      <c r="B1722" s="138" t="s">
        <v>1221</v>
      </c>
      <c r="C1722" s="138" t="s">
        <v>445</v>
      </c>
      <c r="D1722" s="15">
        <v>5800000</v>
      </c>
      <c r="E1722" s="92">
        <v>0.91784666349999999</v>
      </c>
      <c r="F1722" s="18">
        <v>5323510.6500000004</v>
      </c>
      <c r="G1722" s="18">
        <v>0.01</v>
      </c>
      <c r="H1722" s="13"/>
      <c r="I1722" s="13"/>
    </row>
    <row r="1723" spans="1:9">
      <c r="A1723" s="13" t="s">
        <v>2533</v>
      </c>
      <c r="B1723" s="138" t="s">
        <v>1500</v>
      </c>
      <c r="C1723" s="138" t="s">
        <v>445</v>
      </c>
      <c r="D1723" s="15">
        <v>5800000</v>
      </c>
      <c r="E1723" s="153">
        <v>0.92398071900000001</v>
      </c>
      <c r="F1723" s="18">
        <v>5359088.17</v>
      </c>
      <c r="G1723" s="18">
        <v>0.01</v>
      </c>
      <c r="H1723" s="13"/>
      <c r="I1723" s="13"/>
    </row>
    <row r="1724" spans="1:9">
      <c r="A1724" s="13" t="s">
        <v>2534</v>
      </c>
      <c r="B1724" s="138" t="s">
        <v>531</v>
      </c>
      <c r="C1724" s="138" t="s">
        <v>445</v>
      </c>
      <c r="D1724" s="15">
        <v>200000000</v>
      </c>
      <c r="E1724" s="92">
        <v>0.96775917479999995</v>
      </c>
      <c r="F1724" s="18">
        <v>193551834.96000001</v>
      </c>
      <c r="G1724" s="18">
        <v>0.32</v>
      </c>
      <c r="H1724" s="13"/>
      <c r="I1724" s="13"/>
    </row>
    <row r="1725" spans="1:9">
      <c r="A1725" s="13" t="s">
        <v>2535</v>
      </c>
      <c r="B1725" s="138" t="s">
        <v>890</v>
      </c>
      <c r="C1725" s="138" t="s">
        <v>445</v>
      </c>
      <c r="D1725" s="15">
        <v>200000000</v>
      </c>
      <c r="E1725" s="92">
        <v>0.94217882249999996</v>
      </c>
      <c r="F1725" s="150">
        <v>188435764.5</v>
      </c>
      <c r="G1725" s="18">
        <v>0.31</v>
      </c>
      <c r="H1725" s="13"/>
      <c r="I1725" s="13"/>
    </row>
    <row r="1726" spans="1:9">
      <c r="A1726" s="13" t="s">
        <v>2536</v>
      </c>
      <c r="B1726" s="138" t="s">
        <v>1500</v>
      </c>
      <c r="C1726" s="138" t="s">
        <v>464</v>
      </c>
      <c r="D1726" s="15">
        <v>100000000</v>
      </c>
      <c r="E1726" s="92">
        <v>0.91974320789999997</v>
      </c>
      <c r="F1726" s="18">
        <v>91974320.790000007</v>
      </c>
      <c r="G1726" s="18">
        <v>0.15</v>
      </c>
      <c r="H1726" s="13"/>
      <c r="I1726" s="13"/>
    </row>
    <row r="1727" spans="1:9">
      <c r="A1727" s="13" t="s">
        <v>2537</v>
      </c>
      <c r="B1727" s="138" t="s">
        <v>456</v>
      </c>
      <c r="C1727" s="138" t="s">
        <v>464</v>
      </c>
      <c r="D1727" s="18">
        <v>14918805.560000001</v>
      </c>
      <c r="E1727" s="92">
        <v>0.97915637779999998</v>
      </c>
      <c r="F1727" s="18">
        <v>14607843.609999999</v>
      </c>
      <c r="G1727" s="18">
        <v>0.02</v>
      </c>
      <c r="H1727" s="13"/>
      <c r="I1727" s="13"/>
    </row>
    <row r="1728" spans="1:9">
      <c r="A1728" s="13" t="s">
        <v>2538</v>
      </c>
      <c r="B1728" s="138" t="s">
        <v>595</v>
      </c>
      <c r="C1728" s="138" t="s">
        <v>464</v>
      </c>
      <c r="D1728" s="15">
        <v>247000000</v>
      </c>
      <c r="E1728" s="92">
        <v>0.93297915480000004</v>
      </c>
      <c r="F1728" s="18">
        <v>230445851.24000001</v>
      </c>
      <c r="G1728" s="18">
        <v>0.38</v>
      </c>
      <c r="H1728" s="13"/>
      <c r="I1728" s="13"/>
    </row>
    <row r="1729" spans="1:9">
      <c r="A1729" s="13" t="s">
        <v>2539</v>
      </c>
      <c r="B1729" s="138" t="s">
        <v>551</v>
      </c>
      <c r="C1729" s="138" t="s">
        <v>464</v>
      </c>
      <c r="D1729" s="15">
        <v>15432750</v>
      </c>
      <c r="E1729" s="92">
        <v>0.97813275170000002</v>
      </c>
      <c r="F1729" s="18">
        <v>15095278.220000001</v>
      </c>
      <c r="G1729" s="18">
        <v>0.02</v>
      </c>
      <c r="H1729" s="13"/>
      <c r="I1729" s="13"/>
    </row>
    <row r="1730" spans="1:9">
      <c r="A1730" s="13" t="s">
        <v>2540</v>
      </c>
      <c r="B1730" s="138" t="s">
        <v>575</v>
      </c>
      <c r="C1730" s="138" t="s">
        <v>464</v>
      </c>
      <c r="D1730" s="15">
        <v>10000000</v>
      </c>
      <c r="E1730" s="92">
        <v>0.93226410069999999</v>
      </c>
      <c r="F1730" s="18">
        <v>9322641.0099999998</v>
      </c>
      <c r="G1730" s="18">
        <v>0.02</v>
      </c>
      <c r="H1730" s="13"/>
      <c r="I1730" s="13"/>
    </row>
    <row r="1731" spans="1:9">
      <c r="A1731" s="13" t="s">
        <v>2541</v>
      </c>
      <c r="B1731" s="138" t="s">
        <v>497</v>
      </c>
      <c r="C1731" s="138" t="s">
        <v>464</v>
      </c>
      <c r="D1731" s="15">
        <v>10000000</v>
      </c>
      <c r="E1731" s="92">
        <v>0.92743185539999995</v>
      </c>
      <c r="F1731" s="18">
        <v>9274318.5500000007</v>
      </c>
      <c r="G1731" s="18">
        <v>0.02</v>
      </c>
      <c r="H1731" s="13"/>
      <c r="I1731" s="13"/>
    </row>
    <row r="1732" spans="1:9">
      <c r="A1732" s="13" t="s">
        <v>2542</v>
      </c>
      <c r="B1732" s="138" t="s">
        <v>950</v>
      </c>
      <c r="C1732" s="138" t="s">
        <v>464</v>
      </c>
      <c r="D1732" s="15">
        <v>10000000</v>
      </c>
      <c r="E1732" s="92">
        <v>0.93796585109999997</v>
      </c>
      <c r="F1732" s="18">
        <v>9379658.5099999998</v>
      </c>
      <c r="G1732" s="18">
        <v>0.02</v>
      </c>
      <c r="H1732" s="13"/>
      <c r="I1732" s="13"/>
    </row>
    <row r="1733" spans="1:9">
      <c r="A1733" s="13" t="s">
        <v>2543</v>
      </c>
      <c r="B1733" s="138" t="s">
        <v>740</v>
      </c>
      <c r="C1733" s="138" t="s">
        <v>464</v>
      </c>
      <c r="D1733" s="15">
        <v>10000000</v>
      </c>
      <c r="E1733" s="92">
        <v>0.93307447170000002</v>
      </c>
      <c r="F1733" s="18">
        <v>9330744.7200000007</v>
      </c>
      <c r="G1733" s="18">
        <v>0.02</v>
      </c>
      <c r="H1733" s="13"/>
      <c r="I1733" s="13"/>
    </row>
    <row r="1734" spans="1:9">
      <c r="A1734" s="13" t="s">
        <v>2544</v>
      </c>
      <c r="B1734" s="138" t="s">
        <v>727</v>
      </c>
      <c r="C1734" s="138" t="s">
        <v>464</v>
      </c>
      <c r="D1734" s="15">
        <v>10000000</v>
      </c>
      <c r="E1734" s="92">
        <v>0.95634867459999995</v>
      </c>
      <c r="F1734" s="18">
        <v>9563486.75</v>
      </c>
      <c r="G1734" s="18">
        <v>0.02</v>
      </c>
      <c r="H1734" s="13"/>
      <c r="I1734" s="13"/>
    </row>
    <row r="1735" spans="1:9">
      <c r="A1735" s="13" t="s">
        <v>2545</v>
      </c>
      <c r="B1735" s="138" t="s">
        <v>600</v>
      </c>
      <c r="C1735" s="138" t="s">
        <v>464</v>
      </c>
      <c r="D1735" s="15">
        <v>10000000</v>
      </c>
      <c r="E1735" s="92">
        <v>0.95126420739999995</v>
      </c>
      <c r="F1735" s="18">
        <v>9512642.0700000003</v>
      </c>
      <c r="G1735" s="18">
        <v>0.02</v>
      </c>
      <c r="H1735" s="13"/>
      <c r="I1735" s="13"/>
    </row>
    <row r="1736" spans="1:9">
      <c r="A1736" s="13" t="s">
        <v>2546</v>
      </c>
      <c r="B1736" s="138" t="s">
        <v>730</v>
      </c>
      <c r="C1736" s="138" t="s">
        <v>464</v>
      </c>
      <c r="D1736" s="15">
        <v>10000000</v>
      </c>
      <c r="E1736" s="153">
        <v>0.925832027</v>
      </c>
      <c r="F1736" s="18">
        <v>9258320.2699999996</v>
      </c>
      <c r="G1736" s="18">
        <v>0.02</v>
      </c>
      <c r="H1736" s="13"/>
      <c r="I1736" s="13"/>
    </row>
    <row r="1737" spans="1:9">
      <c r="A1737" s="13" t="s">
        <v>2547</v>
      </c>
      <c r="B1737" s="138" t="s">
        <v>587</v>
      </c>
      <c r="C1737" s="138" t="s">
        <v>464</v>
      </c>
      <c r="D1737" s="15">
        <v>10000000</v>
      </c>
      <c r="E1737" s="92">
        <v>0.94790439120000003</v>
      </c>
      <c r="F1737" s="18">
        <v>9479043.9100000001</v>
      </c>
      <c r="G1737" s="18">
        <v>0.02</v>
      </c>
      <c r="H1737" s="13"/>
      <c r="I1737" s="13"/>
    </row>
    <row r="1738" spans="1:9">
      <c r="A1738" s="13" t="s">
        <v>2548</v>
      </c>
      <c r="B1738" s="138" t="s">
        <v>884</v>
      </c>
      <c r="C1738" s="138" t="s">
        <v>464</v>
      </c>
      <c r="D1738" s="15">
        <v>10000000</v>
      </c>
      <c r="E1738" s="92">
        <v>0.92027640619999995</v>
      </c>
      <c r="F1738" s="18">
        <v>9202764.0600000005</v>
      </c>
      <c r="G1738" s="18">
        <v>0.02</v>
      </c>
      <c r="H1738" s="13"/>
      <c r="I1738" s="13"/>
    </row>
    <row r="1739" spans="1:9">
      <c r="A1739" s="13" t="s">
        <v>2549</v>
      </c>
      <c r="B1739" s="138" t="s">
        <v>591</v>
      </c>
      <c r="C1739" s="138" t="s">
        <v>464</v>
      </c>
      <c r="D1739" s="15">
        <v>10000000</v>
      </c>
      <c r="E1739" s="92">
        <v>0.9437377763</v>
      </c>
      <c r="F1739" s="18">
        <v>9437377.7599999998</v>
      </c>
      <c r="G1739" s="18">
        <v>0.02</v>
      </c>
      <c r="H1739" s="13"/>
      <c r="I1739" s="13"/>
    </row>
    <row r="1740" spans="1:9">
      <c r="A1740" s="13" t="s">
        <v>2550</v>
      </c>
      <c r="B1740" s="138" t="s">
        <v>1245</v>
      </c>
      <c r="C1740" s="138" t="s">
        <v>464</v>
      </c>
      <c r="D1740" s="15">
        <v>25000000</v>
      </c>
      <c r="E1740" s="92">
        <v>0.8859441012</v>
      </c>
      <c r="F1740" s="18">
        <v>22148602.530000001</v>
      </c>
      <c r="G1740" s="18">
        <v>0.04</v>
      </c>
      <c r="H1740" s="13"/>
      <c r="I1740" s="13"/>
    </row>
    <row r="1741" spans="1:9">
      <c r="A1741" s="13" t="s">
        <v>2551</v>
      </c>
      <c r="B1741" s="138" t="s">
        <v>2552</v>
      </c>
      <c r="C1741" s="138" t="s">
        <v>464</v>
      </c>
      <c r="D1741" s="15">
        <v>25000000</v>
      </c>
      <c r="E1741" s="153">
        <v>0.84860052600000002</v>
      </c>
      <c r="F1741" s="18">
        <v>21215013.149999999</v>
      </c>
      <c r="G1741" s="18">
        <v>0.03</v>
      </c>
      <c r="H1741" s="13"/>
      <c r="I1741" s="13"/>
    </row>
    <row r="1742" spans="1:9">
      <c r="A1742" s="13" t="s">
        <v>2553</v>
      </c>
      <c r="B1742" s="138" t="s">
        <v>1251</v>
      </c>
      <c r="C1742" s="138" t="s">
        <v>464</v>
      </c>
      <c r="D1742" s="15">
        <v>25000000</v>
      </c>
      <c r="E1742" s="92">
        <v>0.86954455070000003</v>
      </c>
      <c r="F1742" s="18">
        <v>21738613.77</v>
      </c>
      <c r="G1742" s="18">
        <v>0.04</v>
      </c>
      <c r="H1742" s="13"/>
      <c r="I1742" s="13"/>
    </row>
    <row r="1743" spans="1:9">
      <c r="A1743" s="13" t="s">
        <v>2554</v>
      </c>
      <c r="B1743" s="138" t="s">
        <v>2146</v>
      </c>
      <c r="C1743" s="138" t="s">
        <v>464</v>
      </c>
      <c r="D1743" s="15">
        <v>25000000</v>
      </c>
      <c r="E1743" s="92">
        <v>0.86801444210000001</v>
      </c>
      <c r="F1743" s="18">
        <v>21700361.050000001</v>
      </c>
      <c r="G1743" s="18">
        <v>0.04</v>
      </c>
      <c r="H1743" s="13"/>
      <c r="I1743" s="13"/>
    </row>
    <row r="1744" spans="1:9">
      <c r="A1744" s="13" t="s">
        <v>2555</v>
      </c>
      <c r="B1744" s="138" t="s">
        <v>475</v>
      </c>
      <c r="C1744" s="138" t="s">
        <v>464</v>
      </c>
      <c r="D1744" s="15">
        <v>450000</v>
      </c>
      <c r="E1744" s="92">
        <v>0.98712706670000006</v>
      </c>
      <c r="F1744" s="18">
        <v>444207.18</v>
      </c>
      <c r="G1744" s="15">
        <v>0</v>
      </c>
      <c r="H1744" s="13"/>
      <c r="I1744" s="13"/>
    </row>
    <row r="1745" spans="1:9">
      <c r="A1745" s="13" t="s">
        <v>2556</v>
      </c>
      <c r="B1745" s="138" t="s">
        <v>2297</v>
      </c>
      <c r="C1745" s="138" t="s">
        <v>464</v>
      </c>
      <c r="D1745" s="15">
        <v>50000000</v>
      </c>
      <c r="E1745" s="92">
        <v>0.88104676609999999</v>
      </c>
      <c r="F1745" s="18">
        <v>44052338.310000002</v>
      </c>
      <c r="G1745" s="18">
        <v>7.0000000000000007E-2</v>
      </c>
      <c r="H1745" s="13"/>
      <c r="I1745" s="13"/>
    </row>
    <row r="1746" spans="1:9">
      <c r="A1746" s="13" t="s">
        <v>2557</v>
      </c>
      <c r="B1746" s="138" t="s">
        <v>2558</v>
      </c>
      <c r="C1746" s="138" t="s">
        <v>464</v>
      </c>
      <c r="D1746" s="15">
        <v>50000000</v>
      </c>
      <c r="E1746" s="92">
        <v>0.87630860960000001</v>
      </c>
      <c r="F1746" s="18">
        <v>43815430.479999997</v>
      </c>
      <c r="G1746" s="18">
        <v>7.0000000000000007E-2</v>
      </c>
      <c r="H1746" s="13"/>
      <c r="I1746" s="13"/>
    </row>
    <row r="1747" spans="1:9">
      <c r="A1747" s="13" t="s">
        <v>2559</v>
      </c>
      <c r="B1747" s="138" t="s">
        <v>730</v>
      </c>
      <c r="C1747" s="138" t="s">
        <v>464</v>
      </c>
      <c r="D1747" s="15">
        <v>25000000</v>
      </c>
      <c r="E1747" s="92">
        <v>0.91981255930000005</v>
      </c>
      <c r="F1747" s="18">
        <v>22995313.98</v>
      </c>
      <c r="G1747" s="18">
        <v>0.04</v>
      </c>
      <c r="H1747" s="13"/>
      <c r="I1747" s="13"/>
    </row>
    <row r="1748" spans="1:9">
      <c r="A1748" s="13" t="s">
        <v>2560</v>
      </c>
      <c r="B1748" s="138" t="s">
        <v>1498</v>
      </c>
      <c r="C1748" s="138" t="s">
        <v>464</v>
      </c>
      <c r="D1748" s="15">
        <v>25000000</v>
      </c>
      <c r="E1748" s="92">
        <v>0.91895593929999997</v>
      </c>
      <c r="F1748" s="18">
        <v>22973898.48</v>
      </c>
      <c r="G1748" s="18">
        <v>0.04</v>
      </c>
      <c r="H1748" s="13"/>
      <c r="I1748" s="13"/>
    </row>
    <row r="1749" spans="1:9">
      <c r="A1749" s="13" t="s">
        <v>2561</v>
      </c>
      <c r="B1749" s="138" t="s">
        <v>573</v>
      </c>
      <c r="C1749" s="138" t="s">
        <v>464</v>
      </c>
      <c r="D1749" s="15">
        <v>25000000</v>
      </c>
      <c r="E1749" s="92">
        <v>0.9146954289</v>
      </c>
      <c r="F1749" s="18">
        <v>22867385.719999999</v>
      </c>
      <c r="G1749" s="18">
        <v>0.04</v>
      </c>
      <c r="H1749" s="13"/>
      <c r="I1749" s="13"/>
    </row>
    <row r="1750" spans="1:9">
      <c r="A1750" s="13" t="s">
        <v>2562</v>
      </c>
      <c r="B1750" s="138" t="s">
        <v>1148</v>
      </c>
      <c r="C1750" s="138" t="s">
        <v>464</v>
      </c>
      <c r="D1750" s="15">
        <v>25000000</v>
      </c>
      <c r="E1750" s="92">
        <v>0.91300244740000003</v>
      </c>
      <c r="F1750" s="18">
        <v>22825061.190000001</v>
      </c>
      <c r="G1750" s="18">
        <v>0.04</v>
      </c>
      <c r="H1750" s="13"/>
      <c r="I1750" s="13"/>
    </row>
    <row r="1751" spans="1:9">
      <c r="A1751" s="13" t="s">
        <v>2563</v>
      </c>
      <c r="B1751" s="138" t="s">
        <v>571</v>
      </c>
      <c r="C1751" s="138" t="s">
        <v>464</v>
      </c>
      <c r="D1751" s="15">
        <v>25000000</v>
      </c>
      <c r="E1751" s="92">
        <v>0.92067109089999999</v>
      </c>
      <c r="F1751" s="18">
        <v>23016777.27</v>
      </c>
      <c r="G1751" s="18">
        <v>0.04</v>
      </c>
      <c r="H1751" s="13"/>
      <c r="I1751" s="13"/>
    </row>
    <row r="1752" spans="1:9">
      <c r="A1752" s="13" t="s">
        <v>2564</v>
      </c>
      <c r="B1752" s="138" t="s">
        <v>1500</v>
      </c>
      <c r="C1752" s="138" t="s">
        <v>464</v>
      </c>
      <c r="D1752" s="15">
        <v>25000000</v>
      </c>
      <c r="E1752" s="92">
        <v>0.91554442889999998</v>
      </c>
      <c r="F1752" s="18">
        <v>22888610.719999999</v>
      </c>
      <c r="G1752" s="18">
        <v>0.04</v>
      </c>
      <c r="H1752" s="13"/>
      <c r="I1752" s="13"/>
    </row>
    <row r="1753" spans="1:9">
      <c r="A1753" s="13" t="s">
        <v>2565</v>
      </c>
      <c r="B1753" s="138" t="s">
        <v>884</v>
      </c>
      <c r="C1753" s="138" t="s">
        <v>464</v>
      </c>
      <c r="D1753" s="15">
        <v>25000000</v>
      </c>
      <c r="E1753" s="92">
        <v>0.91384800020000001</v>
      </c>
      <c r="F1753" s="18">
        <v>22846200.010000002</v>
      </c>
      <c r="G1753" s="18">
        <v>0.04</v>
      </c>
      <c r="H1753" s="13"/>
      <c r="I1753" s="13"/>
    </row>
    <row r="1754" spans="1:9">
      <c r="A1754" s="13" t="s">
        <v>2566</v>
      </c>
      <c r="B1754" s="138" t="s">
        <v>884</v>
      </c>
      <c r="C1754" s="138" t="s">
        <v>464</v>
      </c>
      <c r="D1754" s="18">
        <v>3087576.27</v>
      </c>
      <c r="E1754" s="92">
        <v>0.91812357950000001</v>
      </c>
      <c r="F1754" s="18">
        <v>2834776.58</v>
      </c>
      <c r="G1754" s="15">
        <v>0</v>
      </c>
      <c r="H1754" s="13"/>
      <c r="I1754" s="13"/>
    </row>
    <row r="1755" spans="1:9">
      <c r="A1755" s="13" t="s">
        <v>2567</v>
      </c>
      <c r="B1755" s="138" t="s">
        <v>497</v>
      </c>
      <c r="C1755" s="138" t="s">
        <v>464</v>
      </c>
      <c r="D1755" s="18">
        <v>3087576.27</v>
      </c>
      <c r="E1755" s="92">
        <v>0.9254566004</v>
      </c>
      <c r="F1755" s="18">
        <v>2857417.84</v>
      </c>
      <c r="G1755" s="15">
        <v>0</v>
      </c>
      <c r="H1755" s="13"/>
      <c r="I1755" s="13"/>
    </row>
    <row r="1756" spans="1:9">
      <c r="A1756" s="13" t="s">
        <v>2568</v>
      </c>
      <c r="B1756" s="138" t="s">
        <v>712</v>
      </c>
      <c r="C1756" s="138" t="s">
        <v>464</v>
      </c>
      <c r="D1756" s="15">
        <v>200000000</v>
      </c>
      <c r="E1756" s="92">
        <v>0.93714696519999996</v>
      </c>
      <c r="F1756" s="18">
        <v>187429393.03999999</v>
      </c>
      <c r="G1756" s="18">
        <v>0.31</v>
      </c>
      <c r="H1756" s="13"/>
      <c r="I1756" s="13"/>
    </row>
    <row r="1757" spans="1:9">
      <c r="A1757" s="13" t="s">
        <v>2569</v>
      </c>
      <c r="B1757" s="138" t="s">
        <v>598</v>
      </c>
      <c r="C1757" s="138" t="s">
        <v>464</v>
      </c>
      <c r="D1757" s="15">
        <v>20000194</v>
      </c>
      <c r="E1757" s="92">
        <v>0.94611071430000004</v>
      </c>
      <c r="F1757" s="18">
        <v>18922397.829999998</v>
      </c>
      <c r="G1757" s="18">
        <v>0.03</v>
      </c>
      <c r="H1757" s="13"/>
      <c r="I1757" s="13"/>
    </row>
    <row r="1758" spans="1:9">
      <c r="A1758" s="13" t="s">
        <v>2570</v>
      </c>
      <c r="B1758" s="138" t="s">
        <v>1639</v>
      </c>
      <c r="C1758" s="138" t="s">
        <v>464</v>
      </c>
      <c r="D1758" s="15">
        <v>20000194</v>
      </c>
      <c r="E1758" s="92">
        <v>0.89773235650000005</v>
      </c>
      <c r="F1758" s="18">
        <v>17954821.289999999</v>
      </c>
      <c r="G1758" s="18">
        <v>0.03</v>
      </c>
      <c r="H1758" s="13"/>
      <c r="I1758" s="13"/>
    </row>
    <row r="1759" spans="1:9">
      <c r="A1759" s="13" t="s">
        <v>2571</v>
      </c>
      <c r="B1759" s="138" t="s">
        <v>884</v>
      </c>
      <c r="C1759" s="138" t="s">
        <v>464</v>
      </c>
      <c r="D1759" s="15">
        <v>20000194</v>
      </c>
      <c r="E1759" s="92">
        <v>0.92243935269999999</v>
      </c>
      <c r="F1759" s="18">
        <v>18448966.010000002</v>
      </c>
      <c r="G1759" s="18">
        <v>0.03</v>
      </c>
      <c r="H1759" s="13"/>
      <c r="I1759" s="13"/>
    </row>
    <row r="1760" spans="1:9">
      <c r="A1760" s="13" t="s">
        <v>2572</v>
      </c>
      <c r="B1760" s="138" t="s">
        <v>585</v>
      </c>
      <c r="C1760" s="138" t="s">
        <v>464</v>
      </c>
      <c r="D1760" s="15">
        <v>3250000</v>
      </c>
      <c r="E1760" s="92">
        <v>0.9458901784</v>
      </c>
      <c r="F1760" s="18">
        <v>3074143.08</v>
      </c>
      <c r="G1760" s="18">
        <v>0.01</v>
      </c>
      <c r="H1760" s="13"/>
      <c r="I1760" s="13"/>
    </row>
    <row r="1761" spans="1:9">
      <c r="A1761" s="13" t="s">
        <v>2573</v>
      </c>
      <c r="B1761" s="138" t="s">
        <v>589</v>
      </c>
      <c r="C1761" s="138" t="s">
        <v>464</v>
      </c>
      <c r="D1761" s="15">
        <v>3250000</v>
      </c>
      <c r="E1761" s="92">
        <v>0.94237346529999999</v>
      </c>
      <c r="F1761" s="18">
        <v>3062713.76</v>
      </c>
      <c r="G1761" s="18">
        <v>0.01</v>
      </c>
      <c r="H1761" s="13"/>
      <c r="I1761" s="13"/>
    </row>
    <row r="1762" spans="1:9">
      <c r="A1762" s="13" t="s">
        <v>2574</v>
      </c>
      <c r="B1762" s="138" t="s">
        <v>587</v>
      </c>
      <c r="C1762" s="138" t="s">
        <v>464</v>
      </c>
      <c r="D1762" s="15">
        <v>3250000</v>
      </c>
      <c r="E1762" s="92">
        <v>0.94500846110000003</v>
      </c>
      <c r="F1762" s="150">
        <v>3071277.5</v>
      </c>
      <c r="G1762" s="18">
        <v>0.01</v>
      </c>
      <c r="H1762" s="13"/>
      <c r="I1762" s="13"/>
    </row>
    <row r="1763" spans="1:9">
      <c r="A1763" s="13" t="s">
        <v>2575</v>
      </c>
      <c r="B1763" s="138" t="s">
        <v>598</v>
      </c>
      <c r="C1763" s="138" t="s">
        <v>464</v>
      </c>
      <c r="D1763" s="15">
        <v>3250000</v>
      </c>
      <c r="E1763" s="92">
        <v>0.94149829269999996</v>
      </c>
      <c r="F1763" s="18">
        <v>3059869.45</v>
      </c>
      <c r="G1763" s="18">
        <v>0.01</v>
      </c>
      <c r="H1763" s="13"/>
      <c r="I1763" s="13"/>
    </row>
    <row r="1764" spans="1:9">
      <c r="A1764" s="13" t="s">
        <v>2576</v>
      </c>
      <c r="B1764" s="138" t="s">
        <v>600</v>
      </c>
      <c r="C1764" s="138" t="s">
        <v>464</v>
      </c>
      <c r="D1764" s="15">
        <v>2954385</v>
      </c>
      <c r="E1764" s="92">
        <v>0.94854490869999997</v>
      </c>
      <c r="F1764" s="18">
        <v>2802366.85</v>
      </c>
      <c r="G1764" s="15">
        <v>0</v>
      </c>
      <c r="H1764" s="13"/>
      <c r="I1764" s="13"/>
    </row>
    <row r="1765" spans="1:9">
      <c r="A1765" s="13" t="s">
        <v>2589</v>
      </c>
      <c r="B1765" s="138" t="s">
        <v>930</v>
      </c>
      <c r="C1765" s="138" t="s">
        <v>424</v>
      </c>
      <c r="D1765" s="15">
        <v>100000000</v>
      </c>
      <c r="E1765" s="92">
        <v>0.96930125980000004</v>
      </c>
      <c r="F1765" s="18">
        <v>96930125.980000004</v>
      </c>
      <c r="G1765" s="18">
        <v>0.16</v>
      </c>
      <c r="H1765" s="13"/>
      <c r="I1765" s="13"/>
    </row>
    <row r="1766" spans="1:9">
      <c r="A1766" s="13" t="s">
        <v>2590</v>
      </c>
      <c r="B1766" s="138" t="s">
        <v>494</v>
      </c>
      <c r="C1766" s="138" t="s">
        <v>424</v>
      </c>
      <c r="D1766" s="15">
        <v>100000000</v>
      </c>
      <c r="E1766" s="92">
        <v>0.96148787219999998</v>
      </c>
      <c r="F1766" s="18">
        <v>96148787.219999999</v>
      </c>
      <c r="G1766" s="18">
        <v>0.16</v>
      </c>
      <c r="H1766" s="13"/>
      <c r="I1766" s="13"/>
    </row>
    <row r="1767" spans="1:9">
      <c r="A1767" s="13" t="s">
        <v>2591</v>
      </c>
      <c r="B1767" s="138" t="s">
        <v>1148</v>
      </c>
      <c r="C1767" s="138" t="s">
        <v>424</v>
      </c>
      <c r="D1767" s="15">
        <v>15000000</v>
      </c>
      <c r="E1767" s="92">
        <v>0.91731598219999999</v>
      </c>
      <c r="F1767" s="18">
        <v>13759739.73</v>
      </c>
      <c r="G1767" s="18">
        <v>0.02</v>
      </c>
      <c r="H1767" s="13"/>
      <c r="I1767" s="13"/>
    </row>
    <row r="1768" spans="1:9">
      <c r="A1768" s="13" t="s">
        <v>2592</v>
      </c>
      <c r="B1768" s="138" t="s">
        <v>1148</v>
      </c>
      <c r="C1768" s="138" t="s">
        <v>424</v>
      </c>
      <c r="D1768" s="15">
        <v>50000000</v>
      </c>
      <c r="E1768" s="92">
        <v>0.9194881815</v>
      </c>
      <c r="F1768" s="18">
        <v>45974409.079999998</v>
      </c>
      <c r="G1768" s="18">
        <v>0.08</v>
      </c>
      <c r="H1768" s="13"/>
      <c r="I1768" s="13"/>
    </row>
    <row r="1769" spans="1:9">
      <c r="A1769" s="13" t="s">
        <v>2593</v>
      </c>
      <c r="B1769" s="138" t="s">
        <v>452</v>
      </c>
      <c r="C1769" s="138" t="s">
        <v>424</v>
      </c>
      <c r="D1769" s="15">
        <v>17424000</v>
      </c>
      <c r="E1769" s="153">
        <v>0.99144388900000002</v>
      </c>
      <c r="F1769" s="18">
        <v>17274918.32</v>
      </c>
      <c r="G1769" s="18">
        <v>0.03</v>
      </c>
      <c r="H1769" s="13"/>
      <c r="I1769" s="13"/>
    </row>
    <row r="1770" spans="1:9">
      <c r="A1770" s="13" t="s">
        <v>2594</v>
      </c>
      <c r="B1770" s="138" t="s">
        <v>452</v>
      </c>
      <c r="C1770" s="138" t="s">
        <v>424</v>
      </c>
      <c r="D1770" s="15">
        <v>19847025</v>
      </c>
      <c r="E1770" s="153">
        <v>0.99144388900000002</v>
      </c>
      <c r="F1770" s="18">
        <v>19677211.649999999</v>
      </c>
      <c r="G1770" s="18">
        <v>0.03</v>
      </c>
      <c r="H1770" s="13"/>
      <c r="I1770" s="13"/>
    </row>
    <row r="1771" spans="1:9">
      <c r="A1771" s="13" t="s">
        <v>2595</v>
      </c>
      <c r="B1771" s="138" t="s">
        <v>452</v>
      </c>
      <c r="C1771" s="138" t="s">
        <v>424</v>
      </c>
      <c r="D1771" s="15">
        <v>22462440</v>
      </c>
      <c r="E1771" s="153">
        <v>0.99144388900000002</v>
      </c>
      <c r="F1771" s="18">
        <v>22270248.870000001</v>
      </c>
      <c r="G1771" s="18">
        <v>0.04</v>
      </c>
      <c r="H1771" s="13"/>
      <c r="I1771" s="13"/>
    </row>
    <row r="1772" spans="1:9">
      <c r="A1772" s="13" t="s">
        <v>2596</v>
      </c>
      <c r="B1772" s="138" t="s">
        <v>541</v>
      </c>
      <c r="C1772" s="138" t="s">
        <v>424</v>
      </c>
      <c r="D1772" s="15">
        <v>3000000</v>
      </c>
      <c r="E1772" s="92">
        <v>0.96448593039999997</v>
      </c>
      <c r="F1772" s="18">
        <v>2893457.79</v>
      </c>
      <c r="G1772" s="15">
        <v>0</v>
      </c>
      <c r="H1772" s="13"/>
      <c r="I1772" s="13"/>
    </row>
    <row r="1773" spans="1:9">
      <c r="A1773" s="13" t="s">
        <v>2597</v>
      </c>
      <c r="B1773" s="138" t="s">
        <v>950</v>
      </c>
      <c r="C1773" s="138" t="s">
        <v>424</v>
      </c>
      <c r="D1773" s="15">
        <v>3000000</v>
      </c>
      <c r="E1773" s="92">
        <v>0.94140116620000003</v>
      </c>
      <c r="F1773" s="150">
        <v>2824203.5</v>
      </c>
      <c r="G1773" s="15">
        <v>0</v>
      </c>
      <c r="H1773" s="13"/>
      <c r="I1773" s="13"/>
    </row>
    <row r="1774" spans="1:9">
      <c r="A1774" s="13" t="s">
        <v>2598</v>
      </c>
      <c r="B1774" s="138" t="s">
        <v>1391</v>
      </c>
      <c r="C1774" s="138" t="s">
        <v>424</v>
      </c>
      <c r="D1774" s="15">
        <v>3000000</v>
      </c>
      <c r="E1774" s="92">
        <v>0.93753215670000001</v>
      </c>
      <c r="F1774" s="18">
        <v>2812596.47</v>
      </c>
      <c r="G1774" s="15">
        <v>0</v>
      </c>
      <c r="H1774" s="13"/>
      <c r="I1774" s="13"/>
    </row>
    <row r="1775" spans="1:9">
      <c r="A1775" s="13" t="s">
        <v>2599</v>
      </c>
      <c r="B1775" s="138" t="s">
        <v>489</v>
      </c>
      <c r="C1775" s="138" t="s">
        <v>424</v>
      </c>
      <c r="D1775" s="15">
        <v>3000000</v>
      </c>
      <c r="E1775" s="92">
        <v>0.9628577237</v>
      </c>
      <c r="F1775" s="18">
        <v>2888573.17</v>
      </c>
      <c r="G1775" s="15">
        <v>0</v>
      </c>
      <c r="H1775" s="13"/>
      <c r="I1775" s="13"/>
    </row>
    <row r="1776" spans="1:9">
      <c r="A1776" s="13" t="s">
        <v>2600</v>
      </c>
      <c r="B1776" s="138" t="s">
        <v>727</v>
      </c>
      <c r="C1776" s="138" t="s">
        <v>424</v>
      </c>
      <c r="D1776" s="15">
        <v>3000000</v>
      </c>
      <c r="E1776" s="92">
        <v>0.9588107199</v>
      </c>
      <c r="F1776" s="18">
        <v>2876432.16</v>
      </c>
      <c r="G1776" s="15">
        <v>0</v>
      </c>
      <c r="H1776" s="13"/>
      <c r="I1776" s="13"/>
    </row>
    <row r="1777" spans="1:9">
      <c r="A1777" s="13" t="s">
        <v>2601</v>
      </c>
      <c r="B1777" s="138" t="s">
        <v>587</v>
      </c>
      <c r="C1777" s="138" t="s">
        <v>424</v>
      </c>
      <c r="D1777" s="15">
        <v>3000000</v>
      </c>
      <c r="E1777" s="92">
        <v>0.95081820650000004</v>
      </c>
      <c r="F1777" s="18">
        <v>2852454.62</v>
      </c>
      <c r="G1777" s="15">
        <v>0</v>
      </c>
      <c r="H1777" s="13"/>
      <c r="I1777" s="13"/>
    </row>
    <row r="1778" spans="1:9">
      <c r="A1778" s="13" t="s">
        <v>2602</v>
      </c>
      <c r="B1778" s="138" t="s">
        <v>598</v>
      </c>
      <c r="C1778" s="138" t="s">
        <v>424</v>
      </c>
      <c r="D1778" s="15">
        <v>3000000</v>
      </c>
      <c r="E1778" s="28">
        <v>0.94765832999999999</v>
      </c>
      <c r="F1778" s="18">
        <v>2842974.99</v>
      </c>
      <c r="G1778" s="15">
        <v>0</v>
      </c>
      <c r="H1778" s="13"/>
      <c r="I1778" s="13"/>
    </row>
    <row r="1779" spans="1:9">
      <c r="A1779" s="13" t="s">
        <v>2603</v>
      </c>
      <c r="B1779" s="138" t="s">
        <v>593</v>
      </c>
      <c r="C1779" s="138" t="s">
        <v>424</v>
      </c>
      <c r="D1779" s="15">
        <v>3000000</v>
      </c>
      <c r="E1779" s="92">
        <v>0.94608611070000004</v>
      </c>
      <c r="F1779" s="18">
        <v>2838258.33</v>
      </c>
      <c r="G1779" s="15">
        <v>0</v>
      </c>
      <c r="H1779" s="13"/>
      <c r="I1779" s="13"/>
    </row>
    <row r="1780" spans="1:9">
      <c r="A1780" s="13" t="s">
        <v>2604</v>
      </c>
      <c r="B1780" s="138" t="s">
        <v>1171</v>
      </c>
      <c r="C1780" s="138" t="s">
        <v>424</v>
      </c>
      <c r="D1780" s="15">
        <v>3000000</v>
      </c>
      <c r="E1780" s="92">
        <v>0.94530224039999999</v>
      </c>
      <c r="F1780" s="18">
        <v>2835906.72</v>
      </c>
      <c r="G1780" s="15">
        <v>0</v>
      </c>
      <c r="H1780" s="13"/>
      <c r="I1780" s="13"/>
    </row>
    <row r="1781" spans="1:9">
      <c r="A1781" s="13" t="s">
        <v>2605</v>
      </c>
      <c r="B1781" s="138" t="s">
        <v>575</v>
      </c>
      <c r="C1781" s="138" t="s">
        <v>424</v>
      </c>
      <c r="D1781" s="15">
        <v>3000000</v>
      </c>
      <c r="E1781" s="92">
        <v>0.93599361309999995</v>
      </c>
      <c r="F1781" s="18">
        <v>2807980.84</v>
      </c>
      <c r="G1781" s="15">
        <v>0</v>
      </c>
      <c r="H1781" s="13"/>
      <c r="I1781" s="13"/>
    </row>
    <row r="1782" spans="1:9">
      <c r="A1782" s="13" t="s">
        <v>2606</v>
      </c>
      <c r="B1782" s="138" t="s">
        <v>575</v>
      </c>
      <c r="C1782" s="138" t="s">
        <v>424</v>
      </c>
      <c r="D1782" s="15">
        <v>3000000</v>
      </c>
      <c r="E1782" s="92">
        <v>0.93599361309999995</v>
      </c>
      <c r="F1782" s="18">
        <v>2807980.84</v>
      </c>
      <c r="G1782" s="15">
        <v>0</v>
      </c>
      <c r="H1782" s="13"/>
      <c r="I1782" s="13"/>
    </row>
    <row r="1783" spans="1:9">
      <c r="A1783" s="13" t="s">
        <v>2607</v>
      </c>
      <c r="B1783" s="138" t="s">
        <v>497</v>
      </c>
      <c r="C1783" s="138" t="s">
        <v>424</v>
      </c>
      <c r="D1783" s="15">
        <v>3000000</v>
      </c>
      <c r="E1783" s="92">
        <v>0.93140784730000004</v>
      </c>
      <c r="F1783" s="18">
        <v>2794223.54</v>
      </c>
      <c r="G1783" s="15">
        <v>0</v>
      </c>
      <c r="H1783" s="13"/>
      <c r="I1783" s="13"/>
    </row>
    <row r="1784" spans="1:9">
      <c r="A1784" s="13" t="s">
        <v>2608</v>
      </c>
      <c r="B1784" s="138" t="s">
        <v>571</v>
      </c>
      <c r="C1784" s="138" t="s">
        <v>424</v>
      </c>
      <c r="D1784" s="15">
        <v>3000000</v>
      </c>
      <c r="E1784" s="92">
        <v>0.93064782639999999</v>
      </c>
      <c r="F1784" s="18">
        <v>2791943.48</v>
      </c>
      <c r="G1784" s="15">
        <v>0</v>
      </c>
      <c r="H1784" s="13"/>
      <c r="I1784" s="13"/>
    </row>
    <row r="1785" spans="1:9">
      <c r="A1785" s="13" t="s">
        <v>2609</v>
      </c>
      <c r="B1785" s="138" t="s">
        <v>1500</v>
      </c>
      <c r="C1785" s="138" t="s">
        <v>424</v>
      </c>
      <c r="D1785" s="15">
        <v>3000000</v>
      </c>
      <c r="E1785" s="92">
        <v>0.92611389320000004</v>
      </c>
      <c r="F1785" s="18">
        <v>2778341.68</v>
      </c>
      <c r="G1785" s="15">
        <v>0</v>
      </c>
      <c r="H1785" s="13"/>
      <c r="I1785" s="13"/>
    </row>
    <row r="1786" spans="1:9">
      <c r="A1786" s="13" t="s">
        <v>2610</v>
      </c>
      <c r="B1786" s="138" t="s">
        <v>1221</v>
      </c>
      <c r="C1786" s="138" t="s">
        <v>424</v>
      </c>
      <c r="D1786" s="15">
        <v>3500000</v>
      </c>
      <c r="E1786" s="92">
        <v>0.92013737709999999</v>
      </c>
      <c r="F1786" s="18">
        <v>3220480.82</v>
      </c>
      <c r="G1786" s="18">
        <v>0.01</v>
      </c>
      <c r="H1786" s="13"/>
      <c r="I1786" s="13"/>
    </row>
    <row r="1787" spans="1:9">
      <c r="A1787" s="13" t="s">
        <v>2611</v>
      </c>
      <c r="B1787" s="138" t="s">
        <v>581</v>
      </c>
      <c r="C1787" s="138" t="s">
        <v>424</v>
      </c>
      <c r="D1787" s="15">
        <v>3000000</v>
      </c>
      <c r="E1787" s="92">
        <v>0.96204553329999998</v>
      </c>
      <c r="F1787" s="150">
        <v>2886136.6</v>
      </c>
      <c r="G1787" s="15">
        <v>0</v>
      </c>
      <c r="H1787" s="13"/>
      <c r="I1787" s="13"/>
    </row>
    <row r="1788" spans="1:9">
      <c r="A1788" s="13" t="s">
        <v>2612</v>
      </c>
      <c r="B1788" s="138" t="s">
        <v>544</v>
      </c>
      <c r="C1788" s="138" t="s">
        <v>424</v>
      </c>
      <c r="D1788" s="15">
        <v>3000000</v>
      </c>
      <c r="E1788" s="92">
        <v>0.95800533610000005</v>
      </c>
      <c r="F1788" s="18">
        <v>2874016.01</v>
      </c>
      <c r="G1788" s="15">
        <v>0</v>
      </c>
      <c r="H1788" s="13"/>
      <c r="I1788" s="13"/>
    </row>
    <row r="1789" spans="1:9">
      <c r="A1789" s="13" t="s">
        <v>2613</v>
      </c>
      <c r="B1789" s="138" t="s">
        <v>553</v>
      </c>
      <c r="C1789" s="138" t="s">
        <v>424</v>
      </c>
      <c r="D1789" s="15">
        <v>3000000</v>
      </c>
      <c r="E1789" s="92">
        <v>0.95320190270000005</v>
      </c>
      <c r="F1789" s="18">
        <v>2859605.71</v>
      </c>
      <c r="G1789" s="15">
        <v>0</v>
      </c>
      <c r="H1789" s="13"/>
      <c r="I1789" s="13"/>
    </row>
    <row r="1790" spans="1:9">
      <c r="A1790" s="13" t="s">
        <v>2614</v>
      </c>
      <c r="B1790" s="138" t="s">
        <v>585</v>
      </c>
      <c r="C1790" s="138" t="s">
        <v>424</v>
      </c>
      <c r="D1790" s="15">
        <v>3000000</v>
      </c>
      <c r="E1790" s="92">
        <v>0.95161125280000003</v>
      </c>
      <c r="F1790" s="18">
        <v>2854833.76</v>
      </c>
      <c r="G1790" s="15">
        <v>0</v>
      </c>
      <c r="H1790" s="13"/>
      <c r="I1790" s="13"/>
    </row>
    <row r="1791" spans="1:9">
      <c r="A1791" s="13" t="s">
        <v>2615</v>
      </c>
      <c r="B1791" s="138" t="s">
        <v>589</v>
      </c>
      <c r="C1791" s="138" t="s">
        <v>424</v>
      </c>
      <c r="D1791" s="15">
        <v>3000000</v>
      </c>
      <c r="E1791" s="92">
        <v>0.94844611050000005</v>
      </c>
      <c r="F1791" s="18">
        <v>2845338.33</v>
      </c>
      <c r="G1791" s="15">
        <v>0</v>
      </c>
      <c r="H1791" s="13"/>
      <c r="I1791" s="13"/>
    </row>
    <row r="1792" spans="1:9">
      <c r="A1792" s="13" t="s">
        <v>2616</v>
      </c>
      <c r="B1792" s="138" t="s">
        <v>595</v>
      </c>
      <c r="C1792" s="138" t="s">
        <v>424</v>
      </c>
      <c r="D1792" s="15">
        <v>3000000</v>
      </c>
      <c r="E1792" s="92">
        <v>0.94295755670000003</v>
      </c>
      <c r="F1792" s="18">
        <v>2828872.67</v>
      </c>
      <c r="G1792" s="15">
        <v>0</v>
      </c>
      <c r="H1792" s="13"/>
      <c r="I1792" s="13"/>
    </row>
    <row r="1793" spans="1:9">
      <c r="A1793" s="13" t="s">
        <v>2617</v>
      </c>
      <c r="B1793" s="138" t="s">
        <v>712</v>
      </c>
      <c r="C1793" s="138" t="s">
        <v>424</v>
      </c>
      <c r="D1793" s="15">
        <v>3000000</v>
      </c>
      <c r="E1793" s="92">
        <v>0.94062475639999998</v>
      </c>
      <c r="F1793" s="18">
        <v>2821874.27</v>
      </c>
      <c r="G1793" s="15">
        <v>0</v>
      </c>
      <c r="H1793" s="13"/>
      <c r="I1793" s="13"/>
    </row>
    <row r="1794" spans="1:9">
      <c r="A1794" s="13" t="s">
        <v>2618</v>
      </c>
      <c r="B1794" s="138" t="s">
        <v>740</v>
      </c>
      <c r="C1794" s="138" t="s">
        <v>424</v>
      </c>
      <c r="D1794" s="15">
        <v>3000000</v>
      </c>
      <c r="E1794" s="153">
        <v>0.93676239299999997</v>
      </c>
      <c r="F1794" s="18">
        <v>2810287.18</v>
      </c>
      <c r="G1794" s="15">
        <v>0</v>
      </c>
      <c r="H1794" s="13"/>
      <c r="I1794" s="13"/>
    </row>
    <row r="1795" spans="1:9">
      <c r="A1795" s="13" t="s">
        <v>2619</v>
      </c>
      <c r="B1795" s="138" t="s">
        <v>568</v>
      </c>
      <c r="C1795" s="138" t="s">
        <v>424</v>
      </c>
      <c r="D1795" s="15">
        <v>3000000</v>
      </c>
      <c r="E1795" s="28">
        <v>0.93522609000000001</v>
      </c>
      <c r="F1795" s="18">
        <v>2805678.27</v>
      </c>
      <c r="G1795" s="15">
        <v>0</v>
      </c>
      <c r="H1795" s="13"/>
      <c r="I1795" s="13"/>
    </row>
    <row r="1796" spans="1:9">
      <c r="A1796" s="13" t="s">
        <v>2620</v>
      </c>
      <c r="B1796" s="138" t="s">
        <v>1590</v>
      </c>
      <c r="C1796" s="138" t="s">
        <v>424</v>
      </c>
      <c r="D1796" s="15">
        <v>3000000</v>
      </c>
      <c r="E1796" s="92">
        <v>0.93445983030000002</v>
      </c>
      <c r="F1796" s="18">
        <v>2803379.49</v>
      </c>
      <c r="G1796" s="15">
        <v>0</v>
      </c>
      <c r="H1796" s="13"/>
      <c r="I1796" s="13"/>
    </row>
    <row r="1797" spans="1:9">
      <c r="A1797" s="13" t="s">
        <v>2621</v>
      </c>
      <c r="B1797" s="138" t="s">
        <v>734</v>
      </c>
      <c r="C1797" s="138" t="s">
        <v>424</v>
      </c>
      <c r="D1797" s="15">
        <v>3000000</v>
      </c>
      <c r="E1797" s="153">
        <v>0.93216883399999995</v>
      </c>
      <c r="F1797" s="150">
        <v>2796506.5</v>
      </c>
      <c r="G1797" s="15">
        <v>0</v>
      </c>
      <c r="H1797" s="13"/>
      <c r="I1797" s="13"/>
    </row>
    <row r="1798" spans="1:9">
      <c r="A1798" s="13" t="s">
        <v>2622</v>
      </c>
      <c r="B1798" s="138" t="s">
        <v>730</v>
      </c>
      <c r="C1798" s="138" t="s">
        <v>424</v>
      </c>
      <c r="D1798" s="15">
        <v>3000000</v>
      </c>
      <c r="E1798" s="92">
        <v>0.92988904309999998</v>
      </c>
      <c r="F1798" s="18">
        <v>2789667.13</v>
      </c>
      <c r="G1798" s="15">
        <v>0</v>
      </c>
      <c r="H1798" s="13"/>
      <c r="I1798" s="13"/>
    </row>
    <row r="1799" spans="1:9">
      <c r="A1799" s="13" t="s">
        <v>2623</v>
      </c>
      <c r="B1799" s="138" t="s">
        <v>1498</v>
      </c>
      <c r="C1799" s="138" t="s">
        <v>424</v>
      </c>
      <c r="D1799" s="15">
        <v>3000000</v>
      </c>
      <c r="E1799" s="92">
        <v>0.92913150030000002</v>
      </c>
      <c r="F1799" s="150">
        <v>2787394.5</v>
      </c>
      <c r="G1799" s="15">
        <v>0</v>
      </c>
      <c r="H1799" s="13"/>
      <c r="I1799" s="13"/>
    </row>
    <row r="1800" spans="1:9">
      <c r="A1800" s="13" t="s">
        <v>2624</v>
      </c>
      <c r="B1800" s="138" t="s">
        <v>1148</v>
      </c>
      <c r="C1800" s="138" t="s">
        <v>424</v>
      </c>
      <c r="D1800" s="15">
        <v>3000000</v>
      </c>
      <c r="E1800" s="92">
        <v>0.92386358950000003</v>
      </c>
      <c r="F1800" s="18">
        <v>2771590.77</v>
      </c>
      <c r="G1800" s="15">
        <v>0</v>
      </c>
      <c r="H1800" s="13"/>
      <c r="I1800" s="13"/>
    </row>
    <row r="1801" spans="1:9">
      <c r="A1801" s="13" t="s">
        <v>2625</v>
      </c>
      <c r="B1801" s="138" t="s">
        <v>704</v>
      </c>
      <c r="C1801" s="138" t="s">
        <v>424</v>
      </c>
      <c r="D1801" s="15">
        <v>3000000</v>
      </c>
      <c r="E1801" s="92">
        <v>0.92162419350000002</v>
      </c>
      <c r="F1801" s="18">
        <v>2764872.58</v>
      </c>
      <c r="G1801" s="15">
        <v>0</v>
      </c>
      <c r="H1801" s="13"/>
      <c r="I1801" s="13"/>
    </row>
    <row r="1802" spans="1:9">
      <c r="A1802" s="13" t="s">
        <v>2626</v>
      </c>
      <c r="B1802" s="138" t="s">
        <v>1872</v>
      </c>
      <c r="C1802" s="138" t="s">
        <v>424</v>
      </c>
      <c r="D1802" s="15">
        <v>3500000</v>
      </c>
      <c r="E1802" s="92">
        <v>0.92088004909999999</v>
      </c>
      <c r="F1802" s="18">
        <v>3223080.17</v>
      </c>
      <c r="G1802" s="18">
        <v>0.01</v>
      </c>
      <c r="H1802" s="13"/>
      <c r="I1802" s="13"/>
    </row>
    <row r="1803" spans="1:9">
      <c r="A1803" s="13" t="s">
        <v>2627</v>
      </c>
      <c r="B1803" s="138" t="s">
        <v>573</v>
      </c>
      <c r="C1803" s="138" t="s">
        <v>424</v>
      </c>
      <c r="D1803" s="15">
        <v>3000000</v>
      </c>
      <c r="E1803" s="92">
        <v>0.92536275729999995</v>
      </c>
      <c r="F1803" s="18">
        <v>2776088.27</v>
      </c>
      <c r="G1803" s="15">
        <v>0</v>
      </c>
      <c r="H1803" s="13"/>
      <c r="I1803" s="13"/>
    </row>
    <row r="1804" spans="1:9">
      <c r="A1804" s="13" t="s">
        <v>2628</v>
      </c>
      <c r="B1804" s="138" t="s">
        <v>492</v>
      </c>
      <c r="C1804" s="138" t="s">
        <v>424</v>
      </c>
      <c r="D1804" s="15">
        <v>3000000</v>
      </c>
      <c r="E1804" s="92">
        <v>0.9653022497</v>
      </c>
      <c r="F1804" s="18">
        <v>2895906.75</v>
      </c>
      <c r="G1804" s="15">
        <v>0</v>
      </c>
      <c r="H1804" s="13"/>
      <c r="I1804" s="13"/>
    </row>
    <row r="1805" spans="1:9">
      <c r="A1805" s="13" t="s">
        <v>2629</v>
      </c>
      <c r="B1805" s="138" t="s">
        <v>1391</v>
      </c>
      <c r="C1805" s="138" t="s">
        <v>424</v>
      </c>
      <c r="D1805" s="15">
        <v>6200000</v>
      </c>
      <c r="E1805" s="92">
        <v>0.93388604180000001</v>
      </c>
      <c r="F1805" s="18">
        <v>5790093.46</v>
      </c>
      <c r="G1805" s="18">
        <v>0.01</v>
      </c>
      <c r="H1805" s="13"/>
      <c r="I1805" s="13"/>
    </row>
    <row r="1806" spans="1:9">
      <c r="A1806" s="13" t="s">
        <v>2630</v>
      </c>
      <c r="B1806" s="138" t="s">
        <v>950</v>
      </c>
      <c r="C1806" s="138" t="s">
        <v>424</v>
      </c>
      <c r="D1806" s="15">
        <v>6200000</v>
      </c>
      <c r="E1806" s="92">
        <v>0.9379659333</v>
      </c>
      <c r="F1806" s="18">
        <v>5815388.79</v>
      </c>
      <c r="G1806" s="18">
        <v>0.01</v>
      </c>
      <c r="H1806" s="13"/>
      <c r="I1806" s="13"/>
    </row>
    <row r="1807" spans="1:9">
      <c r="A1807" s="13" t="s">
        <v>2631</v>
      </c>
      <c r="B1807" s="138" t="s">
        <v>591</v>
      </c>
      <c r="C1807" s="138" t="s">
        <v>424</v>
      </c>
      <c r="D1807" s="18">
        <v>763324.59</v>
      </c>
      <c r="E1807" s="92">
        <v>0.9421787653</v>
      </c>
      <c r="F1807" s="18">
        <v>719188.22</v>
      </c>
      <c r="G1807" s="15">
        <v>0</v>
      </c>
      <c r="H1807" s="13"/>
      <c r="I1807" s="13"/>
    </row>
    <row r="1808" spans="1:9">
      <c r="A1808" s="13" t="s">
        <v>2632</v>
      </c>
      <c r="B1808" s="138" t="s">
        <v>494</v>
      </c>
      <c r="C1808" s="138" t="s">
        <v>424</v>
      </c>
      <c r="D1808" s="15">
        <v>5084000</v>
      </c>
      <c r="E1808" s="92">
        <v>0.96367099180000004</v>
      </c>
      <c r="F1808" s="18">
        <v>4899303.32</v>
      </c>
      <c r="G1808" s="18">
        <v>0.01</v>
      </c>
      <c r="H1808" s="13"/>
      <c r="I1808" s="13"/>
    </row>
    <row r="1809" spans="1:9">
      <c r="A1809" s="13" t="s">
        <v>2633</v>
      </c>
      <c r="B1809" s="138" t="s">
        <v>740</v>
      </c>
      <c r="C1809" s="138" t="s">
        <v>424</v>
      </c>
      <c r="D1809" s="18">
        <v>5082311.97</v>
      </c>
      <c r="E1809" s="153">
        <v>0.93676239299999997</v>
      </c>
      <c r="F1809" s="18">
        <v>4760918.72</v>
      </c>
      <c r="G1809" s="18">
        <v>0.01</v>
      </c>
      <c r="H1809" s="13"/>
      <c r="I1809" s="13"/>
    </row>
    <row r="1810" spans="1:9">
      <c r="A1810" s="13" t="s">
        <v>2634</v>
      </c>
      <c r="B1810" s="138" t="s">
        <v>494</v>
      </c>
      <c r="C1810" s="138" t="s">
        <v>424</v>
      </c>
      <c r="D1810" s="15">
        <v>7000000</v>
      </c>
      <c r="E1810" s="92">
        <v>0.96367099180000004</v>
      </c>
      <c r="F1810" s="18">
        <v>6745696.9400000004</v>
      </c>
      <c r="G1810" s="18">
        <v>0.01</v>
      </c>
      <c r="H1810" s="13"/>
      <c r="I1810" s="13"/>
    </row>
    <row r="1811" spans="1:9">
      <c r="A1811" s="13" t="s">
        <v>2635</v>
      </c>
      <c r="B1811" s="138" t="s">
        <v>549</v>
      </c>
      <c r="C1811" s="138" t="s">
        <v>424</v>
      </c>
      <c r="D1811" s="15">
        <v>7000000</v>
      </c>
      <c r="E1811" s="92">
        <v>0.95720130839999995</v>
      </c>
      <c r="F1811" s="18">
        <v>6700409.1600000001</v>
      </c>
      <c r="G1811" s="18">
        <v>0.01</v>
      </c>
      <c r="H1811" s="13"/>
      <c r="I1811" s="13"/>
    </row>
    <row r="1812" spans="1:9">
      <c r="A1812" s="13" t="s">
        <v>2636</v>
      </c>
      <c r="B1812" s="138" t="s">
        <v>591</v>
      </c>
      <c r="C1812" s="138" t="s">
        <v>424</v>
      </c>
      <c r="D1812" s="18">
        <v>6714705.0300000003</v>
      </c>
      <c r="E1812" s="92">
        <v>0.94687156660000005</v>
      </c>
      <c r="F1812" s="18">
        <v>6357963.2699999996</v>
      </c>
      <c r="G1812" s="18">
        <v>0.01</v>
      </c>
      <c r="H1812" s="13"/>
      <c r="I1812" s="13"/>
    </row>
    <row r="1813" spans="1:9">
      <c r="A1813" s="13" t="s">
        <v>2637</v>
      </c>
      <c r="B1813" s="138" t="s">
        <v>890</v>
      </c>
      <c r="C1813" s="138" t="s">
        <v>424</v>
      </c>
      <c r="D1813" s="18">
        <v>6714705.04</v>
      </c>
      <c r="E1813" s="28">
        <v>0.94217885999999995</v>
      </c>
      <c r="F1813" s="18">
        <v>6326453.1399999997</v>
      </c>
      <c r="G1813" s="18">
        <v>0.01</v>
      </c>
      <c r="H1813" s="13"/>
      <c r="I1813" s="13"/>
    </row>
    <row r="1814" spans="1:9">
      <c r="A1814" s="13" t="s">
        <v>2638</v>
      </c>
      <c r="B1814" s="138" t="s">
        <v>571</v>
      </c>
      <c r="C1814" s="138" t="s">
        <v>424</v>
      </c>
      <c r="D1814" s="15">
        <v>13000000</v>
      </c>
      <c r="E1814" s="92">
        <v>0.92663133259999997</v>
      </c>
      <c r="F1814" s="18">
        <v>12046207.32</v>
      </c>
      <c r="G1814" s="18">
        <v>0.02</v>
      </c>
      <c r="H1814" s="13"/>
      <c r="I1814" s="13"/>
    </row>
    <row r="1815" spans="1:9">
      <c r="A1815" s="13" t="s">
        <v>2639</v>
      </c>
      <c r="B1815" s="138" t="s">
        <v>1171</v>
      </c>
      <c r="C1815" s="138" t="s">
        <v>424</v>
      </c>
      <c r="D1815" s="15">
        <v>12000000</v>
      </c>
      <c r="E1815" s="92">
        <v>0.94208163219999996</v>
      </c>
      <c r="F1815" s="18">
        <v>11304979.59</v>
      </c>
      <c r="G1815" s="18">
        <v>0.02</v>
      </c>
      <c r="H1815" s="13"/>
      <c r="I1815" s="13"/>
    </row>
    <row r="1816" spans="1:9">
      <c r="A1816" s="13" t="s">
        <v>2640</v>
      </c>
      <c r="B1816" s="138" t="s">
        <v>1221</v>
      </c>
      <c r="C1816" s="138" t="s">
        <v>424</v>
      </c>
      <c r="D1816" s="15">
        <v>13000000</v>
      </c>
      <c r="E1816" s="92">
        <v>0.91556740010000004</v>
      </c>
      <c r="F1816" s="150">
        <v>11902376.199999999</v>
      </c>
      <c r="G1816" s="18">
        <v>0.02</v>
      </c>
      <c r="H1816" s="13"/>
      <c r="I1816" s="13"/>
    </row>
    <row r="1817" spans="1:9">
      <c r="A1817" s="13" t="s">
        <v>2641</v>
      </c>
      <c r="B1817" s="138" t="s">
        <v>1148</v>
      </c>
      <c r="C1817" s="138" t="s">
        <v>424</v>
      </c>
      <c r="D1817" s="15">
        <v>5444206</v>
      </c>
      <c r="E1817" s="92">
        <v>0.92386358729999996</v>
      </c>
      <c r="F1817" s="18">
        <v>5029703.6900000004</v>
      </c>
      <c r="G1817" s="18">
        <v>0.01</v>
      </c>
      <c r="H1817" s="13"/>
      <c r="I1817" s="13"/>
    </row>
    <row r="1818" spans="1:9">
      <c r="A1818" s="13" t="s">
        <v>2642</v>
      </c>
      <c r="B1818" s="138" t="s">
        <v>591</v>
      </c>
      <c r="C1818" s="138" t="s">
        <v>424</v>
      </c>
      <c r="D1818" s="15">
        <v>5444206</v>
      </c>
      <c r="E1818" s="92">
        <v>0.94687156510000003</v>
      </c>
      <c r="F1818" s="18">
        <v>5154963.8600000003</v>
      </c>
      <c r="G1818" s="18">
        <v>0.01</v>
      </c>
      <c r="H1818" s="13"/>
      <c r="I1818" s="13"/>
    </row>
    <row r="1819" spans="1:9">
      <c r="A1819" s="13" t="s">
        <v>2643</v>
      </c>
      <c r="B1819" s="138" t="s">
        <v>595</v>
      </c>
      <c r="C1819" s="138" t="s">
        <v>424</v>
      </c>
      <c r="D1819" s="15">
        <v>5444206</v>
      </c>
      <c r="E1819" s="92">
        <v>0.94295755510000001</v>
      </c>
      <c r="F1819" s="18">
        <v>5133655.18</v>
      </c>
      <c r="G1819" s="18">
        <v>0.01</v>
      </c>
      <c r="H1819" s="13"/>
      <c r="I1819" s="13"/>
    </row>
    <row r="1820" spans="1:9">
      <c r="A1820" s="13" t="s">
        <v>2644</v>
      </c>
      <c r="B1820" s="138" t="s">
        <v>950</v>
      </c>
      <c r="C1820" s="138" t="s">
        <v>424</v>
      </c>
      <c r="D1820" s="15">
        <v>5444206</v>
      </c>
      <c r="E1820" s="92">
        <v>0.94140116620000003</v>
      </c>
      <c r="F1820" s="18">
        <v>5125181.88</v>
      </c>
      <c r="G1820" s="18">
        <v>0.01</v>
      </c>
      <c r="H1820" s="13"/>
      <c r="I1820" s="13"/>
    </row>
    <row r="1821" spans="1:9">
      <c r="A1821" s="13" t="s">
        <v>2645</v>
      </c>
      <c r="B1821" s="138" t="s">
        <v>492</v>
      </c>
      <c r="C1821" s="138" t="s">
        <v>424</v>
      </c>
      <c r="D1821" s="15">
        <v>5444206</v>
      </c>
      <c r="E1821" s="92">
        <v>0.9653022497</v>
      </c>
      <c r="F1821" s="150">
        <v>5255304.3</v>
      </c>
      <c r="G1821" s="18">
        <v>0.01</v>
      </c>
      <c r="H1821" s="13"/>
      <c r="I1821" s="13"/>
    </row>
    <row r="1822" spans="1:9">
      <c r="A1822" s="13" t="s">
        <v>2646</v>
      </c>
      <c r="B1822" s="138" t="s">
        <v>541</v>
      </c>
      <c r="C1822" s="138" t="s">
        <v>424</v>
      </c>
      <c r="D1822" s="15">
        <v>5444206</v>
      </c>
      <c r="E1822" s="92">
        <v>0.96448593039999997</v>
      </c>
      <c r="F1822" s="18">
        <v>5250860.09</v>
      </c>
      <c r="G1822" s="18">
        <v>0.01</v>
      </c>
      <c r="H1822" s="13"/>
      <c r="I1822" s="13"/>
    </row>
    <row r="1823" spans="1:9">
      <c r="A1823" s="13" t="s">
        <v>2647</v>
      </c>
      <c r="B1823" s="138" t="s">
        <v>494</v>
      </c>
      <c r="C1823" s="138" t="s">
        <v>424</v>
      </c>
      <c r="D1823" s="15">
        <v>5444206</v>
      </c>
      <c r="E1823" s="92">
        <v>0.96367099069999995</v>
      </c>
      <c r="F1823" s="18">
        <v>5246423.3899999997</v>
      </c>
      <c r="G1823" s="18">
        <v>0.01</v>
      </c>
      <c r="H1823" s="13"/>
      <c r="I1823" s="13"/>
    </row>
    <row r="1824" spans="1:9">
      <c r="A1824" s="13" t="s">
        <v>2648</v>
      </c>
      <c r="B1824" s="138" t="s">
        <v>704</v>
      </c>
      <c r="C1824" s="138" t="s">
        <v>424</v>
      </c>
      <c r="D1824" s="15">
        <v>5444206</v>
      </c>
      <c r="E1824" s="92">
        <v>0.92162419350000002</v>
      </c>
      <c r="F1824" s="18">
        <v>5017511.96</v>
      </c>
      <c r="G1824" s="18">
        <v>0.01</v>
      </c>
      <c r="H1824" s="13"/>
      <c r="I1824" s="13"/>
    </row>
    <row r="1825" spans="1:9">
      <c r="A1825" s="13" t="s">
        <v>2649</v>
      </c>
      <c r="B1825" s="138" t="s">
        <v>593</v>
      </c>
      <c r="C1825" s="138" t="s">
        <v>424</v>
      </c>
      <c r="D1825" s="15">
        <v>5444206</v>
      </c>
      <c r="E1825" s="92">
        <v>0.94608611070000004</v>
      </c>
      <c r="F1825" s="18">
        <v>5150687.68</v>
      </c>
      <c r="G1825" s="18">
        <v>0.01</v>
      </c>
      <c r="H1825" s="13"/>
      <c r="I1825" s="13"/>
    </row>
    <row r="1826" spans="1:9">
      <c r="A1826" s="13" t="s">
        <v>2650</v>
      </c>
      <c r="B1826" s="138" t="s">
        <v>1872</v>
      </c>
      <c r="C1826" s="138" t="s">
        <v>424</v>
      </c>
      <c r="D1826" s="15">
        <v>5444206</v>
      </c>
      <c r="E1826" s="92">
        <v>0.92088004909999999</v>
      </c>
      <c r="F1826" s="18">
        <v>5013460.6900000004</v>
      </c>
      <c r="G1826" s="18">
        <v>0.01</v>
      </c>
      <c r="H1826" s="13"/>
      <c r="I1826" s="13"/>
    </row>
    <row r="1827" spans="1:9">
      <c r="A1827" s="13" t="s">
        <v>2651</v>
      </c>
      <c r="B1827" s="138" t="s">
        <v>1171</v>
      </c>
      <c r="C1827" s="138" t="s">
        <v>424</v>
      </c>
      <c r="D1827" s="15">
        <v>5444206</v>
      </c>
      <c r="E1827" s="92">
        <v>0.94530224039999999</v>
      </c>
      <c r="F1827" s="18">
        <v>5146420.13</v>
      </c>
      <c r="G1827" s="18">
        <v>0.01</v>
      </c>
      <c r="H1827" s="13"/>
      <c r="I1827" s="13"/>
    </row>
    <row r="1828" spans="1:9">
      <c r="A1828" s="13" t="s">
        <v>2652</v>
      </c>
      <c r="B1828" s="138" t="s">
        <v>1221</v>
      </c>
      <c r="C1828" s="138" t="s">
        <v>424</v>
      </c>
      <c r="D1828" s="15">
        <v>5444208</v>
      </c>
      <c r="E1828" s="92">
        <v>0.92013737480000002</v>
      </c>
      <c r="F1828" s="18">
        <v>5009419.26</v>
      </c>
      <c r="G1828" s="18">
        <v>0.01</v>
      </c>
      <c r="H1828" s="13"/>
      <c r="I1828" s="13"/>
    </row>
    <row r="1829" spans="1:9">
      <c r="A1829" s="13" t="s">
        <v>2653</v>
      </c>
      <c r="B1829" s="138" t="s">
        <v>890</v>
      </c>
      <c r="C1829" s="138" t="s">
        <v>424</v>
      </c>
      <c r="D1829" s="15">
        <v>5444206</v>
      </c>
      <c r="E1829" s="28">
        <v>0.94217885999999995</v>
      </c>
      <c r="F1829" s="150">
        <v>5129415.8</v>
      </c>
      <c r="G1829" s="18">
        <v>0.01</v>
      </c>
      <c r="H1829" s="13"/>
      <c r="I1829" s="13"/>
    </row>
    <row r="1830" spans="1:9">
      <c r="A1830" s="13" t="s">
        <v>2654</v>
      </c>
      <c r="B1830" s="138" t="s">
        <v>492</v>
      </c>
      <c r="C1830" s="138" t="s">
        <v>424</v>
      </c>
      <c r="D1830" s="15">
        <v>6000000</v>
      </c>
      <c r="E1830" s="92">
        <v>0.9653022497</v>
      </c>
      <c r="F1830" s="150">
        <v>5791813.5</v>
      </c>
      <c r="G1830" s="18">
        <v>0.01</v>
      </c>
      <c r="H1830" s="13"/>
      <c r="I1830" s="13"/>
    </row>
    <row r="1831" spans="1:9">
      <c r="A1831" s="13" t="s">
        <v>2655</v>
      </c>
      <c r="B1831" s="138" t="s">
        <v>494</v>
      </c>
      <c r="C1831" s="138" t="s">
        <v>424</v>
      </c>
      <c r="D1831" s="15">
        <v>6000000</v>
      </c>
      <c r="E1831" s="92">
        <v>0.96367099180000004</v>
      </c>
      <c r="F1831" s="18">
        <v>5782025.9500000002</v>
      </c>
      <c r="G1831" s="18">
        <v>0.01</v>
      </c>
      <c r="H1831" s="13"/>
      <c r="I1831" s="13"/>
    </row>
    <row r="1832" spans="1:9">
      <c r="A1832" s="13" t="s">
        <v>2656</v>
      </c>
      <c r="B1832" s="138" t="s">
        <v>544</v>
      </c>
      <c r="C1832" s="138" t="s">
        <v>424</v>
      </c>
      <c r="D1832" s="15">
        <v>6000000</v>
      </c>
      <c r="E1832" s="92">
        <v>0.95800533860000003</v>
      </c>
      <c r="F1832" s="18">
        <v>5748032.0300000003</v>
      </c>
      <c r="G1832" s="18">
        <v>0.01</v>
      </c>
      <c r="H1832" s="13"/>
      <c r="I1832" s="13"/>
    </row>
    <row r="1833" spans="1:9">
      <c r="A1833" s="13" t="s">
        <v>2657</v>
      </c>
      <c r="B1833" s="138" t="s">
        <v>549</v>
      </c>
      <c r="C1833" s="138" t="s">
        <v>424</v>
      </c>
      <c r="D1833" s="18">
        <v>5834327.1299999999</v>
      </c>
      <c r="E1833" s="92">
        <v>0.95720130839999995</v>
      </c>
      <c r="F1833" s="18">
        <v>5584625.5599999996</v>
      </c>
      <c r="G1833" s="18">
        <v>0.01</v>
      </c>
      <c r="H1833" s="13"/>
      <c r="I1833" s="13"/>
    </row>
    <row r="1834" spans="1:9">
      <c r="A1834" s="13" t="s">
        <v>2658</v>
      </c>
      <c r="B1834" s="138" t="s">
        <v>555</v>
      </c>
      <c r="C1834" s="138" t="s">
        <v>424</v>
      </c>
      <c r="D1834" s="18">
        <v>6331582.3099999996</v>
      </c>
      <c r="E1834" s="92">
        <v>0.95240591509999994</v>
      </c>
      <c r="F1834" s="18">
        <v>6030236.4400000004</v>
      </c>
      <c r="G1834" s="18">
        <v>0.01</v>
      </c>
      <c r="H1834" s="13"/>
      <c r="I1834" s="13"/>
    </row>
    <row r="1835" spans="1:9">
      <c r="A1835" s="13" t="s">
        <v>2659</v>
      </c>
      <c r="B1835" s="138" t="s">
        <v>591</v>
      </c>
      <c r="C1835" s="138" t="s">
        <v>424</v>
      </c>
      <c r="D1835" s="15">
        <v>12000000</v>
      </c>
      <c r="E1835" s="92">
        <v>0.94687156660000005</v>
      </c>
      <c r="F1835" s="150">
        <v>11362458.800000001</v>
      </c>
      <c r="G1835" s="18">
        <v>0.02</v>
      </c>
      <c r="H1835" s="13"/>
      <c r="I1835" s="13"/>
    </row>
    <row r="1836" spans="1:9">
      <c r="A1836" s="13" t="s">
        <v>2660</v>
      </c>
      <c r="B1836" s="138" t="s">
        <v>494</v>
      </c>
      <c r="C1836" s="138" t="s">
        <v>424</v>
      </c>
      <c r="D1836" s="15">
        <v>12000000</v>
      </c>
      <c r="E1836" s="92">
        <v>0.96367099180000004</v>
      </c>
      <c r="F1836" s="150">
        <v>11564051.9</v>
      </c>
      <c r="G1836" s="18">
        <v>0.02</v>
      </c>
      <c r="H1836" s="13"/>
      <c r="I1836" s="13"/>
    </row>
    <row r="1837" spans="1:9">
      <c r="A1837" s="13" t="s">
        <v>2661</v>
      </c>
      <c r="B1837" s="138" t="s">
        <v>549</v>
      </c>
      <c r="C1837" s="138" t="s">
        <v>424</v>
      </c>
      <c r="D1837" s="15">
        <v>12000000</v>
      </c>
      <c r="E1837" s="92">
        <v>0.95720130969999995</v>
      </c>
      <c r="F1837" s="18">
        <v>11486415.720000001</v>
      </c>
      <c r="G1837" s="18">
        <v>0.02</v>
      </c>
      <c r="H1837" s="13"/>
      <c r="I1837" s="13"/>
    </row>
    <row r="1838" spans="1:9">
      <c r="A1838" s="13" t="s">
        <v>2662</v>
      </c>
      <c r="B1838" s="138" t="s">
        <v>555</v>
      </c>
      <c r="C1838" s="138" t="s">
        <v>424</v>
      </c>
      <c r="D1838" s="15">
        <v>12000000</v>
      </c>
      <c r="E1838" s="92">
        <v>0.95240591360000004</v>
      </c>
      <c r="F1838" s="18">
        <v>11428870.960000001</v>
      </c>
      <c r="G1838" s="18">
        <v>0.02</v>
      </c>
      <c r="H1838" s="13"/>
      <c r="I1838" s="13"/>
    </row>
    <row r="1839" spans="1:9">
      <c r="A1839" s="13" t="s">
        <v>2663</v>
      </c>
      <c r="B1839" s="138" t="s">
        <v>591</v>
      </c>
      <c r="C1839" s="138" t="s">
        <v>424</v>
      </c>
      <c r="D1839" s="18">
        <v>13264589.890000001</v>
      </c>
      <c r="E1839" s="92">
        <v>0.94687156660000005</v>
      </c>
      <c r="F1839" s="18">
        <v>12559863.01</v>
      </c>
      <c r="G1839" s="18">
        <v>0.02</v>
      </c>
      <c r="H1839" s="13"/>
      <c r="I1839" s="13"/>
    </row>
    <row r="1840" spans="1:9">
      <c r="A1840" s="13" t="s">
        <v>2664</v>
      </c>
      <c r="B1840" s="138" t="s">
        <v>734</v>
      </c>
      <c r="C1840" s="138" t="s">
        <v>424</v>
      </c>
      <c r="D1840" s="18">
        <v>38054448.590000004</v>
      </c>
      <c r="E1840" s="153">
        <v>0.93216883399999995</v>
      </c>
      <c r="F1840" s="18">
        <v>35473170.969999999</v>
      </c>
      <c r="G1840" s="18">
        <v>0.06</v>
      </c>
      <c r="H1840" s="13"/>
      <c r="I1840" s="13"/>
    </row>
    <row r="1841" spans="1:9">
      <c r="A1841" s="13" t="s">
        <v>2665</v>
      </c>
      <c r="B1841" s="138" t="s">
        <v>585</v>
      </c>
      <c r="C1841" s="138" t="s">
        <v>424</v>
      </c>
      <c r="D1841" s="18">
        <v>7485785.1900000004</v>
      </c>
      <c r="E1841" s="92">
        <v>0.95161125280000003</v>
      </c>
      <c r="F1841" s="18">
        <v>7123557.4199999999</v>
      </c>
      <c r="G1841" s="18">
        <v>0.01</v>
      </c>
      <c r="H1841" s="13"/>
      <c r="I1841" s="13"/>
    </row>
    <row r="1842" spans="1:9">
      <c r="A1842" s="13" t="s">
        <v>2666</v>
      </c>
      <c r="B1842" s="138" t="s">
        <v>489</v>
      </c>
      <c r="C1842" s="138" t="s">
        <v>424</v>
      </c>
      <c r="D1842" s="15">
        <v>6000000</v>
      </c>
      <c r="E1842" s="92">
        <v>0.96285772489999999</v>
      </c>
      <c r="F1842" s="18">
        <v>5777146.3499999996</v>
      </c>
      <c r="G1842" s="18">
        <v>0.01</v>
      </c>
      <c r="H1842" s="13"/>
      <c r="I1842" s="13"/>
    </row>
    <row r="1843" spans="1:9">
      <c r="A1843" s="13" t="s">
        <v>2667</v>
      </c>
      <c r="B1843" s="138" t="s">
        <v>950</v>
      </c>
      <c r="C1843" s="138" t="s">
        <v>424</v>
      </c>
      <c r="D1843" s="18">
        <v>6427534.4199999999</v>
      </c>
      <c r="E1843" s="92">
        <v>0.94140116620000003</v>
      </c>
      <c r="F1843" s="150">
        <v>6050888.4000000004</v>
      </c>
      <c r="G1843" s="18">
        <v>0.01</v>
      </c>
      <c r="H1843" s="13"/>
      <c r="I1843" s="13"/>
    </row>
    <row r="1844" spans="1:9">
      <c r="A1844" s="13" t="s">
        <v>2668</v>
      </c>
      <c r="B1844" s="138" t="s">
        <v>890</v>
      </c>
      <c r="C1844" s="138" t="s">
        <v>424</v>
      </c>
      <c r="D1844" s="18">
        <v>43185942.649999999</v>
      </c>
      <c r="E1844" s="28">
        <v>0.94217885999999995</v>
      </c>
      <c r="F1844" s="18">
        <v>40688882.210000001</v>
      </c>
      <c r="G1844" s="18">
        <v>7.0000000000000007E-2</v>
      </c>
      <c r="H1844" s="13"/>
      <c r="I1844" s="13"/>
    </row>
    <row r="1845" spans="1:9">
      <c r="A1845" s="13" t="s">
        <v>2669</v>
      </c>
      <c r="B1845" s="138" t="s">
        <v>555</v>
      </c>
      <c r="C1845" s="138" t="s">
        <v>424</v>
      </c>
      <c r="D1845" s="15">
        <v>8475000</v>
      </c>
      <c r="E1845" s="92">
        <v>0.95240591509999994</v>
      </c>
      <c r="F1845" s="18">
        <v>8071640.1299999999</v>
      </c>
      <c r="G1845" s="18">
        <v>0.01</v>
      </c>
      <c r="H1845" s="13"/>
      <c r="I1845" s="13"/>
    </row>
    <row r="1846" spans="1:9">
      <c r="A1846" s="13" t="s">
        <v>2670</v>
      </c>
      <c r="B1846" s="138" t="s">
        <v>489</v>
      </c>
      <c r="C1846" s="138" t="s">
        <v>424</v>
      </c>
      <c r="D1846" s="15">
        <v>4327290</v>
      </c>
      <c r="E1846" s="92">
        <v>0.9628577237</v>
      </c>
      <c r="F1846" s="150">
        <v>4166564.6</v>
      </c>
      <c r="G1846" s="18">
        <v>0.01</v>
      </c>
      <c r="H1846" s="13"/>
      <c r="I1846" s="13"/>
    </row>
    <row r="1847" spans="1:9">
      <c r="A1847" s="13" t="s">
        <v>2671</v>
      </c>
      <c r="B1847" s="138" t="s">
        <v>499</v>
      </c>
      <c r="C1847" s="138" t="s">
        <v>424</v>
      </c>
      <c r="D1847" s="18">
        <v>5072132.87</v>
      </c>
      <c r="E1847" s="92">
        <v>0.95639892059999998</v>
      </c>
      <c r="F1847" s="150">
        <v>4850982.4000000004</v>
      </c>
      <c r="G1847" s="18">
        <v>0.01</v>
      </c>
      <c r="H1847" s="13"/>
      <c r="I1847" s="13"/>
    </row>
    <row r="1848" spans="1:9">
      <c r="A1848" s="13" t="s">
        <v>2672</v>
      </c>
      <c r="B1848" s="138" t="s">
        <v>560</v>
      </c>
      <c r="C1848" s="138" t="s">
        <v>424</v>
      </c>
      <c r="D1848" s="18">
        <v>13629007.35</v>
      </c>
      <c r="E1848" s="92">
        <v>0.97022872550000006</v>
      </c>
      <c r="F1848" s="18">
        <v>13223254.43</v>
      </c>
      <c r="G1848" s="18">
        <v>0.02</v>
      </c>
      <c r="H1848" s="13"/>
      <c r="I1848" s="13"/>
    </row>
    <row r="1849" spans="1:9">
      <c r="A1849" s="13" t="s">
        <v>2673</v>
      </c>
      <c r="B1849" s="138" t="s">
        <v>475</v>
      </c>
      <c r="C1849" s="138" t="s">
        <v>424</v>
      </c>
      <c r="D1849" s="18">
        <v>6283471.8200000003</v>
      </c>
      <c r="E1849" s="92">
        <v>0.98675323260000003</v>
      </c>
      <c r="F1849" s="18">
        <v>6200236.1299999999</v>
      </c>
      <c r="G1849" s="18">
        <v>0.01</v>
      </c>
      <c r="H1849" s="13"/>
      <c r="I1849" s="13"/>
    </row>
    <row r="1850" spans="1:9">
      <c r="A1850" s="13" t="s">
        <v>2674</v>
      </c>
      <c r="B1850" s="138" t="s">
        <v>607</v>
      </c>
      <c r="C1850" s="138" t="s">
        <v>424</v>
      </c>
      <c r="D1850" s="18">
        <v>7119676.2199999997</v>
      </c>
      <c r="E1850" s="92">
        <v>0.97385283060000005</v>
      </c>
      <c r="F1850" s="18">
        <v>6933516.8399999999</v>
      </c>
      <c r="G1850" s="18">
        <v>0.01</v>
      </c>
      <c r="H1850" s="13"/>
      <c r="I1850" s="13"/>
    </row>
    <row r="1851" spans="1:9">
      <c r="A1851" s="13" t="s">
        <v>2675</v>
      </c>
      <c r="B1851" s="138" t="s">
        <v>172</v>
      </c>
      <c r="C1851" s="138" t="s">
        <v>424</v>
      </c>
      <c r="D1851" s="18">
        <v>10053554.939999999</v>
      </c>
      <c r="E1851" s="92">
        <v>0.99333245489999999</v>
      </c>
      <c r="F1851" s="18">
        <v>9986522.4100000001</v>
      </c>
      <c r="G1851" s="18">
        <v>0.02</v>
      </c>
      <c r="H1851" s="13"/>
      <c r="I1851" s="13"/>
    </row>
    <row r="1852" spans="1:9">
      <c r="A1852" s="13" t="s">
        <v>2676</v>
      </c>
      <c r="B1852" s="138" t="s">
        <v>591</v>
      </c>
      <c r="C1852" s="138" t="s">
        <v>424</v>
      </c>
      <c r="D1852" s="18">
        <v>54154566.950000003</v>
      </c>
      <c r="E1852" s="92">
        <v>0.95002615469999996</v>
      </c>
      <c r="F1852" s="15">
        <v>51448255</v>
      </c>
      <c r="G1852" s="18">
        <v>0.08</v>
      </c>
      <c r="H1852" s="13"/>
      <c r="I1852" s="13"/>
    </row>
    <row r="1853" spans="1:9">
      <c r="A1853" s="13" t="s">
        <v>2677</v>
      </c>
      <c r="B1853" s="138" t="s">
        <v>591</v>
      </c>
      <c r="C1853" s="138" t="s">
        <v>424</v>
      </c>
      <c r="D1853" s="18">
        <v>54154566.950000003</v>
      </c>
      <c r="E1853" s="92">
        <v>0.95002615469999996</v>
      </c>
      <c r="F1853" s="15">
        <v>51448255</v>
      </c>
      <c r="G1853" s="18">
        <v>0.08</v>
      </c>
      <c r="H1853" s="13"/>
      <c r="I1853" s="13"/>
    </row>
    <row r="1854" spans="1:9">
      <c r="A1854" s="13"/>
      <c r="B1854" s="13"/>
      <c r="C1854" s="13" t="s">
        <v>28</v>
      </c>
      <c r="D1854" s="13" t="s">
        <v>28</v>
      </c>
      <c r="E1854" s="13" t="s">
        <v>28</v>
      </c>
      <c r="F1854" s="18">
        <v>49502046851.160004</v>
      </c>
      <c r="G1854" s="18">
        <v>81.38</v>
      </c>
      <c r="H1854" s="13"/>
      <c r="I1854" s="13"/>
    </row>
    <row r="1855" spans="1:9">
      <c r="A1855" s="13" t="s">
        <v>28</v>
      </c>
      <c r="B1855" s="13"/>
      <c r="C1855" s="13"/>
      <c r="D1855" s="13"/>
      <c r="E1855" s="13"/>
      <c r="F1855" s="13"/>
      <c r="G1855" s="13"/>
      <c r="H1855" s="13"/>
      <c r="I1855" s="13"/>
    </row>
    <row r="1856" spans="1:9">
      <c r="A1856" s="13" t="s">
        <v>122</v>
      </c>
      <c r="B1856" s="13"/>
      <c r="C1856" s="13"/>
      <c r="D1856" s="13"/>
      <c r="E1856" s="13"/>
      <c r="F1856" s="13"/>
      <c r="G1856" s="13"/>
      <c r="H1856" s="13"/>
      <c r="I1856" s="13"/>
    </row>
    <row r="1857" spans="1:9">
      <c r="A1857" s="14" t="s">
        <v>9</v>
      </c>
      <c r="B1857" s="14" t="s">
        <v>98</v>
      </c>
      <c r="C1857" s="14" t="s">
        <v>16</v>
      </c>
      <c r="D1857" s="14" t="s">
        <v>100</v>
      </c>
      <c r="E1857" s="14" t="s">
        <v>32</v>
      </c>
      <c r="F1857" s="14" t="s">
        <v>101</v>
      </c>
      <c r="G1857" s="14" t="s">
        <v>4</v>
      </c>
      <c r="H1857" s="14"/>
      <c r="I1857" s="14"/>
    </row>
    <row r="1858" spans="1:9">
      <c r="A1858" s="13" t="s">
        <v>292</v>
      </c>
      <c r="B1858" s="138" t="s">
        <v>293</v>
      </c>
      <c r="C1858" s="138" t="s">
        <v>142</v>
      </c>
      <c r="D1858" s="15">
        <v>20856</v>
      </c>
      <c r="E1858" s="92">
        <v>1323.0439376813999</v>
      </c>
      <c r="F1858" s="150">
        <v>27593404.399999999</v>
      </c>
      <c r="G1858" s="18">
        <v>0.05</v>
      </c>
      <c r="H1858" s="13"/>
      <c r="I1858" s="13"/>
    </row>
    <row r="1859" spans="1:9">
      <c r="A1859" s="13" t="s">
        <v>294</v>
      </c>
      <c r="B1859" s="138" t="s">
        <v>295</v>
      </c>
      <c r="C1859" s="138" t="s">
        <v>142</v>
      </c>
      <c r="D1859" s="15">
        <v>20856</v>
      </c>
      <c r="E1859" s="92">
        <v>1383.7697733396999</v>
      </c>
      <c r="F1859" s="150">
        <v>28859902.399999999</v>
      </c>
      <c r="G1859" s="18">
        <v>0.05</v>
      </c>
      <c r="H1859" s="13"/>
      <c r="I1859" s="13"/>
    </row>
    <row r="1860" spans="1:9">
      <c r="A1860" s="13" t="s">
        <v>296</v>
      </c>
      <c r="B1860" s="138" t="s">
        <v>297</v>
      </c>
      <c r="C1860" s="138" t="s">
        <v>142</v>
      </c>
      <c r="D1860" s="15">
        <v>20856</v>
      </c>
      <c r="E1860" s="92">
        <v>1267.7174649423</v>
      </c>
      <c r="F1860" s="18">
        <v>26439515.57</v>
      </c>
      <c r="G1860" s="18">
        <v>0.04</v>
      </c>
      <c r="H1860" s="13"/>
      <c r="I1860" s="13"/>
    </row>
    <row r="1861" spans="1:9">
      <c r="A1861" s="13" t="s">
        <v>298</v>
      </c>
      <c r="B1861" s="138" t="s">
        <v>299</v>
      </c>
      <c r="C1861" s="138" t="s">
        <v>142</v>
      </c>
      <c r="D1861" s="15">
        <v>13904</v>
      </c>
      <c r="E1861" s="92">
        <v>1449.9591122890999</v>
      </c>
      <c r="F1861" s="18">
        <v>20160231.52</v>
      </c>
      <c r="G1861" s="18">
        <v>0.03</v>
      </c>
      <c r="H1861" s="13"/>
      <c r="I1861" s="13"/>
    </row>
    <row r="1862" spans="1:9">
      <c r="A1862" s="13" t="s">
        <v>496</v>
      </c>
      <c r="B1862" s="138" t="s">
        <v>497</v>
      </c>
      <c r="C1862" s="138" t="s">
        <v>316</v>
      </c>
      <c r="D1862" s="15">
        <v>18230</v>
      </c>
      <c r="E1862" s="92">
        <v>1484.2063852576</v>
      </c>
      <c r="F1862" s="18">
        <v>27057082.420000002</v>
      </c>
      <c r="G1862" s="18">
        <v>0.04</v>
      </c>
      <c r="H1862" s="13"/>
      <c r="I1862" s="13"/>
    </row>
    <row r="1863" spans="1:9">
      <c r="A1863" s="13" t="s">
        <v>498</v>
      </c>
      <c r="B1863" s="138" t="s">
        <v>499</v>
      </c>
      <c r="C1863" s="138" t="s">
        <v>316</v>
      </c>
      <c r="D1863" s="15">
        <v>18230</v>
      </c>
      <c r="E1863" s="92">
        <v>1494.5002302063999</v>
      </c>
      <c r="F1863" s="18">
        <v>27244739.190000001</v>
      </c>
      <c r="G1863" s="18">
        <v>0.04</v>
      </c>
      <c r="H1863" s="13"/>
      <c r="I1863" s="13"/>
    </row>
    <row r="1864" spans="1:9">
      <c r="A1864" s="13" t="s">
        <v>500</v>
      </c>
      <c r="B1864" s="138" t="s">
        <v>501</v>
      </c>
      <c r="C1864" s="138" t="s">
        <v>316</v>
      </c>
      <c r="D1864" s="15">
        <v>18230</v>
      </c>
      <c r="E1864" s="92">
        <v>1474.9987219993</v>
      </c>
      <c r="F1864" s="18">
        <v>26889226.73</v>
      </c>
      <c r="G1864" s="18">
        <v>0.04</v>
      </c>
      <c r="H1864" s="13"/>
      <c r="I1864" s="13"/>
    </row>
    <row r="1865" spans="1:9">
      <c r="A1865" s="13" t="s">
        <v>502</v>
      </c>
      <c r="B1865" s="138" t="s">
        <v>503</v>
      </c>
      <c r="C1865" s="138" t="s">
        <v>316</v>
      </c>
      <c r="D1865" s="15">
        <v>18230</v>
      </c>
      <c r="E1865" s="92">
        <v>1420.0354853425999</v>
      </c>
      <c r="F1865" s="18">
        <v>25887246.93</v>
      </c>
      <c r="G1865" s="18">
        <v>0.04</v>
      </c>
      <c r="H1865" s="13"/>
      <c r="I1865" s="13"/>
    </row>
    <row r="1866" spans="1:9">
      <c r="A1866" s="13" t="s">
        <v>504</v>
      </c>
      <c r="B1866" s="138" t="s">
        <v>505</v>
      </c>
      <c r="C1866" s="138" t="s">
        <v>316</v>
      </c>
      <c r="D1866" s="15">
        <v>18230</v>
      </c>
      <c r="E1866" s="92">
        <v>1446.8450852973001</v>
      </c>
      <c r="F1866" s="18">
        <v>26375985.859999999</v>
      </c>
      <c r="G1866" s="18">
        <v>0.04</v>
      </c>
      <c r="H1866" s="13"/>
      <c r="I1866" s="13"/>
    </row>
    <row r="1867" spans="1:9">
      <c r="A1867" s="13" t="s">
        <v>506</v>
      </c>
      <c r="B1867" s="138" t="s">
        <v>507</v>
      </c>
      <c r="C1867" s="138" t="s">
        <v>316</v>
      </c>
      <c r="D1867" s="15">
        <v>18230</v>
      </c>
      <c r="E1867" s="92">
        <v>1429.4454614875999</v>
      </c>
      <c r="F1867" s="18">
        <v>26058790.760000002</v>
      </c>
      <c r="G1867" s="18">
        <v>0.04</v>
      </c>
      <c r="H1867" s="13"/>
      <c r="I1867" s="13"/>
    </row>
    <row r="1868" spans="1:9">
      <c r="A1868" s="13" t="s">
        <v>508</v>
      </c>
      <c r="B1868" s="138" t="s">
        <v>509</v>
      </c>
      <c r="C1868" s="138" t="s">
        <v>316</v>
      </c>
      <c r="D1868" s="15">
        <v>18230</v>
      </c>
      <c r="E1868" s="92">
        <v>1438.3969204339</v>
      </c>
      <c r="F1868" s="18">
        <v>26221975.809999999</v>
      </c>
      <c r="G1868" s="18">
        <v>0.04</v>
      </c>
      <c r="H1868" s="13"/>
      <c r="I1868" s="13"/>
    </row>
    <row r="1869" spans="1:9">
      <c r="A1869" s="13" t="s">
        <v>510</v>
      </c>
      <c r="B1869" s="138" t="s">
        <v>511</v>
      </c>
      <c r="C1869" s="138" t="s">
        <v>316</v>
      </c>
      <c r="D1869" s="15">
        <v>18230</v>
      </c>
      <c r="E1869" s="92">
        <v>1465.9096278878999</v>
      </c>
      <c r="F1869" s="18">
        <v>26723532.539999999</v>
      </c>
      <c r="G1869" s="18">
        <v>0.04</v>
      </c>
      <c r="H1869" s="13"/>
      <c r="I1869" s="13"/>
    </row>
    <row r="1870" spans="1:9">
      <c r="A1870" s="13" t="s">
        <v>512</v>
      </c>
      <c r="B1870" s="138" t="s">
        <v>513</v>
      </c>
      <c r="C1870" s="138" t="s">
        <v>316</v>
      </c>
      <c r="D1870" s="15">
        <v>18230</v>
      </c>
      <c r="E1870" s="92">
        <v>1456.0029954040999</v>
      </c>
      <c r="F1870" s="18">
        <v>26542934.629999999</v>
      </c>
      <c r="G1870" s="18">
        <v>0.04</v>
      </c>
      <c r="H1870" s="13"/>
      <c r="I1870" s="13"/>
    </row>
    <row r="1871" spans="1:9">
      <c r="A1871" s="13" t="s">
        <v>633</v>
      </c>
      <c r="B1871" s="138" t="s">
        <v>452</v>
      </c>
      <c r="C1871" s="138" t="s">
        <v>352</v>
      </c>
      <c r="D1871" s="15">
        <v>100000</v>
      </c>
      <c r="E1871" s="92">
        <v>1508.9280180997</v>
      </c>
      <c r="F1871" s="18">
        <v>150892801.81</v>
      </c>
      <c r="G1871" s="18">
        <v>0.25</v>
      </c>
      <c r="H1871" s="13"/>
      <c r="I1871" s="13"/>
    </row>
    <row r="1872" spans="1:9">
      <c r="A1872" s="13" t="s">
        <v>755</v>
      </c>
      <c r="B1872" s="138" t="s">
        <v>492</v>
      </c>
      <c r="C1872" s="138" t="s">
        <v>372</v>
      </c>
      <c r="D1872" s="15">
        <v>50000</v>
      </c>
      <c r="E1872" s="92">
        <v>1499.7401668007001</v>
      </c>
      <c r="F1872" s="18">
        <v>74987008.379999995</v>
      </c>
      <c r="G1872" s="18">
        <v>0.12</v>
      </c>
      <c r="H1872" s="13"/>
      <c r="I1872" s="13"/>
    </row>
    <row r="1873" spans="1:9">
      <c r="A1873" s="13" t="s">
        <v>769</v>
      </c>
      <c r="B1873" s="138" t="s">
        <v>452</v>
      </c>
      <c r="C1873" s="138" t="s">
        <v>156</v>
      </c>
      <c r="D1873" s="15">
        <v>25000</v>
      </c>
      <c r="E1873" s="92">
        <v>1508.1860066248</v>
      </c>
      <c r="F1873" s="18">
        <v>37704650.170000002</v>
      </c>
      <c r="G1873" s="18">
        <v>0.06</v>
      </c>
      <c r="H1873" s="13"/>
      <c r="I1873" s="13"/>
    </row>
    <row r="1874" spans="1:9">
      <c r="A1874" s="13" t="s">
        <v>770</v>
      </c>
      <c r="B1874" s="138" t="s">
        <v>492</v>
      </c>
      <c r="C1874" s="138" t="s">
        <v>156</v>
      </c>
      <c r="D1874" s="15">
        <v>25000</v>
      </c>
      <c r="E1874" s="92">
        <v>1496.4051226141</v>
      </c>
      <c r="F1874" s="18">
        <v>37410128.049999997</v>
      </c>
      <c r="G1874" s="18">
        <v>0.06</v>
      </c>
      <c r="H1874" s="13"/>
      <c r="I1874" s="13"/>
    </row>
    <row r="1875" spans="1:9">
      <c r="A1875" s="13" t="s">
        <v>849</v>
      </c>
      <c r="B1875" s="138" t="s">
        <v>452</v>
      </c>
      <c r="C1875" s="138" t="s">
        <v>325</v>
      </c>
      <c r="D1875" s="15">
        <v>40000</v>
      </c>
      <c r="E1875" s="92">
        <v>1507.8149255374001</v>
      </c>
      <c r="F1875" s="18">
        <v>60312597.020000003</v>
      </c>
      <c r="G1875" s="150">
        <v>0.1</v>
      </c>
      <c r="H1875" s="13"/>
      <c r="I1875" s="13"/>
    </row>
    <row r="1876" spans="1:9">
      <c r="A1876" s="13" t="s">
        <v>951</v>
      </c>
      <c r="B1876" s="138" t="s">
        <v>950</v>
      </c>
      <c r="C1876" s="138" t="s">
        <v>330</v>
      </c>
      <c r="D1876" s="15">
        <v>500000</v>
      </c>
      <c r="E1876" s="92">
        <v>1488.3710256142001</v>
      </c>
      <c r="F1876" s="150">
        <v>744185512.20000005</v>
      </c>
      <c r="G1876" s="18">
        <v>1.22</v>
      </c>
      <c r="H1876" s="13"/>
      <c r="I1876" s="13"/>
    </row>
    <row r="1877" spans="1:9">
      <c r="A1877" s="13" t="s">
        <v>1056</v>
      </c>
      <c r="B1877" s="138" t="s">
        <v>452</v>
      </c>
      <c r="C1877" s="138" t="s">
        <v>347</v>
      </c>
      <c r="D1877" s="15">
        <v>70000</v>
      </c>
      <c r="E1877" s="153">
        <v>1508.9281692530001</v>
      </c>
      <c r="F1877" s="18">
        <v>105624971.84999999</v>
      </c>
      <c r="G1877" s="18">
        <v>0.17</v>
      </c>
      <c r="H1877" s="13"/>
      <c r="I1877" s="13"/>
    </row>
    <row r="1878" spans="1:9">
      <c r="A1878" s="13" t="s">
        <v>1207</v>
      </c>
      <c r="B1878" s="138" t="s">
        <v>950</v>
      </c>
      <c r="C1878" s="138" t="s">
        <v>355</v>
      </c>
      <c r="D1878" s="15">
        <v>100000</v>
      </c>
      <c r="E1878" s="92">
        <v>1485.5249587276001</v>
      </c>
      <c r="F1878" s="18">
        <v>148552495.97999999</v>
      </c>
      <c r="G1878" s="18">
        <v>0.24</v>
      </c>
      <c r="H1878" s="13"/>
      <c r="I1878" s="13"/>
    </row>
    <row r="1879" spans="1:9">
      <c r="A1879" s="13" t="s">
        <v>1777</v>
      </c>
      <c r="B1879" s="138" t="s">
        <v>1330</v>
      </c>
      <c r="C1879" s="138" t="s">
        <v>481</v>
      </c>
      <c r="D1879" s="15">
        <v>50000</v>
      </c>
      <c r="E1879" s="92">
        <v>1479.1134923627001</v>
      </c>
      <c r="F1879" s="18">
        <v>73955674.609999999</v>
      </c>
      <c r="G1879" s="18">
        <v>0.12</v>
      </c>
      <c r="H1879" s="13"/>
      <c r="I1879" s="13"/>
    </row>
    <row r="1880" spans="1:9">
      <c r="A1880" s="13" t="s">
        <v>1778</v>
      </c>
      <c r="B1880" s="138" t="s">
        <v>950</v>
      </c>
      <c r="C1880" s="138" t="s">
        <v>481</v>
      </c>
      <c r="D1880" s="15">
        <v>50000</v>
      </c>
      <c r="E1880" s="92">
        <v>1488.3713277695001</v>
      </c>
      <c r="F1880" s="18">
        <v>74418566.340000004</v>
      </c>
      <c r="G1880" s="18">
        <v>0.12</v>
      </c>
      <c r="H1880" s="13"/>
      <c r="I1880" s="13"/>
    </row>
    <row r="1881" spans="1:9">
      <c r="A1881" s="13" t="s">
        <v>1983</v>
      </c>
      <c r="B1881" s="138" t="s">
        <v>1330</v>
      </c>
      <c r="C1881" s="138" t="s">
        <v>429</v>
      </c>
      <c r="D1881" s="15">
        <v>100000</v>
      </c>
      <c r="E1881" s="92">
        <v>1475.1585688327</v>
      </c>
      <c r="F1881" s="18">
        <v>147515856.72999999</v>
      </c>
      <c r="G1881" s="18">
        <v>0.24</v>
      </c>
      <c r="H1881" s="13"/>
      <c r="I1881" s="13"/>
    </row>
    <row r="1882" spans="1:9">
      <c r="A1882" s="13" t="s">
        <v>1984</v>
      </c>
      <c r="B1882" s="138" t="s">
        <v>1184</v>
      </c>
      <c r="C1882" s="138" t="s">
        <v>429</v>
      </c>
      <c r="D1882" s="15">
        <v>20000</v>
      </c>
      <c r="E1882" s="92">
        <v>1468.4054936953</v>
      </c>
      <c r="F1882" s="18">
        <v>29368109.870000001</v>
      </c>
      <c r="G1882" s="18">
        <v>0.05</v>
      </c>
      <c r="H1882" s="13"/>
      <c r="I1882" s="13"/>
    </row>
    <row r="1883" spans="1:9">
      <c r="A1883" s="13" t="s">
        <v>2270</v>
      </c>
      <c r="B1883" s="138" t="s">
        <v>2271</v>
      </c>
      <c r="C1883" s="138" t="s">
        <v>422</v>
      </c>
      <c r="D1883" s="15">
        <v>20100</v>
      </c>
      <c r="E1883" s="92">
        <v>1411.5976844531001</v>
      </c>
      <c r="F1883" s="18">
        <v>28373113.34</v>
      </c>
      <c r="G1883" s="18">
        <v>0.05</v>
      </c>
      <c r="H1883" s="13"/>
      <c r="I1883" s="13"/>
    </row>
    <row r="1884" spans="1:9">
      <c r="A1884" s="13" t="s">
        <v>2272</v>
      </c>
      <c r="B1884" s="138" t="s">
        <v>2273</v>
      </c>
      <c r="C1884" s="138" t="s">
        <v>422</v>
      </c>
      <c r="D1884" s="15">
        <v>20100</v>
      </c>
      <c r="E1884" s="92">
        <v>1393.3464846741999</v>
      </c>
      <c r="F1884" s="150">
        <v>28006264.399999999</v>
      </c>
      <c r="G1884" s="18">
        <v>0.05</v>
      </c>
      <c r="H1884" s="13"/>
      <c r="I1884" s="13"/>
    </row>
    <row r="1885" spans="1:9">
      <c r="A1885" s="13" t="s">
        <v>2274</v>
      </c>
      <c r="B1885" s="138" t="s">
        <v>2275</v>
      </c>
      <c r="C1885" s="138" t="s">
        <v>422</v>
      </c>
      <c r="D1885" s="15">
        <v>20100</v>
      </c>
      <c r="E1885" s="92">
        <v>1401.2756459458999</v>
      </c>
      <c r="F1885" s="18">
        <v>28165640.390000001</v>
      </c>
      <c r="G1885" s="18">
        <v>0.05</v>
      </c>
      <c r="H1885" s="13"/>
      <c r="I1885" s="13"/>
    </row>
    <row r="1886" spans="1:9">
      <c r="A1886" s="13" t="s">
        <v>2314</v>
      </c>
      <c r="B1886" s="138" t="s">
        <v>492</v>
      </c>
      <c r="C1886" s="138" t="s">
        <v>441</v>
      </c>
      <c r="D1886" s="15">
        <v>188100</v>
      </c>
      <c r="E1886" s="92">
        <v>1498.0704174642001</v>
      </c>
      <c r="F1886" s="18">
        <v>281787045.62</v>
      </c>
      <c r="G1886" s="18">
        <v>0.46</v>
      </c>
      <c r="H1886" s="13"/>
      <c r="I1886" s="13"/>
    </row>
    <row r="1887" spans="1:9">
      <c r="A1887" s="13" t="s">
        <v>2315</v>
      </c>
      <c r="B1887" s="138" t="s">
        <v>950</v>
      </c>
      <c r="C1887" s="138" t="s">
        <v>441</v>
      </c>
      <c r="D1887" s="15">
        <v>188100</v>
      </c>
      <c r="E1887" s="92">
        <v>1488.3711367118001</v>
      </c>
      <c r="F1887" s="18">
        <v>279962610.73000002</v>
      </c>
      <c r="G1887" s="18">
        <v>0.46</v>
      </c>
      <c r="H1887" s="13"/>
      <c r="I1887" s="13"/>
    </row>
    <row r="1888" spans="1:9">
      <c r="A1888" s="13" t="s">
        <v>2577</v>
      </c>
      <c r="B1888" s="138" t="s">
        <v>589</v>
      </c>
      <c r="C1888" s="138" t="s">
        <v>464</v>
      </c>
      <c r="D1888" s="15">
        <v>101000</v>
      </c>
      <c r="E1888" s="92">
        <v>1506.4148794053999</v>
      </c>
      <c r="F1888" s="18">
        <v>152147902.84999999</v>
      </c>
      <c r="G1888" s="18">
        <v>0.25</v>
      </c>
      <c r="H1888" s="13"/>
      <c r="I1888" s="13"/>
    </row>
    <row r="1889" spans="1:9">
      <c r="A1889" s="13"/>
      <c r="B1889" s="13"/>
      <c r="C1889" s="13" t="s">
        <v>28</v>
      </c>
      <c r="D1889" s="13" t="s">
        <v>28</v>
      </c>
      <c r="E1889" s="13" t="s">
        <v>28</v>
      </c>
      <c r="F1889" s="150">
        <v>2825425519.0999999</v>
      </c>
      <c r="G1889" s="18">
        <v>4.62</v>
      </c>
      <c r="H1889" s="13"/>
      <c r="I1889" s="13"/>
    </row>
    <row r="1890" spans="1:9">
      <c r="A1890" s="13" t="s">
        <v>28</v>
      </c>
      <c r="B1890" s="13"/>
      <c r="C1890" s="13"/>
      <c r="D1890" s="13"/>
      <c r="E1890" s="13"/>
      <c r="F1890" s="13"/>
      <c r="G1890" s="13"/>
      <c r="H1890" s="13"/>
      <c r="I1890" s="13"/>
    </row>
    <row r="1891" spans="1:9">
      <c r="A1891" s="13" t="s">
        <v>1918</v>
      </c>
      <c r="B1891" s="13"/>
      <c r="C1891" s="13"/>
      <c r="D1891" s="13"/>
      <c r="E1891" s="13"/>
      <c r="F1891" s="13"/>
      <c r="G1891" s="13"/>
      <c r="H1891" s="13"/>
      <c r="I1891" s="13"/>
    </row>
    <row r="1892" spans="1:9">
      <c r="A1892" s="14" t="s">
        <v>9</v>
      </c>
      <c r="B1892" s="14" t="s">
        <v>98</v>
      </c>
      <c r="C1892" s="14" t="s">
        <v>16</v>
      </c>
      <c r="D1892" s="14" t="s">
        <v>100</v>
      </c>
      <c r="E1892" s="14" t="s">
        <v>32</v>
      </c>
      <c r="F1892" s="14" t="s">
        <v>101</v>
      </c>
      <c r="G1892" s="14" t="s">
        <v>4</v>
      </c>
      <c r="H1892" s="14"/>
      <c r="I1892" s="14"/>
    </row>
    <row r="1893" spans="1:9">
      <c r="A1893" s="13" t="s">
        <v>2316</v>
      </c>
      <c r="B1893" s="138" t="s">
        <v>370</v>
      </c>
      <c r="C1893" s="138" t="s">
        <v>441</v>
      </c>
      <c r="D1893" s="18">
        <v>51518.54</v>
      </c>
      <c r="E1893" s="92">
        <v>1527.4892600124999</v>
      </c>
      <c r="F1893" s="18">
        <v>78694016.540000007</v>
      </c>
      <c r="G1893" s="18">
        <v>0.13</v>
      </c>
      <c r="H1893" s="13"/>
      <c r="I1893" s="13"/>
    </row>
    <row r="1894" spans="1:9">
      <c r="A1894" s="13" t="s">
        <v>2413</v>
      </c>
      <c r="B1894" s="138" t="s">
        <v>444</v>
      </c>
      <c r="C1894" s="138" t="s">
        <v>342</v>
      </c>
      <c r="D1894" s="18">
        <v>51835.26</v>
      </c>
      <c r="E1894" s="92">
        <v>1523.7379885825001</v>
      </c>
      <c r="F1894" s="18">
        <v>78983354.819999993</v>
      </c>
      <c r="G1894" s="18">
        <v>0.13</v>
      </c>
      <c r="H1894" s="13"/>
      <c r="I1894" s="13"/>
    </row>
    <row r="1895" spans="1:9">
      <c r="A1895" s="13" t="s">
        <v>2578</v>
      </c>
      <c r="B1895" s="138" t="s">
        <v>456</v>
      </c>
      <c r="C1895" s="138" t="s">
        <v>464</v>
      </c>
      <c r="D1895" s="18">
        <v>4708.03</v>
      </c>
      <c r="E1895" s="92">
        <v>1512.5941823589001</v>
      </c>
      <c r="F1895" s="18">
        <v>7121338.79</v>
      </c>
      <c r="G1895" s="18">
        <v>0.01</v>
      </c>
      <c r="H1895" s="13"/>
      <c r="I1895" s="13"/>
    </row>
    <row r="1896" spans="1:9">
      <c r="A1896" s="13" t="s">
        <v>2678</v>
      </c>
      <c r="B1896" s="138" t="s">
        <v>607</v>
      </c>
      <c r="C1896" s="138" t="s">
        <v>424</v>
      </c>
      <c r="D1896" s="18">
        <v>5609.52</v>
      </c>
      <c r="E1896" s="92">
        <v>1516.0432841571001</v>
      </c>
      <c r="F1896" s="18">
        <v>8504275.1300000008</v>
      </c>
      <c r="G1896" s="18">
        <v>0.01</v>
      </c>
      <c r="H1896" s="13"/>
      <c r="I1896" s="13"/>
    </row>
    <row r="1897" spans="1:9">
      <c r="A1897" s="13"/>
      <c r="B1897" s="13"/>
      <c r="C1897" s="13" t="s">
        <v>28</v>
      </c>
      <c r="D1897" s="13" t="s">
        <v>28</v>
      </c>
      <c r="E1897" s="13" t="s">
        <v>28</v>
      </c>
      <c r="F1897" s="18">
        <v>173302985.28</v>
      </c>
      <c r="G1897" s="18">
        <v>0.28000000000000003</v>
      </c>
      <c r="H1897" s="13"/>
      <c r="I1897" s="13"/>
    </row>
    <row r="1898" spans="1:9">
      <c r="A1898" s="13" t="s">
        <v>28</v>
      </c>
      <c r="B1898" s="13"/>
      <c r="C1898" s="13"/>
      <c r="D1898" s="13"/>
      <c r="E1898" s="13"/>
      <c r="F1898" s="13"/>
      <c r="G1898" s="13"/>
      <c r="H1898" s="13"/>
      <c r="I1898" s="13"/>
    </row>
    <row r="1899" spans="1:9">
      <c r="A1899" s="13" t="s">
        <v>7</v>
      </c>
      <c r="B1899" s="13"/>
      <c r="C1899" s="13"/>
      <c r="D1899" s="13"/>
      <c r="E1899" s="13"/>
      <c r="F1899" s="13"/>
      <c r="G1899" s="13"/>
      <c r="H1899" s="13"/>
      <c r="I1899" s="13"/>
    </row>
    <row r="1900" spans="1:9">
      <c r="A1900" s="14" t="s">
        <v>8</v>
      </c>
      <c r="B1900" s="14" t="s">
        <v>2</v>
      </c>
      <c r="C1900" s="14" t="s">
        <v>4</v>
      </c>
      <c r="D1900" s="14"/>
      <c r="E1900" s="14"/>
      <c r="F1900" s="14"/>
      <c r="G1900" s="14"/>
      <c r="H1900" s="14"/>
      <c r="I1900" s="14"/>
    </row>
    <row r="1901" spans="1:9">
      <c r="A1901" s="13" t="s">
        <v>88</v>
      </c>
      <c r="B1901" s="18">
        <v>102249068.34999999</v>
      </c>
      <c r="C1901" s="18">
        <v>0.17</v>
      </c>
      <c r="D1901" s="13"/>
      <c r="E1901" s="13"/>
      <c r="F1901" s="13"/>
      <c r="G1901" s="13"/>
      <c r="H1901" s="13"/>
      <c r="I1901" s="13"/>
    </row>
    <row r="1902" spans="1:9">
      <c r="A1902" s="13" t="s">
        <v>28</v>
      </c>
      <c r="B1902" s="18">
        <v>102249068.34999999</v>
      </c>
      <c r="C1902" s="18">
        <v>0.17</v>
      </c>
      <c r="D1902" s="13"/>
      <c r="E1902" s="13"/>
      <c r="F1902" s="13"/>
      <c r="G1902" s="13"/>
      <c r="H1902" s="13"/>
      <c r="I1902" s="13"/>
    </row>
    <row r="1903" spans="1:9">
      <c r="A1903" s="13" t="s">
        <v>28</v>
      </c>
      <c r="B1903" s="13"/>
      <c r="C1903" s="13"/>
      <c r="D1903" s="13"/>
      <c r="E1903" s="13"/>
      <c r="F1903" s="13"/>
      <c r="G1903" s="13"/>
      <c r="H1903" s="13"/>
      <c r="I1903" s="13"/>
    </row>
    <row r="1904" spans="1:9">
      <c r="A1904" s="13" t="s">
        <v>2679</v>
      </c>
      <c r="B1904" s="13"/>
      <c r="C1904" s="13"/>
      <c r="D1904" s="13"/>
      <c r="E1904" s="13"/>
      <c r="F1904" s="13"/>
      <c r="G1904" s="13"/>
      <c r="H1904" s="13"/>
      <c r="I1904" s="13"/>
    </row>
    <row r="1905" spans="1:9">
      <c r="A1905" s="13" t="s">
        <v>28</v>
      </c>
      <c r="B1905" s="13"/>
      <c r="C1905" s="13"/>
      <c r="D1905" s="13"/>
      <c r="E1905" s="13"/>
      <c r="F1905" s="13"/>
      <c r="G1905" s="13"/>
      <c r="H1905" s="13"/>
      <c r="I1905" s="13"/>
    </row>
    <row r="1906" spans="1:9">
      <c r="A1906" s="13" t="s">
        <v>123</v>
      </c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3" t="s">
        <v>403</v>
      </c>
      <c r="B1907" s="13"/>
      <c r="C1907" s="13"/>
      <c r="D1907" s="13"/>
      <c r="E1907" s="13"/>
      <c r="F1907" s="13"/>
      <c r="G1907" s="13"/>
      <c r="H1907" s="13"/>
      <c r="I1907" s="13"/>
    </row>
    <row r="1908" spans="1:9">
      <c r="A1908" s="14" t="s">
        <v>8</v>
      </c>
      <c r="B1908" s="14" t="s">
        <v>124</v>
      </c>
      <c r="C1908" s="14" t="s">
        <v>125</v>
      </c>
      <c r="D1908" s="14"/>
      <c r="E1908" s="14"/>
      <c r="F1908" s="14"/>
      <c r="G1908" s="14"/>
      <c r="H1908" s="14"/>
      <c r="I1908" s="14"/>
    </row>
    <row r="1909" spans="1:9">
      <c r="A1909" s="13" t="s">
        <v>1480</v>
      </c>
      <c r="B1909" s="15">
        <v>400000000</v>
      </c>
      <c r="C1909" s="15">
        <v>415998688</v>
      </c>
      <c r="D1909" s="13"/>
      <c r="E1909" s="13"/>
      <c r="F1909" s="13"/>
      <c r="G1909" s="13"/>
      <c r="H1909" s="13"/>
      <c r="I1909" s="13"/>
    </row>
    <row r="1910" spans="1:9">
      <c r="A1910" s="13" t="s">
        <v>28</v>
      </c>
      <c r="B1910" s="13"/>
      <c r="C1910" s="13"/>
      <c r="D1910" s="13"/>
      <c r="E1910" s="13"/>
      <c r="F1910" s="13"/>
      <c r="G1910" s="13"/>
      <c r="H1910" s="13"/>
      <c r="I1910" s="13"/>
    </row>
    <row r="1911" spans="1:9">
      <c r="A1911" s="13" t="s">
        <v>12</v>
      </c>
      <c r="B1911" s="13"/>
      <c r="C1911" s="13"/>
      <c r="D1911" s="13"/>
      <c r="E1911" s="13"/>
      <c r="F1911" s="13"/>
      <c r="G1911" s="13"/>
      <c r="H1911" s="13"/>
      <c r="I1911" s="13"/>
    </row>
    <row r="1912" spans="1:9">
      <c r="A1912" s="13" t="s">
        <v>20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4" t="s">
        <v>9</v>
      </c>
      <c r="B1913" s="14" t="s">
        <v>30</v>
      </c>
      <c r="C1913" s="14" t="s">
        <v>25</v>
      </c>
      <c r="D1913" s="14" t="s">
        <v>21</v>
      </c>
      <c r="E1913" s="14"/>
      <c r="F1913" s="14"/>
      <c r="G1913" s="14"/>
      <c r="H1913" s="14"/>
      <c r="I1913" s="14"/>
    </row>
    <row r="1914" spans="1:9">
      <c r="A1914" s="13" t="s">
        <v>31</v>
      </c>
      <c r="B1914" s="138" t="s">
        <v>424</v>
      </c>
      <c r="C1914" s="151">
        <v>1479.2380000000001</v>
      </c>
      <c r="D1914" s="13" t="s">
        <v>28</v>
      </c>
      <c r="E1914" s="13"/>
      <c r="F1914" s="13"/>
      <c r="G1914" s="13"/>
      <c r="H1914" s="13"/>
      <c r="I1914" s="13"/>
    </row>
    <row r="1915" spans="1:9">
      <c r="A1915" s="13" t="s">
        <v>13</v>
      </c>
      <c r="B1915" s="138" t="s">
        <v>464</v>
      </c>
      <c r="C1915" s="151">
        <v>1478.058</v>
      </c>
      <c r="D1915" s="18">
        <v>0.08</v>
      </c>
      <c r="E1915" s="13"/>
      <c r="F1915" s="13"/>
      <c r="G1915" s="13"/>
      <c r="H1915" s="13"/>
      <c r="I1915" s="13"/>
    </row>
    <row r="1916" spans="1:9">
      <c r="A1916" s="13" t="s">
        <v>0</v>
      </c>
      <c r="B1916" s="138" t="s">
        <v>341</v>
      </c>
      <c r="C1916" s="18">
        <v>1453.71</v>
      </c>
      <c r="D1916" s="18">
        <v>1.76</v>
      </c>
      <c r="E1916" s="13"/>
      <c r="F1916" s="13"/>
      <c r="G1916" s="13"/>
      <c r="H1916" s="13"/>
      <c r="I1916" s="13"/>
    </row>
    <row r="1917" spans="1:9">
      <c r="A1917" s="13" t="s">
        <v>40</v>
      </c>
      <c r="B1917" s="138" t="s">
        <v>142</v>
      </c>
      <c r="C1917" s="151">
        <v>1231.2270000000001</v>
      </c>
      <c r="D1917" s="18">
        <v>20.14</v>
      </c>
      <c r="E1917" s="13"/>
      <c r="F1917" s="13"/>
      <c r="G1917" s="13"/>
      <c r="H1917" s="13"/>
      <c r="I1917" s="13"/>
    </row>
    <row r="1918" spans="1:9">
      <c r="A1918" s="13" t="s">
        <v>5</v>
      </c>
      <c r="B1918" s="138" t="s">
        <v>89</v>
      </c>
      <c r="C1918" s="15">
        <v>1000</v>
      </c>
      <c r="D1918" s="18">
        <v>47.92</v>
      </c>
      <c r="E1918" s="13"/>
      <c r="F1918" s="13"/>
      <c r="G1918" s="13"/>
      <c r="H1918" s="13"/>
      <c r="I1918" s="13"/>
    </row>
    <row r="1919" spans="1:9">
      <c r="A1919" s="13" t="s">
        <v>28</v>
      </c>
      <c r="B1919" s="13"/>
      <c r="C1919" s="13"/>
      <c r="D1919" s="13"/>
      <c r="E1919" s="13"/>
      <c r="F1919" s="13"/>
      <c r="G1919" s="13"/>
      <c r="H1919" s="13"/>
      <c r="I1919" s="13"/>
    </row>
    <row r="1920" spans="1:9">
      <c r="A1920" s="13" t="s">
        <v>23</v>
      </c>
      <c r="B1920" s="13"/>
      <c r="C1920" s="13"/>
      <c r="D1920" s="13"/>
      <c r="E1920" s="13"/>
      <c r="F1920" s="13"/>
      <c r="G1920" s="13"/>
      <c r="H1920" s="13"/>
      <c r="I1920" s="13"/>
    </row>
    <row r="1921" spans="1:9">
      <c r="A1921" s="14" t="s">
        <v>9</v>
      </c>
      <c r="B1921" s="14" t="s">
        <v>30</v>
      </c>
      <c r="C1921" s="14" t="s">
        <v>25</v>
      </c>
      <c r="D1921" s="14" t="s">
        <v>21</v>
      </c>
      <c r="E1921" s="14"/>
      <c r="F1921" s="14"/>
      <c r="G1921" s="14"/>
      <c r="H1921" s="14"/>
      <c r="I1921" s="14"/>
    </row>
    <row r="1922" spans="1:9">
      <c r="A1922" s="13" t="s">
        <v>31</v>
      </c>
      <c r="B1922" s="138" t="s">
        <v>424</v>
      </c>
      <c r="C1922" s="151">
        <v>1772.5239999999999</v>
      </c>
      <c r="D1922" s="13" t="s">
        <v>28</v>
      </c>
      <c r="E1922" s="13"/>
      <c r="F1922" s="13"/>
      <c r="G1922" s="13"/>
      <c r="H1922" s="13"/>
      <c r="I1922" s="13"/>
    </row>
    <row r="1923" spans="1:9">
      <c r="A1923" s="13" t="s">
        <v>13</v>
      </c>
      <c r="B1923" s="138" t="s">
        <v>464</v>
      </c>
      <c r="C1923" s="151">
        <v>1771.1110000000001</v>
      </c>
      <c r="D1923" s="18">
        <v>0.08</v>
      </c>
      <c r="E1923" s="13"/>
      <c r="F1923" s="13"/>
      <c r="G1923" s="13"/>
      <c r="H1923" s="13"/>
      <c r="I1923" s="13"/>
    </row>
    <row r="1924" spans="1:9">
      <c r="A1924" s="13" t="s">
        <v>0</v>
      </c>
      <c r="B1924" s="138" t="s">
        <v>341</v>
      </c>
      <c r="C1924" s="151">
        <v>1741.9359999999999</v>
      </c>
      <c r="D1924" s="18">
        <v>1.76</v>
      </c>
      <c r="E1924" s="13"/>
      <c r="F1924" s="13"/>
      <c r="G1924" s="13"/>
      <c r="H1924" s="13"/>
      <c r="I1924" s="13"/>
    </row>
    <row r="1925" spans="1:9">
      <c r="A1925" s="13" t="s">
        <v>40</v>
      </c>
      <c r="B1925" s="138" t="s">
        <v>142</v>
      </c>
      <c r="C1925" s="151">
        <v>1475.3389999999999</v>
      </c>
      <c r="D1925" s="18">
        <v>20.14</v>
      </c>
      <c r="E1925" s="13"/>
      <c r="F1925" s="13"/>
      <c r="G1925" s="13"/>
      <c r="H1925" s="13"/>
      <c r="I1925" s="13"/>
    </row>
    <row r="1926" spans="1:9">
      <c r="A1926" s="13" t="s">
        <v>5</v>
      </c>
      <c r="B1926" s="138" t="s">
        <v>89</v>
      </c>
      <c r="C1926" s="15">
        <v>1000</v>
      </c>
      <c r="D1926" s="18">
        <v>77.25</v>
      </c>
      <c r="E1926" s="13"/>
      <c r="F1926" s="13"/>
      <c r="G1926" s="13"/>
      <c r="H1926" s="13"/>
      <c r="I1926" s="13"/>
    </row>
    <row r="1927" spans="1:9">
      <c r="A1927" s="13" t="s">
        <v>28</v>
      </c>
      <c r="B1927" s="13"/>
      <c r="C1927" s="13"/>
      <c r="D1927" s="13"/>
      <c r="E1927" s="13"/>
      <c r="F1927" s="13"/>
      <c r="G1927" s="13"/>
      <c r="H1927" s="13"/>
      <c r="I1927" s="13"/>
    </row>
    <row r="1928" spans="1:9">
      <c r="A1928" s="13" t="s">
        <v>22</v>
      </c>
      <c r="B1928" s="13"/>
      <c r="C1928" s="13"/>
      <c r="D1928" s="13"/>
      <c r="E1928" s="13"/>
      <c r="F1928" s="13"/>
      <c r="G1928" s="13"/>
      <c r="H1928" s="13"/>
      <c r="I1928" s="13"/>
    </row>
    <row r="1929" spans="1:9">
      <c r="A1929" s="14" t="s">
        <v>9</v>
      </c>
      <c r="B1929" s="14" t="s">
        <v>30</v>
      </c>
      <c r="C1929" s="14" t="s">
        <v>25</v>
      </c>
      <c r="D1929" s="14" t="s">
        <v>21</v>
      </c>
      <c r="E1929" s="14"/>
      <c r="F1929" s="14"/>
      <c r="G1929" s="14"/>
      <c r="H1929" s="14"/>
      <c r="I1929" s="14"/>
    </row>
    <row r="1930" spans="1:9">
      <c r="A1930" s="13" t="s">
        <v>31</v>
      </c>
      <c r="B1930" s="138" t="s">
        <v>424</v>
      </c>
      <c r="C1930" s="151">
        <v>1785.6880000000001</v>
      </c>
      <c r="D1930" s="13" t="s">
        <v>28</v>
      </c>
      <c r="E1930" s="13"/>
      <c r="F1930" s="13"/>
      <c r="G1930" s="13"/>
      <c r="H1930" s="13"/>
      <c r="I1930" s="13"/>
    </row>
    <row r="1931" spans="1:9">
      <c r="A1931" s="13" t="s">
        <v>13</v>
      </c>
      <c r="B1931" s="138" t="s">
        <v>464</v>
      </c>
      <c r="C1931" s="151">
        <v>1784.2639999999999</v>
      </c>
      <c r="D1931" s="18">
        <v>0.08</v>
      </c>
      <c r="E1931" s="13"/>
      <c r="F1931" s="13"/>
      <c r="G1931" s="13"/>
      <c r="H1931" s="13"/>
      <c r="I1931" s="13"/>
    </row>
    <row r="1932" spans="1:9">
      <c r="A1932" s="13" t="s">
        <v>0</v>
      </c>
      <c r="B1932" s="138" t="s">
        <v>341</v>
      </c>
      <c r="C1932" s="151">
        <v>1754.8710000000001</v>
      </c>
      <c r="D1932" s="18">
        <v>1.76</v>
      </c>
      <c r="E1932" s="13"/>
      <c r="F1932" s="13"/>
      <c r="G1932" s="13"/>
      <c r="H1932" s="13"/>
      <c r="I1932" s="13"/>
    </row>
    <row r="1933" spans="1:9">
      <c r="A1933" s="13" t="s">
        <v>40</v>
      </c>
      <c r="B1933" s="138" t="s">
        <v>142</v>
      </c>
      <c r="C1933" s="150">
        <v>1486.3</v>
      </c>
      <c r="D1933" s="18">
        <v>20.14</v>
      </c>
      <c r="E1933" s="13"/>
      <c r="F1933" s="13"/>
      <c r="G1933" s="13"/>
      <c r="H1933" s="13"/>
      <c r="I1933" s="13"/>
    </row>
    <row r="1934" spans="1:9">
      <c r="A1934" s="13" t="s">
        <v>5</v>
      </c>
      <c r="B1934" s="138" t="s">
        <v>89</v>
      </c>
      <c r="C1934" s="15">
        <v>1000</v>
      </c>
      <c r="D1934" s="18">
        <v>78.569999999999993</v>
      </c>
      <c r="E1934" s="13"/>
      <c r="F1934" s="13"/>
      <c r="G1934" s="13"/>
      <c r="H1934" s="13"/>
      <c r="I1934" s="13"/>
    </row>
    <row r="1935" spans="1:9">
      <c r="A1935" s="13" t="s">
        <v>28</v>
      </c>
      <c r="B1935" s="13"/>
      <c r="C1935" s="13"/>
      <c r="D1935" s="13"/>
      <c r="E1935" s="13"/>
      <c r="F1935" s="13"/>
      <c r="G1935" s="13"/>
      <c r="H1935" s="13"/>
      <c r="I1935" s="13"/>
    </row>
    <row r="1936" spans="1:9">
      <c r="A1936" s="13" t="s">
        <v>233</v>
      </c>
      <c r="B1936" s="13"/>
      <c r="C1936" s="13"/>
      <c r="D1936" s="13"/>
      <c r="E1936" s="13"/>
      <c r="F1936" s="13"/>
      <c r="G1936" s="13"/>
      <c r="H1936" s="13"/>
      <c r="I1936" s="13"/>
    </row>
    <row r="1937" spans="1:9">
      <c r="A1937" s="14" t="s">
        <v>9</v>
      </c>
      <c r="B1937" s="14" t="s">
        <v>30</v>
      </c>
      <c r="C1937" s="14" t="s">
        <v>25</v>
      </c>
      <c r="D1937" s="14" t="s">
        <v>21</v>
      </c>
      <c r="E1937" s="14"/>
      <c r="F1937" s="14"/>
      <c r="G1937" s="14"/>
      <c r="H1937" s="14"/>
      <c r="I1937" s="14"/>
    </row>
    <row r="1938" spans="1:9">
      <c r="A1938" s="13" t="s">
        <v>31</v>
      </c>
      <c r="B1938" s="138" t="s">
        <v>424</v>
      </c>
      <c r="C1938" s="151">
        <v>1102.4880000000001</v>
      </c>
      <c r="D1938" s="13" t="s">
        <v>28</v>
      </c>
      <c r="E1938" s="13"/>
      <c r="F1938" s="13"/>
      <c r="G1938" s="13"/>
      <c r="H1938" s="13"/>
      <c r="I1938" s="13"/>
    </row>
    <row r="1939" spans="1:9">
      <c r="A1939" s="13" t="s">
        <v>13</v>
      </c>
      <c r="B1939" s="138" t="s">
        <v>464</v>
      </c>
      <c r="C1939" s="151">
        <v>1102.4880000000001</v>
      </c>
      <c r="D1939" s="15">
        <v>0</v>
      </c>
      <c r="E1939" s="13"/>
      <c r="F1939" s="13"/>
      <c r="G1939" s="13"/>
      <c r="H1939" s="13"/>
      <c r="I1939" s="13"/>
    </row>
    <row r="1940" spans="1:9">
      <c r="A1940" s="13" t="s">
        <v>0</v>
      </c>
      <c r="B1940" s="138" t="s">
        <v>341</v>
      </c>
      <c r="C1940" s="151">
        <v>1102.4880000000001</v>
      </c>
      <c r="D1940" s="15">
        <v>0</v>
      </c>
      <c r="E1940" s="13"/>
      <c r="F1940" s="13"/>
      <c r="G1940" s="13"/>
      <c r="H1940" s="13"/>
      <c r="I1940" s="13"/>
    </row>
    <row r="1941" spans="1:9">
      <c r="A1941" s="13" t="s">
        <v>40</v>
      </c>
      <c r="B1941" s="138" t="s">
        <v>142</v>
      </c>
      <c r="C1941" s="18">
        <v>1047.33</v>
      </c>
      <c r="D1941" s="18">
        <v>5.27</v>
      </c>
      <c r="E1941" s="13"/>
      <c r="F1941" s="13"/>
      <c r="G1941" s="13"/>
      <c r="H1941" s="13"/>
      <c r="I1941" s="13"/>
    </row>
    <row r="1942" spans="1:9">
      <c r="A1942" s="13" t="s">
        <v>5</v>
      </c>
      <c r="B1942" s="138" t="s">
        <v>133</v>
      </c>
      <c r="C1942" s="15">
        <v>1000</v>
      </c>
      <c r="D1942" s="18">
        <v>10.25</v>
      </c>
      <c r="E1942" s="13"/>
      <c r="F1942" s="13"/>
      <c r="G1942" s="13"/>
      <c r="H1942" s="13"/>
      <c r="I1942" s="13"/>
    </row>
    <row r="1943" spans="1:9">
      <c r="A1943" s="13" t="s">
        <v>28</v>
      </c>
      <c r="B1943" s="13"/>
      <c r="C1943" s="13"/>
      <c r="D1943" s="13"/>
      <c r="E1943" s="13"/>
      <c r="F1943" s="13"/>
      <c r="G1943" s="13"/>
      <c r="H1943" s="13"/>
      <c r="I1943" s="13"/>
    </row>
    <row r="1944" spans="1:9">
      <c r="A1944" s="13" t="s">
        <v>12</v>
      </c>
      <c r="B1944" s="13"/>
      <c r="C1944" s="13"/>
      <c r="D1944" s="13"/>
      <c r="E1944" s="13"/>
      <c r="F1944" s="13"/>
      <c r="G1944" s="13"/>
      <c r="H1944" s="13"/>
      <c r="I1944" s="13"/>
    </row>
    <row r="1945" spans="1:9">
      <c r="A1945" s="13"/>
      <c r="B1945" s="13"/>
      <c r="C1945" s="13"/>
      <c r="D1945" s="13"/>
      <c r="E1945" s="13"/>
      <c r="F1945" s="13"/>
      <c r="G1945" s="13"/>
      <c r="H1945" s="13"/>
      <c r="I1945" s="13"/>
    </row>
    <row r="1946" spans="1:9">
      <c r="A1946" s="13" t="s">
        <v>850</v>
      </c>
      <c r="B1946" s="18">
        <v>65476559.390000001</v>
      </c>
      <c r="C1946" s="15">
        <v>1</v>
      </c>
      <c r="D1946" s="13"/>
      <c r="E1946" s="13"/>
      <c r="F1946" s="13"/>
      <c r="G1946" s="13"/>
      <c r="H1946" s="13"/>
      <c r="I1946" s="13"/>
    </row>
    <row r="1947" spans="1:9">
      <c r="A1947" s="13" t="s">
        <v>851</v>
      </c>
      <c r="B1947" s="18">
        <v>12413081.789999999</v>
      </c>
      <c r="C1947" s="15">
        <v>1</v>
      </c>
      <c r="D1947" s="13"/>
      <c r="E1947" s="13"/>
      <c r="F1947" s="13"/>
      <c r="G1947" s="13"/>
      <c r="H1947" s="13"/>
      <c r="I1947" s="13"/>
    </row>
    <row r="1948" spans="1:9">
      <c r="A1948" s="13" t="s">
        <v>852</v>
      </c>
      <c r="B1948" s="154">
        <v>4246737870.4818482</v>
      </c>
      <c r="C1948" s="13" t="s">
        <v>28</v>
      </c>
      <c r="D1948" s="13"/>
      <c r="E1948" s="13"/>
      <c r="F1948" s="13"/>
      <c r="G1948" s="13"/>
      <c r="H1948" s="13"/>
      <c r="I1948" s="13"/>
    </row>
    <row r="1949" spans="1:9">
      <c r="A1949" s="13" t="s">
        <v>853</v>
      </c>
      <c r="B1949" s="15">
        <v>120000000</v>
      </c>
      <c r="C1949" s="15">
        <v>1</v>
      </c>
      <c r="D1949" s="13"/>
      <c r="E1949" s="13"/>
      <c r="F1949" s="13"/>
      <c r="G1949" s="13"/>
      <c r="H1949" s="13"/>
      <c r="I1949" s="13"/>
    </row>
    <row r="1950" spans="1:9">
      <c r="A1950" s="13" t="s">
        <v>80</v>
      </c>
      <c r="B1950" s="18">
        <v>7707176.4800000004</v>
      </c>
      <c r="C1950" s="15">
        <v>1</v>
      </c>
      <c r="D1950" s="13"/>
      <c r="E1950" s="13"/>
      <c r="F1950" s="13"/>
      <c r="G1950" s="13"/>
      <c r="H1950" s="13"/>
      <c r="I1950" s="13"/>
    </row>
    <row r="1951" spans="1:9">
      <c r="A1951" s="13" t="s">
        <v>854</v>
      </c>
      <c r="B1951" s="154">
        <v>4686252045.7320976</v>
      </c>
      <c r="C1951" s="13" t="s">
        <v>28</v>
      </c>
      <c r="D1951" s="13"/>
      <c r="E1951" s="13"/>
      <c r="F1951" s="13"/>
      <c r="G1951" s="13"/>
      <c r="H1951" s="13"/>
      <c r="I1951" s="13"/>
    </row>
    <row r="1952" spans="1:9">
      <c r="A1952" s="13" t="s">
        <v>855</v>
      </c>
      <c r="B1952" s="15">
        <v>1612400000</v>
      </c>
      <c r="C1952" s="15">
        <v>1</v>
      </c>
      <c r="D1952" s="13"/>
      <c r="E1952" s="13"/>
      <c r="F1952" s="13"/>
      <c r="G1952" s="13"/>
      <c r="H1952" s="13"/>
      <c r="I1952" s="13"/>
    </row>
    <row r="1953" spans="1:9">
      <c r="A1953" s="13" t="s">
        <v>856</v>
      </c>
      <c r="B1953" s="15">
        <v>0</v>
      </c>
      <c r="C1953" s="15">
        <v>0</v>
      </c>
      <c r="D1953" s="13"/>
      <c r="E1953" s="13"/>
      <c r="F1953" s="13"/>
      <c r="G1953" s="13"/>
      <c r="H1953" s="13"/>
      <c r="I1953" s="13"/>
    </row>
    <row r="1954" spans="1:9">
      <c r="A1954" s="13" t="s">
        <v>857</v>
      </c>
      <c r="B1954" s="171">
        <v>26047987499.02449</v>
      </c>
      <c r="C1954" s="13" t="s">
        <v>28</v>
      </c>
      <c r="D1954" s="13"/>
      <c r="E1954" s="13"/>
      <c r="F1954" s="13"/>
      <c r="G1954" s="13"/>
      <c r="H1954" s="13"/>
      <c r="I1954" s="13"/>
    </row>
    <row r="1955" spans="1:9">
      <c r="A1955" s="13" t="s">
        <v>858</v>
      </c>
      <c r="B1955" s="15">
        <v>0</v>
      </c>
      <c r="C1955" s="15">
        <v>0</v>
      </c>
      <c r="D1955" s="13"/>
      <c r="E1955" s="13"/>
      <c r="F1955" s="13"/>
      <c r="G1955" s="13"/>
      <c r="H1955" s="13"/>
      <c r="I1955" s="13"/>
    </row>
    <row r="1956" spans="1:9">
      <c r="A1956" s="13" t="s">
        <v>859</v>
      </c>
      <c r="B1956" s="15">
        <v>0</v>
      </c>
      <c r="C1956" s="15">
        <v>0</v>
      </c>
      <c r="D1956" s="13"/>
      <c r="E1956" s="13"/>
      <c r="F1956" s="13"/>
      <c r="G1956" s="13"/>
      <c r="H1956" s="13"/>
      <c r="I1956" s="13"/>
    </row>
    <row r="1957" spans="1:9">
      <c r="A1957" s="13" t="s">
        <v>860</v>
      </c>
      <c r="B1957" s="15">
        <v>0</v>
      </c>
      <c r="C1957" s="13" t="s">
        <v>28</v>
      </c>
      <c r="D1957" s="13"/>
      <c r="E1957" s="13"/>
      <c r="F1957" s="13"/>
      <c r="G1957" s="13"/>
      <c r="H1957" s="13"/>
      <c r="I1957" s="13"/>
    </row>
    <row r="1958" spans="1:9">
      <c r="A1958" s="13" t="s">
        <v>28</v>
      </c>
      <c r="B1958" s="13"/>
      <c r="C1958" s="13"/>
      <c r="D1958" s="13"/>
      <c r="E1958" s="13"/>
      <c r="F1958" s="13"/>
      <c r="G1958" s="13"/>
      <c r="H1958" s="13"/>
      <c r="I1958" s="13"/>
    </row>
    <row r="1959" spans="1:9">
      <c r="A1959" s="13" t="s">
        <v>12</v>
      </c>
      <c r="B1959" s="13"/>
      <c r="C1959" s="13"/>
      <c r="D1959" s="13"/>
      <c r="E1959" s="13"/>
      <c r="F1959" s="13"/>
      <c r="G1959" s="13"/>
      <c r="H1959" s="13"/>
      <c r="I1959" s="13"/>
    </row>
    <row r="1960" spans="1:9">
      <c r="A1960" s="13"/>
      <c r="B1960" s="13"/>
      <c r="C1960" s="13"/>
      <c r="D1960" s="13"/>
      <c r="E1960" s="13"/>
      <c r="F1960" s="13"/>
      <c r="G1960" s="13"/>
      <c r="H1960" s="13"/>
      <c r="I1960" s="13"/>
    </row>
    <row r="1961" spans="1:9">
      <c r="A1961" s="13" t="s">
        <v>861</v>
      </c>
      <c r="B1961" s="13" t="s">
        <v>28</v>
      </c>
      <c r="C1961" s="15">
        <v>6</v>
      </c>
      <c r="D1961" s="13"/>
      <c r="E1961" s="13"/>
      <c r="F1961" s="13"/>
      <c r="G1961" s="13"/>
      <c r="H1961" s="13"/>
      <c r="I1961" s="13"/>
    </row>
    <row r="1962" spans="1:9">
      <c r="A1962" s="13" t="s">
        <v>28</v>
      </c>
      <c r="B1962" s="13"/>
      <c r="C1962" s="13"/>
      <c r="D1962" s="13"/>
      <c r="E1962" s="13"/>
      <c r="F1962" s="13"/>
      <c r="G1962" s="13"/>
      <c r="H1962" s="13"/>
      <c r="I1962" s="13"/>
    </row>
    <row r="1963" spans="1:9">
      <c r="A1963" s="13" t="s">
        <v>2680</v>
      </c>
      <c r="B1963" s="13"/>
      <c r="C1963" s="13"/>
      <c r="D1963" s="13"/>
      <c r="E1963" s="13"/>
      <c r="F1963" s="13"/>
      <c r="G1963" s="13"/>
      <c r="H1963" s="13"/>
      <c r="I1963" s="13"/>
    </row>
    <row r="1964" spans="1:9">
      <c r="A1964" s="13" t="s">
        <v>12</v>
      </c>
      <c r="B1964" s="13"/>
      <c r="C1964" s="13"/>
      <c r="D1964" s="13"/>
      <c r="E1964" s="13"/>
      <c r="F1964" s="13"/>
      <c r="G1964" s="13"/>
      <c r="H1964" s="13"/>
      <c r="I1964" s="13"/>
    </row>
    <row r="1965" spans="1:9">
      <c r="A1965" s="13" t="s">
        <v>862</v>
      </c>
      <c r="B1965" s="13"/>
      <c r="C1965" s="13"/>
      <c r="D1965" s="13"/>
      <c r="E1965" s="13"/>
      <c r="F1965" s="13"/>
      <c r="G1965" s="13"/>
      <c r="H1965" s="13"/>
      <c r="I1965" s="13"/>
    </row>
    <row r="1966" spans="1:9">
      <c r="A1966" s="13" t="s">
        <v>863</v>
      </c>
      <c r="B1966" s="13"/>
      <c r="C1966" s="13"/>
      <c r="D1966" s="13"/>
      <c r="E1966" s="13"/>
      <c r="F1966" s="13"/>
      <c r="G1966" s="13"/>
      <c r="H1966" s="13"/>
      <c r="I1966" s="13"/>
    </row>
    <row r="1967" spans="1:9">
      <c r="A1967" s="13" t="s">
        <v>864</v>
      </c>
      <c r="B1967" s="13"/>
      <c r="C1967" s="13"/>
      <c r="D1967" s="13"/>
      <c r="E1967" s="13"/>
      <c r="F1967" s="13"/>
      <c r="G1967" s="13"/>
      <c r="H1967" s="13"/>
      <c r="I1967" s="13"/>
    </row>
    <row r="1968" spans="1:9">
      <c r="A1968" s="13" t="s">
        <v>865</v>
      </c>
      <c r="B1968" s="13"/>
      <c r="C1968" s="13"/>
      <c r="D1968" s="13"/>
      <c r="E1968" s="13"/>
      <c r="F1968" s="13"/>
      <c r="G1968" s="13"/>
      <c r="H1968" s="13"/>
      <c r="I1968" s="13"/>
    </row>
    <row r="1969" spans="1:9">
      <c r="A1969" s="13" t="s">
        <v>866</v>
      </c>
      <c r="B1969" s="13"/>
      <c r="C1969" s="13"/>
      <c r="D1969" s="13"/>
      <c r="E1969" s="13"/>
      <c r="F1969" s="13"/>
      <c r="G1969" s="13"/>
      <c r="H1969" s="13"/>
      <c r="I1969" s="13"/>
    </row>
    <row r="1970" spans="1:9">
      <c r="A1970" s="13" t="s">
        <v>867</v>
      </c>
      <c r="B1970" s="13"/>
      <c r="C1970" s="13"/>
      <c r="D1970" s="13"/>
      <c r="E1970" s="13"/>
      <c r="F1970" s="13"/>
      <c r="G1970" s="13"/>
      <c r="H1970" s="13"/>
      <c r="I1970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4" sqref="H14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45826506877.574997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3055100458.5050001</v>
      </c>
      <c r="E2" s="67"/>
      <c r="F2" s="67"/>
      <c r="G2" s="82">
        <f>VLOOKUP(E1,'GESTION MOMENTUM'!A8:B32,2,0)</f>
        <v>61102009170.099998</v>
      </c>
      <c r="H2" s="22">
        <v>-2E-3</v>
      </c>
      <c r="I2" s="23">
        <f>+G2*(1+H2)</f>
        <v>60979805151.759796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12220401834.02</v>
      </c>
      <c r="E3" s="67"/>
      <c r="F3" s="67"/>
      <c r="G3" s="67" t="s">
        <v>37</v>
      </c>
      <c r="H3" s="25">
        <v>0.05</v>
      </c>
      <c r="I3" s="26">
        <f>+I2*H3</f>
        <v>3048990257.5879898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12220401834.02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15275502292.525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367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362</v>
      </c>
      <c r="C9" s="120" t="s">
        <v>363</v>
      </c>
      <c r="D9" s="120" t="s">
        <v>32</v>
      </c>
      <c r="E9" s="120" t="s">
        <v>364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1480</v>
      </c>
      <c r="C10" s="114">
        <v>400000000</v>
      </c>
      <c r="D10" s="131">
        <f>+VLOOKUP(B10,'GESTION MOMENTUM'!A:D,4,0)</f>
        <v>1.04</v>
      </c>
      <c r="E10" s="132">
        <v>0.8</v>
      </c>
      <c r="F10" s="133">
        <f>C10*D10*E10</f>
        <v>332800000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368</v>
      </c>
      <c r="F13" s="137">
        <f>SUM(F10:F12)</f>
        <v>332800000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357</v>
      </c>
      <c r="C15" s="111" t="s">
        <v>366</v>
      </c>
      <c r="D15" s="111" t="s">
        <v>358</v>
      </c>
      <c r="E15" s="111" t="s">
        <v>359</v>
      </c>
      <c r="F15" s="111" t="s">
        <v>365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290</v>
      </c>
      <c r="B16" s="112" t="s">
        <v>360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627</v>
      </c>
      <c r="B17" s="112" t="s">
        <v>782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750</v>
      </c>
      <c r="B18" s="112" t="s">
        <v>783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1170</v>
      </c>
      <c r="B19" s="112" t="s">
        <v>1780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1760</v>
      </c>
      <c r="B20" s="112" t="s">
        <v>1781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1985</v>
      </c>
      <c r="B21" s="112" t="s">
        <v>2031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297140000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361</v>
      </c>
      <c r="C24" s="116">
        <f>F13-F23</f>
        <v>35660000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65" zoomScale="90" zoomScaleNormal="90" workbookViewId="0">
      <selection activeCell="K85" sqref="K8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537</v>
      </c>
      <c r="U2" s="104" t="s">
        <v>334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532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461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449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317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180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294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181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292</v>
      </c>
      <c r="J8" s="73"/>
      <c r="K8" s="101" t="s">
        <v>29</v>
      </c>
      <c r="L8" s="102">
        <f>+VLOOKUP(K8,'GESTION MOMENTUM'!A:B,2,0)</f>
        <v>61102009170.099998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289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182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289</v>
      </c>
      <c r="L10" s="88" t="s">
        <v>120</v>
      </c>
      <c r="M10" s="88" t="s">
        <v>332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183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288</v>
      </c>
      <c r="K11" s="89" t="s">
        <v>130</v>
      </c>
      <c r="L11" s="85">
        <f>+VLOOKUP(K11,'GESTION MOMENTUM'!A:B,2,0)</f>
        <v>-334395857.44999999</v>
      </c>
      <c r="M11" s="103">
        <f>+L11/L8</f>
        <v>-5.4727473284730405E-3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286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184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285</v>
      </c>
      <c r="K13" s="67" t="s">
        <v>333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285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185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281</v>
      </c>
      <c r="K15" s="67" t="s">
        <v>121</v>
      </c>
      <c r="L15" s="85">
        <f>+SUMIF(G:G,K15,E:E)+E2</f>
        <v>1278461550</v>
      </c>
      <c r="M15" s="103">
        <f>+SUMIF(G:G,K15,E:E)/$L$8</f>
        <v>2.0867649318214936E-2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186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281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188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280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187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280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179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279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279</v>
      </c>
      <c r="K20" s="107" t="s">
        <v>335</v>
      </c>
      <c r="L20" s="107" t="s">
        <v>120</v>
      </c>
      <c r="M20" s="107" t="s">
        <v>332</v>
      </c>
      <c r="O20" s="110" t="s">
        <v>336</v>
      </c>
      <c r="P20" s="109"/>
      <c r="U20" s="67" t="str">
        <v>I-LED ARGENTINA S.A.</v>
      </c>
      <c r="V20" s="100">
        <f>+SUMIF(H:H,U20,E:E)</f>
        <v>38150000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274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6.9555814247753396E-3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273</v>
      </c>
      <c r="K22" s="67" t="str">
        <v>NIRO CONSTRUYE S. A.</v>
      </c>
      <c r="L22" s="85">
        <v>258370000</v>
      </c>
      <c r="M22" s="103">
        <f t="shared" ref="M22:M52" si="3">+L22/$L$8</f>
        <v>4.2285025240451869E-3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272</v>
      </c>
      <c r="K23" s="67" t="str">
        <v>PORT PLA S.R.L.</v>
      </c>
      <c r="L23" s="85">
        <v>150000000</v>
      </c>
      <c r="M23" s="103">
        <f t="shared" si="3"/>
        <v>2.4549110910971786E-3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272</v>
      </c>
      <c r="K24" s="67" t="str">
        <v>Maradona Wines</v>
      </c>
      <c r="L24" s="85">
        <v>119500000</v>
      </c>
      <c r="M24" s="103">
        <f t="shared" si="3"/>
        <v>1.9557458359074189E-3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268</v>
      </c>
      <c r="K25" s="67" t="str">
        <v>FRIGORIFICO GENERAL PICO S A</v>
      </c>
      <c r="L25" s="85">
        <v>70000000</v>
      </c>
      <c r="M25" s="103">
        <f t="shared" si="3"/>
        <v>1.1456251758453499E-3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213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217</v>
      </c>
      <c r="I26" s="36">
        <f t="shared" ca="1" si="2"/>
        <v>266</v>
      </c>
      <c r="K26" s="67" t="str">
        <v>MERCOL RAUL ALBERTO Y MERCOL MAURICIO EDUARDO.</v>
      </c>
      <c r="L26" s="85">
        <v>62500000</v>
      </c>
      <c r="M26" s="103">
        <f t="shared" si="3"/>
        <v>1.022879621290491E-3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194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250</v>
      </c>
      <c r="K27" s="67" t="str">
        <v>FINEX CABA S. A.</v>
      </c>
      <c r="L27" s="85">
        <v>55300000</v>
      </c>
      <c r="M27" s="103">
        <f t="shared" si="3"/>
        <v>9.0504388891782651E-4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214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217</v>
      </c>
      <c r="I28" s="36">
        <f t="shared" ca="1" si="2"/>
        <v>236</v>
      </c>
      <c r="K28" s="67" t="str">
        <v>AKAI ENERGY LED SRL</v>
      </c>
      <c r="L28" s="85">
        <v>44963000</v>
      </c>
      <c r="M28" s="103">
        <f t="shared" si="3"/>
        <v>7.3586778259334957E-4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219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217</v>
      </c>
      <c r="I29" s="36">
        <f t="shared" ca="1" si="2"/>
        <v>232</v>
      </c>
      <c r="K29" s="67" t="str">
        <v>I-LED ARGENTINA S.A.</v>
      </c>
      <c r="L29" s="85">
        <v>38150000</v>
      </c>
      <c r="M29" s="103">
        <f t="shared" si="3"/>
        <v>6.2436572083571576E-4</v>
      </c>
      <c r="O29" s="108">
        <f>+SUMIF('Reporte de Cheques'!A:A,'Cheques pendientes'!K29,'Reporte de Cheques'!I:I)</f>
        <v>54950000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195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232</v>
      </c>
      <c r="K30" s="67" t="str">
        <v>TRADICION VALORES S.A.</v>
      </c>
      <c r="L30" s="85">
        <v>25000000</v>
      </c>
      <c r="M30" s="103">
        <f t="shared" si="3"/>
        <v>4.0915184851619645E-4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221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217</v>
      </c>
      <c r="I31" s="36">
        <f t="shared" ca="1" si="2"/>
        <v>231</v>
      </c>
      <c r="K31" s="67" t="str">
        <v>MASTER DESIGN HOME SRL</v>
      </c>
      <c r="L31" s="85">
        <v>24000000</v>
      </c>
      <c r="M31" s="103">
        <f t="shared" si="3"/>
        <v>3.927857745755486E-4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222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217</v>
      </c>
      <c r="I32" s="36">
        <f t="shared" ca="1" si="2"/>
        <v>225</v>
      </c>
      <c r="K32" s="67" t="str">
        <v>GROCAL S.A.</v>
      </c>
      <c r="L32" s="85">
        <v>15000000</v>
      </c>
      <c r="M32" s="103">
        <f t="shared" si="3"/>
        <v>2.4549110910971787E-4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223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217</v>
      </c>
      <c r="I33" s="36">
        <f t="shared" ca="1" si="2"/>
        <v>224</v>
      </c>
      <c r="K33" s="67" t="str">
        <v>Paccioli Group Sociedad Anonima</v>
      </c>
      <c r="L33" s="85">
        <v>13958000</v>
      </c>
      <c r="M33" s="103">
        <f t="shared" si="3"/>
        <v>2.2843766006356279E-4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230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201</v>
      </c>
      <c r="I34" s="36">
        <f t="shared" ca="1" si="2"/>
        <v>224</v>
      </c>
      <c r="K34" s="67" t="str">
        <v>RABU INVERSIONES SRL</v>
      </c>
      <c r="L34" s="85">
        <v>7194300</v>
      </c>
      <c r="M34" s="103">
        <f t="shared" si="3"/>
        <v>1.1774244575120287E-4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231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201</v>
      </c>
      <c r="I35" s="36">
        <f t="shared" ca="1" si="2"/>
        <v>222</v>
      </c>
      <c r="K35" s="67" t="str">
        <v>UKUMARI SOCIEDAD ANONIMA.</v>
      </c>
      <c r="L35" s="85">
        <v>6812500</v>
      </c>
      <c r="M35" s="103">
        <f t="shared" si="3"/>
        <v>1.1149387872066353E-4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224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217</v>
      </c>
      <c r="I36" s="36">
        <f t="shared" ca="1" si="2"/>
        <v>218</v>
      </c>
      <c r="K36" s="67" t="str">
        <v>INVLAC CONSTRUCCIONES S.R.L</v>
      </c>
      <c r="L36" s="85">
        <v>4000000</v>
      </c>
      <c r="M36" s="103">
        <f t="shared" si="3"/>
        <v>6.5464295762591429E-5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197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218</v>
      </c>
      <c r="K37" s="67" t="str">
        <v>MIANI CLARA A Y MIANI ADA CLELIA</v>
      </c>
      <c r="L37" s="85">
        <v>3125000</v>
      </c>
      <c r="M37" s="103">
        <f t="shared" si="3"/>
        <v>5.1143981064524556E-5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225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217</v>
      </c>
      <c r="I38" s="36">
        <f t="shared" ca="1" si="2"/>
        <v>217</v>
      </c>
      <c r="K38" s="67" t="str">
        <v>LOPEZ LUCIA SOLEDAD</v>
      </c>
      <c r="L38" s="85">
        <v>995000</v>
      </c>
      <c r="M38" s="103">
        <f t="shared" si="3"/>
        <v>1.6284243570944618E-5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253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263</v>
      </c>
      <c r="I39" s="36">
        <f t="shared" ref="I39:I77" ca="1" si="4">+TODAY()-C39</f>
        <v>216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254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263</v>
      </c>
      <c r="I40" s="36">
        <f t="shared" ca="1" si="4"/>
        <v>216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255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263</v>
      </c>
      <c r="I41" s="36">
        <f t="shared" ca="1" si="4"/>
        <v>216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256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263</v>
      </c>
      <c r="I42" s="36">
        <f t="shared" ca="1" si="4"/>
        <v>216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257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263</v>
      </c>
      <c r="I43" s="36">
        <f t="shared" ca="1" si="4"/>
        <v>215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198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215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236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237</v>
      </c>
      <c r="I45" s="36">
        <f t="shared" ca="1" si="4"/>
        <v>215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200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201</v>
      </c>
      <c r="I46" s="36">
        <f t="shared" ca="1" si="4"/>
        <v>215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258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263</v>
      </c>
      <c r="I47" s="36">
        <f t="shared" ca="1" si="4"/>
        <v>212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226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217</v>
      </c>
      <c r="I48" s="36">
        <f t="shared" ca="1" si="4"/>
        <v>211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259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263</v>
      </c>
      <c r="I49" s="36">
        <f t="shared" ca="1" si="4"/>
        <v>211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260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263</v>
      </c>
      <c r="I50" s="36">
        <f t="shared" ca="1" si="4"/>
        <v>211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261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263</v>
      </c>
      <c r="I51" s="36">
        <f t="shared" ca="1" si="4"/>
        <v>211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262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263</v>
      </c>
      <c r="I52" s="36">
        <f t="shared" ca="1" si="4"/>
        <v>211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203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202</v>
      </c>
      <c r="I53" s="36">
        <f t="shared" ca="1" si="4"/>
        <v>210</v>
      </c>
      <c r="O53" s="109"/>
      <c r="P53" s="109"/>
    </row>
    <row r="54" spans="1:16">
      <c r="A54" s="62" t="s">
        <v>102</v>
      </c>
      <c r="B54" s="62" t="s">
        <v>199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210</v>
      </c>
    </row>
    <row r="55" spans="1:16">
      <c r="A55" s="27" t="s">
        <v>102</v>
      </c>
      <c r="B55" s="27" t="s">
        <v>272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210</v>
      </c>
    </row>
    <row r="56" spans="1:16" ht="15.75" customHeight="1">
      <c r="A56" s="27" t="s">
        <v>102</v>
      </c>
      <c r="B56" s="27" t="s">
        <v>227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217</v>
      </c>
      <c r="I56" s="36">
        <f t="shared" ca="1" si="4"/>
        <v>209</v>
      </c>
    </row>
    <row r="57" spans="1:16">
      <c r="A57" s="27" t="s">
        <v>102</v>
      </c>
      <c r="B57" s="27" t="s">
        <v>204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202</v>
      </c>
      <c r="I57" s="36">
        <f t="shared" ca="1" si="4"/>
        <v>208</v>
      </c>
    </row>
    <row r="58" spans="1:16">
      <c r="A58" s="27" t="s">
        <v>102</v>
      </c>
      <c r="B58" s="27" t="s">
        <v>205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202</v>
      </c>
      <c r="I58" s="36">
        <f t="shared" ca="1" si="4"/>
        <v>204</v>
      </c>
    </row>
    <row r="59" spans="1:16">
      <c r="A59" s="27" t="s">
        <v>102</v>
      </c>
      <c r="B59" s="27" t="s">
        <v>212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216</v>
      </c>
      <c r="I59" s="36">
        <f t="shared" ca="1" si="4"/>
        <v>204</v>
      </c>
    </row>
    <row r="60" spans="1:16">
      <c r="A60" s="27" t="s">
        <v>102</v>
      </c>
      <c r="B60" s="27" t="s">
        <v>211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215</v>
      </c>
      <c r="I60" s="36">
        <f t="shared" ca="1" si="4"/>
        <v>204</v>
      </c>
    </row>
    <row r="61" spans="1:16">
      <c r="A61" s="27" t="s">
        <v>102</v>
      </c>
      <c r="B61" s="27" t="s">
        <v>228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217</v>
      </c>
      <c r="I61" s="36">
        <f t="shared" ca="1" si="4"/>
        <v>204</v>
      </c>
    </row>
    <row r="62" spans="1:16">
      <c r="A62" s="27" t="s">
        <v>102</v>
      </c>
      <c r="B62" s="27" t="s">
        <v>206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202</v>
      </c>
      <c r="I62" s="36">
        <f t="shared" ca="1" si="4"/>
        <v>203</v>
      </c>
    </row>
    <row r="63" spans="1:16">
      <c r="A63" s="27" t="s">
        <v>102</v>
      </c>
      <c r="B63" s="27" t="s">
        <v>209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215</v>
      </c>
      <c r="I63" s="36">
        <f t="shared" ca="1" si="4"/>
        <v>203</v>
      </c>
    </row>
    <row r="64" spans="1:16">
      <c r="A64" s="27" t="s">
        <v>102</v>
      </c>
      <c r="B64" s="27" t="s">
        <v>220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217</v>
      </c>
      <c r="I64" s="36">
        <f t="shared" ca="1" si="4"/>
        <v>203</v>
      </c>
    </row>
    <row r="65" spans="1:9">
      <c r="A65" s="27" t="s">
        <v>102</v>
      </c>
      <c r="B65" s="27" t="s">
        <v>210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215</v>
      </c>
      <c r="I65" s="36">
        <f t="shared" ca="1" si="4"/>
        <v>202</v>
      </c>
    </row>
    <row r="66" spans="1:9">
      <c r="A66" s="27" t="s">
        <v>102</v>
      </c>
      <c r="B66" s="27" t="s">
        <v>274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195</v>
      </c>
    </row>
    <row r="67" spans="1:9">
      <c r="A67" s="27" t="s">
        <v>102</v>
      </c>
      <c r="B67" s="27" t="s">
        <v>234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237</v>
      </c>
      <c r="I67" s="36">
        <f t="shared" ca="1" si="4"/>
        <v>195</v>
      </c>
    </row>
    <row r="68" spans="1:9">
      <c r="A68" s="27" t="s">
        <v>102</v>
      </c>
      <c r="B68" s="27" t="s">
        <v>235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237</v>
      </c>
      <c r="I68" s="36">
        <f t="shared" ca="1" si="4"/>
        <v>184</v>
      </c>
    </row>
    <row r="69" spans="1:9">
      <c r="A69" s="27" t="s">
        <v>102</v>
      </c>
      <c r="B69" s="27" t="s">
        <v>276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182</v>
      </c>
    </row>
    <row r="70" spans="1:9">
      <c r="A70" s="27" t="s">
        <v>102</v>
      </c>
      <c r="B70" s="27" t="s">
        <v>273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175</v>
      </c>
    </row>
    <row r="71" spans="1:9">
      <c r="A71" s="27" t="s">
        <v>102</v>
      </c>
      <c r="B71" s="27" t="s">
        <v>275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166</v>
      </c>
    </row>
    <row r="72" spans="1:9">
      <c r="A72" s="27" t="s">
        <v>102</v>
      </c>
      <c r="B72" s="27" t="s">
        <v>287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161</v>
      </c>
    </row>
    <row r="73" spans="1:9">
      <c r="A73" s="27" t="s">
        <v>102</v>
      </c>
      <c r="B73" s="27" t="s">
        <v>314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177</v>
      </c>
      <c r="I73" s="36">
        <f t="shared" ca="1" si="4"/>
        <v>161</v>
      </c>
    </row>
    <row r="74" spans="1:9">
      <c r="A74" s="27" t="s">
        <v>102</v>
      </c>
      <c r="B74" s="27" t="s">
        <v>432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147</v>
      </c>
    </row>
    <row r="75" spans="1:9">
      <c r="A75" s="27" t="s">
        <v>102</v>
      </c>
      <c r="B75" s="27" t="s">
        <v>286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133</v>
      </c>
    </row>
    <row r="76" spans="1:9">
      <c r="A76" s="27" t="s">
        <v>102</v>
      </c>
      <c r="B76" s="27" t="s">
        <v>435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271</v>
      </c>
      <c r="I76" s="36">
        <f t="shared" ca="1" si="4"/>
        <v>99</v>
      </c>
    </row>
    <row r="77" spans="1:9">
      <c r="A77" s="27" t="s">
        <v>102</v>
      </c>
      <c r="B77" s="27" t="s">
        <v>440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271</v>
      </c>
      <c r="I77" s="36">
        <f t="shared" ca="1" si="4"/>
        <v>84</v>
      </c>
    </row>
    <row r="78" spans="1:9">
      <c r="A78" s="27" t="s">
        <v>102</v>
      </c>
      <c r="B78" s="27" t="s">
        <v>433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271</v>
      </c>
      <c r="I78" s="36">
        <f t="shared" ref="I78:I80" ca="1" si="5">+TODAY()-C78</f>
        <v>69</v>
      </c>
    </row>
    <row r="79" spans="1:9">
      <c r="A79" s="27" t="s">
        <v>102</v>
      </c>
      <c r="B79" s="27" t="s">
        <v>709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710</v>
      </c>
      <c r="I79" s="36">
        <f t="shared" ca="1" si="5"/>
        <v>57</v>
      </c>
    </row>
    <row r="80" spans="1:9">
      <c r="A80" s="27" t="s">
        <v>102</v>
      </c>
      <c r="B80" s="27" t="s">
        <v>438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271</v>
      </c>
      <c r="I80" s="36">
        <f t="shared" ca="1" si="5"/>
        <v>56</v>
      </c>
    </row>
    <row r="81" spans="1:9">
      <c r="A81" s="27" t="s">
        <v>102</v>
      </c>
      <c r="B81" s="27" t="s">
        <v>706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710</v>
      </c>
      <c r="I81" s="36">
        <f t="shared" ref="I81:I86" ca="1" si="6">+TODAY()-C81</f>
        <v>54</v>
      </c>
    </row>
    <row r="82" spans="1:9">
      <c r="A82" s="27" t="s">
        <v>102</v>
      </c>
      <c r="B82" s="27" t="s">
        <v>707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710</v>
      </c>
      <c r="I82" s="36">
        <f t="shared" ca="1" si="6"/>
        <v>51</v>
      </c>
    </row>
    <row r="83" spans="1:9">
      <c r="A83" s="27" t="s">
        <v>102</v>
      </c>
      <c r="B83" s="27" t="s">
        <v>708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710</v>
      </c>
      <c r="I83" s="36">
        <f t="shared" ca="1" si="6"/>
        <v>50</v>
      </c>
    </row>
    <row r="84" spans="1:9">
      <c r="A84" s="27" t="s">
        <v>102</v>
      </c>
      <c r="B84" s="27" t="s">
        <v>1479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710</v>
      </c>
      <c r="I84" s="36">
        <f t="shared" ca="1" si="6"/>
        <v>44</v>
      </c>
    </row>
    <row r="85" spans="1:9">
      <c r="A85" s="27" t="s">
        <v>102</v>
      </c>
      <c r="B85" s="27" t="s">
        <v>434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271</v>
      </c>
      <c r="I85" s="36">
        <f t="shared" ca="1" si="6"/>
        <v>41</v>
      </c>
    </row>
    <row r="86" spans="1:9">
      <c r="A86" s="27" t="s">
        <v>102</v>
      </c>
      <c r="B86" s="27" t="s">
        <v>1017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1023</v>
      </c>
      <c r="I86" s="36">
        <f t="shared" ca="1" si="6"/>
        <v>37</v>
      </c>
    </row>
    <row r="87" spans="1:9">
      <c r="A87" s="27" t="s">
        <v>102</v>
      </c>
      <c r="B87" s="27" t="s">
        <v>439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271</v>
      </c>
      <c r="I87" s="36">
        <f t="shared" ref="I87" ca="1" si="7">+TODAY()-C87</f>
        <v>26</v>
      </c>
    </row>
    <row r="88" spans="1:9">
      <c r="A88" s="27" t="s">
        <v>102</v>
      </c>
      <c r="B88" s="27" t="s">
        <v>1018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1023</v>
      </c>
      <c r="I88" s="36">
        <f t="shared" ref="I88" ca="1" si="8">+TODAY()-C88</f>
        <v>23</v>
      </c>
    </row>
    <row r="89" spans="1:9">
      <c r="A89" s="27" t="s">
        <v>102</v>
      </c>
      <c r="B89" s="27" t="s">
        <v>1016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1023</v>
      </c>
      <c r="I89" s="36">
        <f t="shared" ref="I89:I91" ca="1" si="9">+TODAY()-C89</f>
        <v>16</v>
      </c>
    </row>
    <row r="90" spans="1:9">
      <c r="A90" s="27" t="s">
        <v>102</v>
      </c>
      <c r="B90" s="27" t="s">
        <v>437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271</v>
      </c>
      <c r="I90" s="36">
        <f t="shared" ca="1" si="9"/>
        <v>8</v>
      </c>
    </row>
    <row r="91" spans="1:9">
      <c r="A91" s="27" t="s">
        <v>102</v>
      </c>
      <c r="B91" s="27" t="s">
        <v>1682</v>
      </c>
      <c r="C91" s="47">
        <v>46259</v>
      </c>
      <c r="D91" s="27" t="s">
        <v>120</v>
      </c>
      <c r="E91" s="70">
        <v>4000000</v>
      </c>
      <c r="F91" s="27"/>
      <c r="G91" s="27" t="s">
        <v>121</v>
      </c>
      <c r="H91" s="27" t="s">
        <v>773</v>
      </c>
      <c r="I91" s="36">
        <f t="shared" ca="1" si="9"/>
        <v>1</v>
      </c>
    </row>
    <row r="92" spans="1:9">
      <c r="A92" s="27"/>
      <c r="B92" s="27"/>
      <c r="C92" s="47"/>
      <c r="D92" s="27"/>
      <c r="E92" s="70"/>
      <c r="F92" s="27"/>
      <c r="G92" s="27"/>
      <c r="H92" s="27"/>
      <c r="I92" s="36"/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E98" s="19" cm="1">
        <f t="array" ref="E98">SUM(E2:E97-E54,E44,E37,E30,E27,E3,E2)</f>
        <v>1018680300</v>
      </c>
      <c r="I98" s="36"/>
    </row>
    <row r="107" spans="1:9">
      <c r="I107" s="36"/>
    </row>
    <row r="111" spans="1:9">
      <c r="H111" s="4"/>
    </row>
  </sheetData>
  <autoFilter ref="A1:V107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472" stopIfTrue="1">
      <formula>AND(COUNTIF($B$5:$B$947, B75)+COUNTIF($B$949:$B$958, B75)+COUNTIF($B$960:$B$969, B75)+COUNTIF($B$985:$B$65514, B75)&gt;1,NOT(ISBLANK(B75)))</formula>
    </cfRule>
  </conditionalFormatting>
  <conditionalFormatting sqref="B17:B18 B38:B39">
    <cfRule type="expression" dxfId="7" priority="1474" stopIfTrue="1">
      <formula>AND(COUNTIF($B$5:$B$1009, B17)+COUNTIF($B$1011:$B$1020, B17)+COUNTIF($B$1022:$B$1031, B17)+COUNTIF($B$1047:$B$65572, B17)&gt;1,NOT(ISBLANK(B17)))</formula>
    </cfRule>
  </conditionalFormatting>
  <conditionalFormatting sqref="B27 B59">
    <cfRule type="expression" dxfId="6" priority="1476" stopIfTrue="1">
      <formula>AND(COUNTIF($B$5:$B$970, B27)+COUNTIF($B$972:$B$981, B27)+COUNTIF($B$983:$B$992, B27)+COUNTIF($B$1008:$B$65535, B27)&gt;1,NOT(ISBLANK(B27)))</formula>
    </cfRule>
  </conditionalFormatting>
  <conditionalFormatting sqref="B38:B45 B71:B76">
    <cfRule type="expression" dxfId="5" priority="1478" stopIfTrue="1">
      <formula>AND(COUNTIF($B$5:$B$979, B38)+COUNTIF($B$981:$B$990, B38)+COUNTIF($B$992:$B$1001, B38)+COUNTIF($B$1017:$B$65546, B38)&gt;1,NOT(ISBLANK(B38)))</formula>
    </cfRule>
  </conditionalFormatting>
  <conditionalFormatting sqref="B40:B70 B72:B74 B19:B26 B28:B37 B77:B97">
    <cfRule type="expression" dxfId="4" priority="1480" stopIfTrue="1">
      <formula>AND(COUNTIF($B$5:$B$998, B19)+COUNTIF($B$1000:$B$1009, B19)+COUNTIF($B$1011:$B$1020, B19)+COUNTIF($B$1036:$B$65561, B19)&gt;1,NOT(ISBLANK(B19)))</formula>
    </cfRule>
  </conditionalFormatting>
  <conditionalFormatting sqref="B65">
    <cfRule type="expression" dxfId="3" priority="1486" stopIfTrue="1">
      <formula>AND(COUNTIF($B$5:$B$952, B65)+COUNTIF($B$954:$B$963, B65)+COUNTIF($B$965:$B$974, B65)+COUNTIF($B$990:$B$65519, B65)&gt;1,NOT(ISBLANK(B65)))</formula>
    </cfRule>
  </conditionalFormatting>
  <conditionalFormatting sqref="B71">
    <cfRule type="expression" dxfId="2" priority="1487" stopIfTrue="1">
      <formula>AND(COUNTIF($B$5:$B$946, B71)+COUNTIF($B$948:$B$957, B71)+COUNTIF($B$959:$B$968, B71)+COUNTIF($B$984:$B$65513,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87"/>
  <sheetViews>
    <sheetView workbookViewId="0">
      <selection activeCell="A25" sqref="A25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174</v>
      </c>
      <c r="B6" s="159">
        <v>3.9856407720577976E-2</v>
      </c>
    </row>
    <row r="7" spans="1:2">
      <c r="A7" s="160" t="s">
        <v>916</v>
      </c>
      <c r="B7" s="161">
        <v>3.8067949098116255E-2</v>
      </c>
    </row>
    <row r="8" spans="1:2">
      <c r="A8" s="160" t="s">
        <v>285</v>
      </c>
      <c r="B8" s="161">
        <v>3.8026970080339118E-2</v>
      </c>
    </row>
    <row r="9" spans="1:2">
      <c r="A9" s="160" t="s">
        <v>410</v>
      </c>
      <c r="B9" s="161">
        <v>3.0414043252433347E-2</v>
      </c>
    </row>
    <row r="10" spans="1:2">
      <c r="A10" s="160" t="s">
        <v>1417</v>
      </c>
      <c r="B10" s="161">
        <v>2.9951122186593147E-2</v>
      </c>
    </row>
    <row r="11" spans="1:2">
      <c r="A11" s="160" t="s">
        <v>406</v>
      </c>
      <c r="B11" s="161">
        <v>2.8857570393983727E-2</v>
      </c>
    </row>
    <row r="12" spans="1:2">
      <c r="A12" s="160" t="s">
        <v>868</v>
      </c>
      <c r="B12" s="161">
        <v>2.7848570341000706E-2</v>
      </c>
    </row>
    <row r="13" spans="1:2">
      <c r="A13" s="160" t="s">
        <v>1604</v>
      </c>
      <c r="B13" s="161">
        <v>2.4171539511710999E-2</v>
      </c>
    </row>
    <row r="14" spans="1:2">
      <c r="A14" s="160" t="s">
        <v>2043</v>
      </c>
      <c r="B14" s="161">
        <v>2.3043534516521299E-2</v>
      </c>
    </row>
    <row r="15" spans="1:2">
      <c r="A15" s="160" t="s">
        <v>305</v>
      </c>
      <c r="B15" s="161">
        <v>2.023269671883323E-2</v>
      </c>
    </row>
    <row r="16" spans="1:2">
      <c r="A16" s="160" t="s">
        <v>189</v>
      </c>
      <c r="B16" s="161">
        <v>2.0016279353355319E-2</v>
      </c>
    </row>
    <row r="17" spans="1:11">
      <c r="A17" s="160" t="s">
        <v>337</v>
      </c>
      <c r="B17" s="161">
        <v>1.8927687886832009E-2</v>
      </c>
    </row>
    <row r="18" spans="1:11">
      <c r="A18" s="160" t="s">
        <v>565</v>
      </c>
      <c r="B18" s="161">
        <v>1.8250670216679143E-2</v>
      </c>
    </row>
    <row r="19" spans="1:11">
      <c r="A19" s="160" t="s">
        <v>981</v>
      </c>
      <c r="B19" s="161">
        <v>1.655315845792088E-2</v>
      </c>
    </row>
    <row r="20" spans="1:11">
      <c r="A20" s="160" t="s">
        <v>894</v>
      </c>
      <c r="B20" s="161">
        <v>1.5918361658325941E-2</v>
      </c>
    </row>
    <row r="21" spans="1:11">
      <c r="A21" s="160" t="s">
        <v>566</v>
      </c>
      <c r="B21" s="161">
        <v>1.5748359843146958E-2</v>
      </c>
    </row>
    <row r="22" spans="1:11">
      <c r="A22" s="160" t="s">
        <v>2317</v>
      </c>
      <c r="B22" s="161">
        <v>1.5488294701004693E-2</v>
      </c>
    </row>
    <row r="23" spans="1:11">
      <c r="A23" s="160" t="s">
        <v>2322</v>
      </c>
      <c r="B23" s="161">
        <v>1.518333106751556E-2</v>
      </c>
    </row>
    <row r="24" spans="1:11">
      <c r="A24" s="160" t="s">
        <v>405</v>
      </c>
      <c r="B24" s="161">
        <v>1.4627339877840833E-2</v>
      </c>
    </row>
    <row r="25" spans="1:11">
      <c r="A25" s="160" t="s">
        <v>169</v>
      </c>
      <c r="B25" s="161">
        <v>1.4280824603669444E-2</v>
      </c>
    </row>
    <row r="26" spans="1:11">
      <c r="A26" s="160" t="s">
        <v>634</v>
      </c>
      <c r="B26" s="161">
        <v>1.4119736101610554E-2</v>
      </c>
      <c r="I26" s="11"/>
    </row>
    <row r="27" spans="1:11">
      <c r="A27" s="160" t="s">
        <v>389</v>
      </c>
      <c r="B27" s="161">
        <v>1.252658901656126E-2</v>
      </c>
    </row>
    <row r="28" spans="1:11">
      <c r="A28" s="160" t="s">
        <v>537</v>
      </c>
      <c r="B28" s="161">
        <v>1.2262086404789393E-2</v>
      </c>
      <c r="K28" s="19"/>
    </row>
    <row r="29" spans="1:11">
      <c r="A29" s="160" t="s">
        <v>146</v>
      </c>
      <c r="B29" s="161">
        <v>1.2187221263984195E-2</v>
      </c>
    </row>
    <row r="30" spans="1:11">
      <c r="A30" s="160" t="s">
        <v>1232</v>
      </c>
      <c r="B30" s="161">
        <v>1.217316876290179E-2</v>
      </c>
    </row>
    <row r="31" spans="1:11">
      <c r="A31" s="160" t="s">
        <v>413</v>
      </c>
      <c r="B31" s="161">
        <v>1.1681845165727987E-2</v>
      </c>
    </row>
    <row r="32" spans="1:11">
      <c r="A32" s="160" t="s">
        <v>356</v>
      </c>
      <c r="B32" s="161">
        <v>1.1607906664500921E-2</v>
      </c>
    </row>
    <row r="33" spans="1:2">
      <c r="A33" s="160" t="s">
        <v>138</v>
      </c>
      <c r="B33" s="161">
        <v>1.1389628462504797E-2</v>
      </c>
    </row>
    <row r="34" spans="1:2">
      <c r="A34" s="160" t="s">
        <v>773</v>
      </c>
      <c r="B34" s="161">
        <v>1.0871631608066038E-2</v>
      </c>
    </row>
    <row r="35" spans="1:2">
      <c r="A35" s="160" t="s">
        <v>987</v>
      </c>
      <c r="B35" s="161">
        <v>1.0177853935518668E-2</v>
      </c>
    </row>
    <row r="36" spans="1:2">
      <c r="A36" s="160" t="s">
        <v>427</v>
      </c>
      <c r="B36" s="161">
        <v>8.601956195365152E-3</v>
      </c>
    </row>
    <row r="37" spans="1:2">
      <c r="A37" s="160" t="s">
        <v>1167</v>
      </c>
      <c r="B37" s="161">
        <v>8.4228557723408457E-3</v>
      </c>
    </row>
    <row r="38" spans="1:2">
      <c r="A38" s="160" t="s">
        <v>742</v>
      </c>
      <c r="B38" s="161">
        <v>7.7496603679885999E-3</v>
      </c>
    </row>
    <row r="39" spans="1:2">
      <c r="A39" s="160" t="s">
        <v>394</v>
      </c>
      <c r="B39" s="161">
        <v>7.7435564947270566E-3</v>
      </c>
    </row>
    <row r="40" spans="1:2">
      <c r="A40" s="160" t="s">
        <v>721</v>
      </c>
      <c r="B40" s="161">
        <v>7.7014353460945258E-3</v>
      </c>
    </row>
    <row r="41" spans="1:2">
      <c r="A41" s="160" t="s">
        <v>232</v>
      </c>
      <c r="B41" s="161">
        <v>7.6524729569581651E-3</v>
      </c>
    </row>
    <row r="42" spans="1:2">
      <c r="A42" s="160" t="s">
        <v>135</v>
      </c>
      <c r="B42" s="161">
        <v>7.3582760124688736E-3</v>
      </c>
    </row>
    <row r="43" spans="1:2">
      <c r="A43" s="160" t="s">
        <v>279</v>
      </c>
      <c r="B43" s="161">
        <v>6.8232695941202511E-3</v>
      </c>
    </row>
    <row r="44" spans="1:2">
      <c r="A44" s="160" t="s">
        <v>126</v>
      </c>
      <c r="B44" s="161">
        <v>6.5741426512136176E-3</v>
      </c>
    </row>
    <row r="45" spans="1:2">
      <c r="A45" s="160" t="s">
        <v>323</v>
      </c>
      <c r="B45" s="161">
        <v>6.5126692279822585E-3</v>
      </c>
    </row>
    <row r="46" spans="1:2">
      <c r="A46" s="160" t="s">
        <v>284</v>
      </c>
      <c r="B46" s="161">
        <v>6.0630490781191084E-3</v>
      </c>
    </row>
    <row r="47" spans="1:2">
      <c r="A47" s="160" t="s">
        <v>516</v>
      </c>
      <c r="B47" s="161">
        <v>5.7901630901382173E-3</v>
      </c>
    </row>
    <row r="48" spans="1:2">
      <c r="A48" s="160" t="s">
        <v>431</v>
      </c>
      <c r="B48" s="161">
        <v>5.5329787637398362E-3</v>
      </c>
    </row>
    <row r="49" spans="1:2">
      <c r="A49" s="160" t="s">
        <v>229</v>
      </c>
      <c r="B49" s="161">
        <v>5.5007914964680686E-3</v>
      </c>
    </row>
    <row r="50" spans="1:2">
      <c r="A50" s="160" t="s">
        <v>1325</v>
      </c>
      <c r="B50" s="161">
        <v>5.2222723429877979E-3</v>
      </c>
    </row>
    <row r="51" spans="1:2">
      <c r="A51" s="160" t="s">
        <v>1233</v>
      </c>
      <c r="B51" s="161">
        <v>5.1381129179567074E-3</v>
      </c>
    </row>
    <row r="52" spans="1:2">
      <c r="A52" s="160" t="s">
        <v>523</v>
      </c>
      <c r="B52" s="161">
        <v>5.0713349290588119E-3</v>
      </c>
    </row>
    <row r="53" spans="1:2">
      <c r="A53" s="160" t="s">
        <v>144</v>
      </c>
      <c r="B53" s="161">
        <v>4.9255598859631973E-3</v>
      </c>
    </row>
    <row r="54" spans="1:2">
      <c r="A54" s="160" t="s">
        <v>466</v>
      </c>
      <c r="B54" s="161">
        <v>4.5846273941689032E-3</v>
      </c>
    </row>
    <row r="55" spans="1:2">
      <c r="A55" s="160" t="s">
        <v>2318</v>
      </c>
      <c r="B55" s="161">
        <v>4.5410511321741839E-3</v>
      </c>
    </row>
    <row r="56" spans="1:2">
      <c r="A56" s="160" t="s">
        <v>1699</v>
      </c>
      <c r="B56" s="161">
        <v>4.5290137916678772E-3</v>
      </c>
    </row>
    <row r="57" spans="1:2">
      <c r="A57" s="160" t="s">
        <v>2513</v>
      </c>
      <c r="B57" s="161">
        <v>4.4602181638793061E-3</v>
      </c>
    </row>
    <row r="58" spans="1:2">
      <c r="A58" s="160" t="s">
        <v>2514</v>
      </c>
      <c r="B58" s="161">
        <v>4.4452544634639131E-3</v>
      </c>
    </row>
    <row r="59" spans="1:2">
      <c r="A59" s="160" t="s">
        <v>407</v>
      </c>
      <c r="B59" s="161">
        <v>4.4339733311515358E-3</v>
      </c>
    </row>
    <row r="60" spans="1:2">
      <c r="A60" s="160" t="s">
        <v>756</v>
      </c>
      <c r="B60" s="161">
        <v>3.9620416154574675E-3</v>
      </c>
    </row>
    <row r="61" spans="1:2">
      <c r="A61" s="160" t="s">
        <v>129</v>
      </c>
      <c r="B61" s="161">
        <v>3.8960248782865092E-3</v>
      </c>
    </row>
    <row r="62" spans="1:2">
      <c r="A62" s="160" t="s">
        <v>157</v>
      </c>
      <c r="B62" s="161">
        <v>3.7074977906103651E-3</v>
      </c>
    </row>
    <row r="63" spans="1:2">
      <c r="A63" s="160" t="s">
        <v>2516</v>
      </c>
      <c r="B63" s="161">
        <v>3.3325941456871862E-3</v>
      </c>
    </row>
    <row r="64" spans="1:2">
      <c r="A64" s="160" t="s">
        <v>190</v>
      </c>
      <c r="B64" s="161">
        <v>3.3181771608455308E-3</v>
      </c>
    </row>
    <row r="65" spans="1:2">
      <c r="A65" s="160" t="s">
        <v>2435</v>
      </c>
      <c r="B65" s="161">
        <v>3.2592135819234317E-3</v>
      </c>
    </row>
    <row r="66" spans="1:2">
      <c r="A66" s="160" t="s">
        <v>1168</v>
      </c>
      <c r="B66" s="161">
        <v>3.1846529959152492E-3</v>
      </c>
    </row>
    <row r="67" spans="1:2">
      <c r="A67" s="160" t="s">
        <v>517</v>
      </c>
      <c r="B67" s="161">
        <v>3.1447277104273584E-3</v>
      </c>
    </row>
    <row r="68" spans="1:2">
      <c r="A68" s="160" t="s">
        <v>2362</v>
      </c>
      <c r="B68" s="161">
        <v>2.9950495971505955E-3</v>
      </c>
    </row>
    <row r="69" spans="1:2">
      <c r="A69" s="160" t="s">
        <v>375</v>
      </c>
      <c r="B69" s="161">
        <v>2.9192665200817322E-3</v>
      </c>
    </row>
    <row r="70" spans="1:2">
      <c r="A70" s="160" t="s">
        <v>1906</v>
      </c>
      <c r="B70" s="161">
        <v>2.6971078756382943E-3</v>
      </c>
    </row>
    <row r="71" spans="1:2">
      <c r="A71" s="160" t="s">
        <v>625</v>
      </c>
      <c r="B71" s="161">
        <v>2.6384067925034511E-3</v>
      </c>
    </row>
    <row r="72" spans="1:2">
      <c r="A72" s="160" t="s">
        <v>979</v>
      </c>
      <c r="B72" s="161">
        <v>2.4985282869340731E-3</v>
      </c>
    </row>
    <row r="73" spans="1:2">
      <c r="A73" s="160" t="s">
        <v>743</v>
      </c>
      <c r="B73" s="161">
        <v>2.3303004022930882E-3</v>
      </c>
    </row>
    <row r="74" spans="1:2">
      <c r="A74" s="160" t="s">
        <v>426</v>
      </c>
      <c r="B74" s="161">
        <v>2.2473856643194776E-3</v>
      </c>
    </row>
    <row r="75" spans="1:2">
      <c r="A75" s="160" t="s">
        <v>409</v>
      </c>
      <c r="B75" s="161">
        <v>2.139838353858602E-3</v>
      </c>
    </row>
    <row r="76" spans="1:2">
      <c r="A76" s="160" t="s">
        <v>1094</v>
      </c>
      <c r="B76" s="161">
        <v>2.1205125127604372E-3</v>
      </c>
    </row>
    <row r="77" spans="1:2">
      <c r="A77" s="160" t="s">
        <v>2511</v>
      </c>
      <c r="B77" s="161">
        <v>2.1078649168712635E-3</v>
      </c>
    </row>
    <row r="78" spans="1:2">
      <c r="A78" s="160" t="s">
        <v>428</v>
      </c>
      <c r="B78" s="161">
        <v>1.9041819231524558E-3</v>
      </c>
    </row>
    <row r="79" spans="1:2">
      <c r="A79" s="160" t="s">
        <v>318</v>
      </c>
      <c r="B79" s="161">
        <v>1.8728617836678038E-3</v>
      </c>
    </row>
    <row r="80" spans="1:2">
      <c r="A80" s="160" t="s">
        <v>300</v>
      </c>
      <c r="B80" s="161">
        <v>1.6865738997733082E-3</v>
      </c>
    </row>
    <row r="81" spans="1:2">
      <c r="A81" s="160" t="s">
        <v>1111</v>
      </c>
      <c r="B81" s="161">
        <v>1.6569004840440063E-3</v>
      </c>
    </row>
    <row r="82" spans="1:2">
      <c r="A82" s="160" t="s">
        <v>695</v>
      </c>
      <c r="B82" s="161">
        <v>1.6259164641121966E-3</v>
      </c>
    </row>
    <row r="83" spans="1:2">
      <c r="A83" s="160" t="s">
        <v>467</v>
      </c>
      <c r="B83" s="161">
        <v>1.6059276692003974E-3</v>
      </c>
    </row>
    <row r="84" spans="1:2">
      <c r="A84" s="160" t="s">
        <v>2224</v>
      </c>
      <c r="B84" s="161">
        <v>1.5852564166973278E-3</v>
      </c>
    </row>
    <row r="85" spans="1:2">
      <c r="A85" s="160" t="s">
        <v>2518</v>
      </c>
      <c r="B85" s="161">
        <v>1.5554960913872753E-3</v>
      </c>
    </row>
    <row r="86" spans="1:2">
      <c r="A86" s="160" t="s">
        <v>2212</v>
      </c>
      <c r="B86" s="161">
        <v>1.5394326523395082E-3</v>
      </c>
    </row>
    <row r="87" spans="1:2">
      <c r="A87" s="160" t="s">
        <v>763</v>
      </c>
      <c r="B87" s="161">
        <v>1.4834241328737581E-3</v>
      </c>
    </row>
    <row r="88" spans="1:2">
      <c r="A88" s="160" t="s">
        <v>465</v>
      </c>
      <c r="B88" s="161">
        <v>1.4389950413124214E-3</v>
      </c>
    </row>
    <row r="89" spans="1:2">
      <c r="A89" s="160" t="s">
        <v>539</v>
      </c>
      <c r="B89" s="161">
        <v>1.429975207145173E-3</v>
      </c>
    </row>
    <row r="90" spans="1:2">
      <c r="A90" s="160" t="s">
        <v>2580</v>
      </c>
      <c r="B90" s="161">
        <v>1.4206176143627773E-3</v>
      </c>
    </row>
    <row r="91" spans="1:2">
      <c r="A91" s="160" t="s">
        <v>2217</v>
      </c>
      <c r="B91" s="161">
        <v>1.384137006928173E-3</v>
      </c>
    </row>
    <row r="92" spans="1:2">
      <c r="A92" s="160" t="s">
        <v>1779</v>
      </c>
      <c r="B92" s="161">
        <v>1.3300915240569494E-3</v>
      </c>
    </row>
    <row r="93" spans="1:2">
      <c r="A93" s="160" t="s">
        <v>1032</v>
      </c>
      <c r="B93" s="161">
        <v>1.3063049293157861E-3</v>
      </c>
    </row>
    <row r="94" spans="1:2">
      <c r="A94" s="160" t="s">
        <v>1169</v>
      </c>
      <c r="B94" s="161">
        <v>1.2759420313489572E-3</v>
      </c>
    </row>
    <row r="95" spans="1:2">
      <c r="A95" s="160" t="s">
        <v>1001</v>
      </c>
      <c r="B95" s="161">
        <v>1.2567424662948169E-3</v>
      </c>
    </row>
    <row r="96" spans="1:2">
      <c r="A96" s="160" t="s">
        <v>302</v>
      </c>
      <c r="B96" s="161">
        <v>1.2076412686296489E-3</v>
      </c>
    </row>
    <row r="97" spans="1:2">
      <c r="A97" s="160" t="s">
        <v>694</v>
      </c>
      <c r="B97" s="161">
        <v>1.1992204704105983E-3</v>
      </c>
    </row>
    <row r="98" spans="1:2">
      <c r="A98" s="160" t="s">
        <v>1605</v>
      </c>
      <c r="B98" s="161">
        <v>1.1498982327144483E-3</v>
      </c>
    </row>
    <row r="99" spans="1:2">
      <c r="A99" s="160" t="s">
        <v>2232</v>
      </c>
      <c r="B99" s="161">
        <v>1.1388142057045573E-3</v>
      </c>
    </row>
    <row r="100" spans="1:2">
      <c r="A100" s="160" t="s">
        <v>2216</v>
      </c>
      <c r="B100" s="161">
        <v>1.0381731440844563E-3</v>
      </c>
    </row>
    <row r="101" spans="1:2">
      <c r="A101" s="160" t="s">
        <v>2684</v>
      </c>
      <c r="B101" s="161">
        <v>9.6923783103649913E-4</v>
      </c>
    </row>
    <row r="102" spans="1:2">
      <c r="A102" s="160" t="s">
        <v>744</v>
      </c>
      <c r="B102" s="161">
        <v>9.3575038082346614E-4</v>
      </c>
    </row>
    <row r="103" spans="1:2">
      <c r="A103" s="160" t="s">
        <v>2584</v>
      </c>
      <c r="B103" s="161">
        <v>9.05472436691552E-4</v>
      </c>
    </row>
    <row r="104" spans="1:2">
      <c r="A104" s="160" t="s">
        <v>1208</v>
      </c>
      <c r="B104" s="161">
        <v>8.9217456693185164E-4</v>
      </c>
    </row>
    <row r="105" spans="1:2">
      <c r="A105" s="160" t="s">
        <v>2521</v>
      </c>
      <c r="B105" s="161">
        <v>8.8311558069689732E-4</v>
      </c>
    </row>
    <row r="106" spans="1:2">
      <c r="A106" s="160" t="s">
        <v>722</v>
      </c>
      <c r="B106" s="161">
        <v>8.8302012066081618E-4</v>
      </c>
    </row>
    <row r="107" spans="1:2">
      <c r="A107" s="160" t="s">
        <v>271</v>
      </c>
      <c r="B107" s="161">
        <v>8.7300245089326413E-4</v>
      </c>
    </row>
    <row r="108" spans="1:2">
      <c r="A108" s="160" t="s">
        <v>2689</v>
      </c>
      <c r="B108" s="161">
        <v>8.4927953245428562E-4</v>
      </c>
    </row>
    <row r="109" spans="1:2">
      <c r="A109" s="160" t="s">
        <v>518</v>
      </c>
      <c r="B109" s="161">
        <v>8.1575854717378391E-4</v>
      </c>
    </row>
    <row r="110" spans="1:2">
      <c r="A110" s="160" t="s">
        <v>307</v>
      </c>
      <c r="B110" s="161">
        <v>8.1045392700822305E-4</v>
      </c>
    </row>
    <row r="111" spans="1:2">
      <c r="A111" s="160" t="s">
        <v>178</v>
      </c>
      <c r="B111" s="161">
        <v>7.9866133982841236E-4</v>
      </c>
    </row>
    <row r="112" spans="1:2">
      <c r="A112" s="160" t="s">
        <v>2215</v>
      </c>
      <c r="B112" s="161">
        <v>7.7462766974218202E-4</v>
      </c>
    </row>
    <row r="113" spans="1:2">
      <c r="A113" s="160" t="s">
        <v>2280</v>
      </c>
      <c r="B113" s="161">
        <v>7.2108618224555015E-4</v>
      </c>
    </row>
    <row r="114" spans="1:2">
      <c r="A114" s="160" t="s">
        <v>1239</v>
      </c>
      <c r="B114" s="161">
        <v>7.168512521096254E-4</v>
      </c>
    </row>
    <row r="115" spans="1:2">
      <c r="A115" s="160" t="s">
        <v>1025</v>
      </c>
      <c r="B115" s="161">
        <v>7.0442686262864101E-4</v>
      </c>
    </row>
    <row r="116" spans="1:2">
      <c r="A116" s="160" t="s">
        <v>2220</v>
      </c>
      <c r="B116" s="161">
        <v>6.9155349445820596E-4</v>
      </c>
    </row>
    <row r="117" spans="1:2">
      <c r="A117" s="160" t="s">
        <v>2519</v>
      </c>
      <c r="B117" s="161">
        <v>6.9143579440058623E-4</v>
      </c>
    </row>
    <row r="118" spans="1:2">
      <c r="A118" s="160" t="s">
        <v>2694</v>
      </c>
      <c r="B118" s="161">
        <v>6.6591725481117121E-4</v>
      </c>
    </row>
    <row r="119" spans="1:2">
      <c r="A119" s="160" t="s">
        <v>196</v>
      </c>
      <c r="B119" s="161">
        <v>6.4790669648507096E-4</v>
      </c>
    </row>
    <row r="120" spans="1:2">
      <c r="A120" s="160" t="s">
        <v>538</v>
      </c>
      <c r="B120" s="161">
        <v>6.4752727410085015E-4</v>
      </c>
    </row>
    <row r="121" spans="1:2">
      <c r="A121" s="160" t="s">
        <v>2522</v>
      </c>
      <c r="B121" s="161">
        <v>6.447415599760306E-4</v>
      </c>
    </row>
    <row r="122" spans="1:2">
      <c r="A122" s="160" t="s">
        <v>2341</v>
      </c>
      <c r="B122" s="161">
        <v>6.2495351280013409E-4</v>
      </c>
    </row>
    <row r="123" spans="1:2">
      <c r="A123" s="160" t="s">
        <v>2343</v>
      </c>
      <c r="B123" s="161">
        <v>6.2298401864381288E-4</v>
      </c>
    </row>
    <row r="124" spans="1:2">
      <c r="A124" s="160" t="s">
        <v>2030</v>
      </c>
      <c r="B124" s="161">
        <v>6.1986281620562316E-4</v>
      </c>
    </row>
    <row r="125" spans="1:2">
      <c r="A125" s="160" t="s">
        <v>1971</v>
      </c>
      <c r="B125" s="161">
        <v>6.1919511917643999E-4</v>
      </c>
    </row>
    <row r="126" spans="1:2">
      <c r="A126" s="160" t="s">
        <v>1124</v>
      </c>
      <c r="B126" s="161">
        <v>6.1908732173917961E-4</v>
      </c>
    </row>
    <row r="127" spans="1:2">
      <c r="A127" s="160" t="s">
        <v>1810</v>
      </c>
      <c r="B127" s="161">
        <v>6.102263849655171E-4</v>
      </c>
    </row>
    <row r="128" spans="1:2">
      <c r="A128" s="160" t="s">
        <v>2321</v>
      </c>
      <c r="B128" s="161">
        <v>6.0735273461612858E-4</v>
      </c>
    </row>
    <row r="129" spans="1:2">
      <c r="A129" s="160" t="s">
        <v>2520</v>
      </c>
      <c r="B129" s="161">
        <v>6.0445328462411933E-4</v>
      </c>
    </row>
    <row r="130" spans="1:2">
      <c r="A130" s="160" t="s">
        <v>2277</v>
      </c>
      <c r="B130" s="161">
        <v>6.0370056764108245E-4</v>
      </c>
    </row>
    <row r="131" spans="1:2">
      <c r="A131" s="160" t="s">
        <v>514</v>
      </c>
      <c r="B131" s="161">
        <v>5.8471715325333429E-4</v>
      </c>
    </row>
    <row r="132" spans="1:2">
      <c r="A132" s="160" t="s">
        <v>2370</v>
      </c>
      <c r="B132" s="161">
        <v>5.8158314763550093E-4</v>
      </c>
    </row>
    <row r="133" spans="1:2">
      <c r="A133" s="160" t="s">
        <v>2687</v>
      </c>
      <c r="B133" s="161">
        <v>5.7696242052955561E-4</v>
      </c>
    </row>
    <row r="134" spans="1:2">
      <c r="A134" s="160" t="s">
        <v>2527</v>
      </c>
      <c r="B134" s="161">
        <v>5.7052100926754099E-4</v>
      </c>
    </row>
    <row r="135" spans="1:2">
      <c r="A135" s="160" t="s">
        <v>417</v>
      </c>
      <c r="B135" s="161">
        <v>5.5387888417523558E-4</v>
      </c>
    </row>
    <row r="136" spans="1:2">
      <c r="A136" s="160" t="s">
        <v>917</v>
      </c>
      <c r="B136" s="161">
        <v>5.4734300891640011E-4</v>
      </c>
    </row>
    <row r="137" spans="1:2">
      <c r="A137" s="160" t="s">
        <v>626</v>
      </c>
      <c r="B137" s="161">
        <v>4.8181319124946574E-4</v>
      </c>
    </row>
    <row r="138" spans="1:2">
      <c r="A138" s="160" t="s">
        <v>1234</v>
      </c>
      <c r="B138" s="161">
        <v>4.7377448324834883E-4</v>
      </c>
    </row>
    <row r="139" spans="1:2">
      <c r="A139" s="160" t="s">
        <v>1849</v>
      </c>
      <c r="B139" s="161">
        <v>4.6857626171170868E-4</v>
      </c>
    </row>
    <row r="140" spans="1:2">
      <c r="A140" s="160" t="s">
        <v>1668</v>
      </c>
      <c r="B140" s="161">
        <v>4.6197585371403923E-4</v>
      </c>
    </row>
    <row r="141" spans="1:2">
      <c r="A141" s="160" t="s">
        <v>1700</v>
      </c>
      <c r="B141" s="161">
        <v>4.5564811023634686E-4</v>
      </c>
    </row>
    <row r="142" spans="1:2">
      <c r="A142" s="160" t="s">
        <v>897</v>
      </c>
      <c r="B142" s="161">
        <v>4.5345837880497074E-4</v>
      </c>
    </row>
    <row r="143" spans="1:2">
      <c r="A143" s="160" t="s">
        <v>521</v>
      </c>
      <c r="B143" s="161">
        <v>4.2208059211611343E-4</v>
      </c>
    </row>
    <row r="144" spans="1:2">
      <c r="A144" s="160" t="s">
        <v>1349</v>
      </c>
      <c r="B144" s="161">
        <v>4.2163533867241299E-4</v>
      </c>
    </row>
    <row r="145" spans="1:2">
      <c r="A145" s="160" t="s">
        <v>2213</v>
      </c>
      <c r="B145" s="161">
        <v>4.2130874990273037E-4</v>
      </c>
    </row>
    <row r="146" spans="1:2">
      <c r="A146" s="160" t="s">
        <v>957</v>
      </c>
      <c r="B146" s="161">
        <v>4.2001012402973978E-4</v>
      </c>
    </row>
    <row r="147" spans="1:2">
      <c r="A147" s="160" t="s">
        <v>1543</v>
      </c>
      <c r="B147" s="161">
        <v>4.1477365219606778E-4</v>
      </c>
    </row>
    <row r="148" spans="1:2">
      <c r="A148" s="160" t="s">
        <v>2230</v>
      </c>
      <c r="B148" s="161">
        <v>4.0984667198561478E-4</v>
      </c>
    </row>
    <row r="149" spans="1:2">
      <c r="A149" s="160" t="s">
        <v>1236</v>
      </c>
      <c r="B149" s="161">
        <v>4.0584945743707065E-4</v>
      </c>
    </row>
    <row r="150" spans="1:2">
      <c r="A150" s="160" t="s">
        <v>1418</v>
      </c>
      <c r="B150" s="161">
        <v>3.9140231368533997E-4</v>
      </c>
    </row>
    <row r="151" spans="1:2">
      <c r="A151" s="160" t="s">
        <v>1885</v>
      </c>
      <c r="B151" s="161">
        <v>3.8027204007835038E-4</v>
      </c>
    </row>
    <row r="152" spans="1:2">
      <c r="A152" s="160" t="s">
        <v>2683</v>
      </c>
      <c r="B152" s="161">
        <v>3.7838813639722024E-4</v>
      </c>
    </row>
    <row r="153" spans="1:2">
      <c r="A153" s="160" t="s">
        <v>2279</v>
      </c>
      <c r="B153" s="161">
        <v>3.7408291659229233E-4</v>
      </c>
    </row>
    <row r="154" spans="1:2">
      <c r="A154" s="160" t="s">
        <v>522</v>
      </c>
      <c r="B154" s="161">
        <v>3.7383250207715903E-4</v>
      </c>
    </row>
    <row r="155" spans="1:2">
      <c r="A155" s="160" t="s">
        <v>328</v>
      </c>
      <c r="B155" s="161">
        <v>3.608418853890843E-4</v>
      </c>
    </row>
    <row r="156" spans="1:2">
      <c r="A156" s="160" t="s">
        <v>1748</v>
      </c>
      <c r="B156" s="161">
        <v>3.528852676509248E-4</v>
      </c>
    </row>
    <row r="157" spans="1:2">
      <c r="A157" s="160" t="s">
        <v>772</v>
      </c>
      <c r="B157" s="161">
        <v>3.3732576015006136E-4</v>
      </c>
    </row>
    <row r="158" spans="1:2">
      <c r="A158" s="160" t="s">
        <v>2226</v>
      </c>
      <c r="B158" s="161">
        <v>3.3420790277372448E-4</v>
      </c>
    </row>
    <row r="159" spans="1:2">
      <c r="A159" s="160" t="s">
        <v>2210</v>
      </c>
      <c r="B159" s="161">
        <v>3.3403709775206065E-4</v>
      </c>
    </row>
    <row r="160" spans="1:2">
      <c r="A160" s="160" t="s">
        <v>1424</v>
      </c>
      <c r="B160" s="161">
        <v>3.2526297416297342E-4</v>
      </c>
    </row>
    <row r="161" spans="1:2">
      <c r="A161" s="160" t="s">
        <v>1747</v>
      </c>
      <c r="B161" s="161">
        <v>3.1950928905875208E-4</v>
      </c>
    </row>
    <row r="162" spans="1:2">
      <c r="A162" s="160" t="s">
        <v>1423</v>
      </c>
      <c r="B162" s="161">
        <v>3.1415785668457725E-4</v>
      </c>
    </row>
    <row r="163" spans="1:2">
      <c r="A163" s="160" t="s">
        <v>348</v>
      </c>
      <c r="B163" s="161">
        <v>3.0939289422336779E-4</v>
      </c>
    </row>
    <row r="164" spans="1:2">
      <c r="A164" s="160" t="s">
        <v>1460</v>
      </c>
      <c r="B164" s="161">
        <v>3.0272398553223755E-4</v>
      </c>
    </row>
    <row r="165" spans="1:2">
      <c r="A165" s="160" t="s">
        <v>2276</v>
      </c>
      <c r="B165" s="161">
        <v>2.920653641735361E-4</v>
      </c>
    </row>
    <row r="166" spans="1:2">
      <c r="A166" s="160" t="s">
        <v>2436</v>
      </c>
      <c r="B166" s="161">
        <v>2.9078000644034991E-4</v>
      </c>
    </row>
    <row r="167" spans="1:2">
      <c r="A167" s="160" t="s">
        <v>2368</v>
      </c>
      <c r="B167" s="161">
        <v>2.7521324729578412E-4</v>
      </c>
    </row>
    <row r="168" spans="1:2">
      <c r="A168" s="160" t="s">
        <v>701</v>
      </c>
      <c r="B168" s="161">
        <v>2.7305713243492506E-4</v>
      </c>
    </row>
    <row r="169" spans="1:2">
      <c r="A169" s="160" t="s">
        <v>1054</v>
      </c>
      <c r="B169" s="161">
        <v>2.651198055517802E-4</v>
      </c>
    </row>
    <row r="170" spans="1:2">
      <c r="A170" s="160" t="s">
        <v>2054</v>
      </c>
      <c r="B170" s="161">
        <v>2.4861522176317558E-4</v>
      </c>
    </row>
    <row r="171" spans="1:2">
      <c r="A171" s="160" t="s">
        <v>2050</v>
      </c>
      <c r="B171" s="161">
        <v>2.4609513474653868E-4</v>
      </c>
    </row>
    <row r="172" spans="1:2">
      <c r="A172" s="160" t="s">
        <v>1059</v>
      </c>
      <c r="B172" s="161">
        <v>2.4549110910971787E-4</v>
      </c>
    </row>
    <row r="173" spans="1:2">
      <c r="A173" s="160" t="s">
        <v>798</v>
      </c>
      <c r="B173" s="161">
        <v>2.4508767687672243E-4</v>
      </c>
    </row>
    <row r="174" spans="1:2">
      <c r="A174" s="160" t="s">
        <v>896</v>
      </c>
      <c r="B174" s="161">
        <v>2.4432513157530218E-4</v>
      </c>
    </row>
    <row r="175" spans="1:2">
      <c r="A175" s="160" t="s">
        <v>2583</v>
      </c>
      <c r="B175" s="161">
        <v>2.3907304863468031E-4</v>
      </c>
    </row>
    <row r="176" spans="1:2">
      <c r="A176" s="160" t="s">
        <v>2027</v>
      </c>
      <c r="B176" s="161">
        <v>2.360148866767027E-4</v>
      </c>
    </row>
    <row r="177" spans="1:2">
      <c r="A177" s="160" t="s">
        <v>1904</v>
      </c>
      <c r="B177" s="161">
        <v>2.2753693419959347E-4</v>
      </c>
    </row>
    <row r="178" spans="1:2">
      <c r="A178" s="160" t="s">
        <v>2229</v>
      </c>
      <c r="B178" s="161">
        <v>2.2686921834942525E-4</v>
      </c>
    </row>
    <row r="179" spans="1:2">
      <c r="A179" s="160" t="s">
        <v>2686</v>
      </c>
      <c r="B179" s="161">
        <v>2.2005996664639622E-4</v>
      </c>
    </row>
    <row r="180" spans="1:2">
      <c r="A180" s="160" t="s">
        <v>1805</v>
      </c>
      <c r="B180" s="161">
        <v>2.165830770500397E-4</v>
      </c>
    </row>
    <row r="181" spans="1:2">
      <c r="A181" s="160" t="s">
        <v>2342</v>
      </c>
      <c r="B181" s="161">
        <v>2.161390076917889E-4</v>
      </c>
    </row>
    <row r="182" spans="1:2">
      <c r="A182" s="160" t="s">
        <v>447</v>
      </c>
      <c r="B182" s="161">
        <v>2.1080119156381122E-4</v>
      </c>
    </row>
    <row r="183" spans="1:2">
      <c r="A183" s="160" t="s">
        <v>2682</v>
      </c>
      <c r="B183" s="161">
        <v>2.0759409686002702E-4</v>
      </c>
    </row>
    <row r="184" spans="1:2">
      <c r="A184" s="160" t="s">
        <v>2690</v>
      </c>
      <c r="B184" s="161">
        <v>2.0555564670606796E-4</v>
      </c>
    </row>
    <row r="185" spans="1:2">
      <c r="A185" s="160" t="s">
        <v>218</v>
      </c>
      <c r="B185" s="161">
        <v>2.0104113100115749E-4</v>
      </c>
    </row>
    <row r="186" spans="1:2">
      <c r="A186" s="160" t="s">
        <v>2582</v>
      </c>
      <c r="B186" s="161">
        <v>2.0077905713128814E-4</v>
      </c>
    </row>
    <row r="187" spans="1:2">
      <c r="A187" s="160" t="s">
        <v>2512</v>
      </c>
      <c r="B187" s="161">
        <v>1.9472252028370621E-4</v>
      </c>
    </row>
    <row r="188" spans="1:2">
      <c r="A188" s="160" t="s">
        <v>2209</v>
      </c>
      <c r="B188" s="161">
        <v>1.8956190078390909E-4</v>
      </c>
    </row>
    <row r="189" spans="1:2">
      <c r="A189" s="160" t="s">
        <v>2097</v>
      </c>
      <c r="B189" s="161">
        <v>1.857083257018769E-4</v>
      </c>
    </row>
    <row r="190" spans="1:2">
      <c r="A190" s="160" t="s">
        <v>2218</v>
      </c>
      <c r="B190" s="161">
        <v>1.8261798378735276E-4</v>
      </c>
    </row>
    <row r="191" spans="1:2">
      <c r="A191" s="160" t="s">
        <v>1809</v>
      </c>
      <c r="B191" s="161">
        <v>1.8203498659161681E-4</v>
      </c>
    </row>
    <row r="192" spans="1:2">
      <c r="A192" s="160" t="s">
        <v>1351</v>
      </c>
      <c r="B192" s="161">
        <v>1.8193347863657176E-4</v>
      </c>
    </row>
    <row r="193" spans="1:2">
      <c r="A193" s="160" t="s">
        <v>960</v>
      </c>
      <c r="B193" s="161">
        <v>1.77761034498274E-4</v>
      </c>
    </row>
    <row r="194" spans="1:2">
      <c r="A194" s="160" t="s">
        <v>1353</v>
      </c>
      <c r="B194" s="161">
        <v>1.7722753256531381E-4</v>
      </c>
    </row>
    <row r="195" spans="1:2">
      <c r="A195" s="160" t="s">
        <v>448</v>
      </c>
      <c r="B195" s="161">
        <v>1.7357805011737623E-4</v>
      </c>
    </row>
    <row r="196" spans="1:2">
      <c r="A196" s="160" t="s">
        <v>1235</v>
      </c>
      <c r="B196" s="161">
        <v>1.6667454161202228E-4</v>
      </c>
    </row>
    <row r="197" spans="1:2">
      <c r="A197" s="160" t="s">
        <v>2221</v>
      </c>
      <c r="B197" s="161">
        <v>1.646535101978797E-4</v>
      </c>
    </row>
    <row r="198" spans="1:2">
      <c r="A198" s="160" t="s">
        <v>674</v>
      </c>
      <c r="B198" s="161">
        <v>1.6277772818094262E-4</v>
      </c>
    </row>
    <row r="199" spans="1:2">
      <c r="A199" s="160" t="s">
        <v>515</v>
      </c>
      <c r="B199" s="161">
        <v>1.6259164428363004E-4</v>
      </c>
    </row>
    <row r="200" spans="1:2">
      <c r="A200" s="160" t="s">
        <v>895</v>
      </c>
      <c r="B200" s="161">
        <v>1.6229995158412514E-4</v>
      </c>
    </row>
    <row r="201" spans="1:2">
      <c r="A201" s="160" t="s">
        <v>843</v>
      </c>
      <c r="B201" s="161">
        <v>1.617834531836856E-4</v>
      </c>
    </row>
    <row r="202" spans="1:2">
      <c r="A202" s="160" t="s">
        <v>1030</v>
      </c>
      <c r="B202" s="161">
        <v>1.6134658768020125E-4</v>
      </c>
    </row>
    <row r="203" spans="1:2">
      <c r="A203" s="160" t="s">
        <v>1464</v>
      </c>
      <c r="B203" s="161">
        <v>1.6127032144831635E-4</v>
      </c>
    </row>
    <row r="204" spans="1:2">
      <c r="A204" s="160" t="s">
        <v>119</v>
      </c>
      <c r="B204" s="161">
        <v>1.6124863787329163E-4</v>
      </c>
    </row>
    <row r="205" spans="1:2">
      <c r="A205" s="160" t="s">
        <v>1757</v>
      </c>
      <c r="B205" s="161">
        <v>1.5935596377679743E-4</v>
      </c>
    </row>
    <row r="206" spans="1:2">
      <c r="A206" s="160" t="s">
        <v>2685</v>
      </c>
      <c r="B206" s="161">
        <v>1.5809990818971606E-4</v>
      </c>
    </row>
    <row r="207" spans="1:2">
      <c r="A207" s="160" t="s">
        <v>1749</v>
      </c>
      <c r="B207" s="161">
        <v>1.5694285883961721E-4</v>
      </c>
    </row>
    <row r="208" spans="1:2">
      <c r="A208" s="160" t="s">
        <v>2222</v>
      </c>
      <c r="B208" s="161">
        <v>1.4911596187672609E-4</v>
      </c>
    </row>
    <row r="209" spans="1:2">
      <c r="A209" s="160" t="s">
        <v>2047</v>
      </c>
      <c r="B209" s="161">
        <v>1.489329482548848E-4</v>
      </c>
    </row>
    <row r="210" spans="1:2">
      <c r="A210" s="160" t="s">
        <v>2029</v>
      </c>
      <c r="B210" s="161">
        <v>1.4659909455781549E-4</v>
      </c>
    </row>
    <row r="211" spans="1:2">
      <c r="A211" s="160" t="s">
        <v>2060</v>
      </c>
      <c r="B211" s="161">
        <v>1.4548069352766672E-4</v>
      </c>
    </row>
    <row r="212" spans="1:2">
      <c r="A212" s="160" t="s">
        <v>2692</v>
      </c>
      <c r="B212" s="161">
        <v>1.3918159558919268E-4</v>
      </c>
    </row>
    <row r="213" spans="1:2">
      <c r="A213" s="160" t="s">
        <v>723</v>
      </c>
      <c r="B213" s="161">
        <v>1.391528459617441E-4</v>
      </c>
    </row>
    <row r="214" spans="1:2">
      <c r="A214" s="160" t="s">
        <v>2096</v>
      </c>
      <c r="B214" s="161">
        <v>1.3684407703718583E-4</v>
      </c>
    </row>
    <row r="215" spans="1:2">
      <c r="A215" s="160" t="s">
        <v>805</v>
      </c>
      <c r="B215" s="161">
        <v>1.3385101522982564E-4</v>
      </c>
    </row>
    <row r="216" spans="1:2">
      <c r="A216" s="160" t="s">
        <v>1744</v>
      </c>
      <c r="B216" s="161">
        <v>1.3364228395939401E-4</v>
      </c>
    </row>
    <row r="217" spans="1:2">
      <c r="A217" s="160" t="s">
        <v>2691</v>
      </c>
      <c r="B217" s="161">
        <v>1.3210105918988048E-4</v>
      </c>
    </row>
    <row r="218" spans="1:2">
      <c r="A218" s="160" t="s">
        <v>2223</v>
      </c>
      <c r="B218" s="161">
        <v>1.266451459633293E-4</v>
      </c>
    </row>
    <row r="219" spans="1:2">
      <c r="A219" s="160" t="s">
        <v>2219</v>
      </c>
      <c r="B219" s="161">
        <v>1.2336887824776686E-4</v>
      </c>
    </row>
    <row r="220" spans="1:2">
      <c r="A220" s="160" t="s">
        <v>1151</v>
      </c>
      <c r="B220" s="161">
        <v>1.2117025676502617E-4</v>
      </c>
    </row>
    <row r="221" spans="1:2">
      <c r="A221" s="160" t="s">
        <v>2517</v>
      </c>
      <c r="B221" s="161">
        <v>1.2014439180818817E-4</v>
      </c>
    </row>
    <row r="222" spans="1:2">
      <c r="A222" s="160" t="s">
        <v>2214</v>
      </c>
      <c r="B222" s="161">
        <v>1.1938005540363579E-4</v>
      </c>
    </row>
    <row r="223" spans="1:2">
      <c r="A223" s="160" t="s">
        <v>2231</v>
      </c>
      <c r="B223" s="161">
        <v>1.1763666183201936E-4</v>
      </c>
    </row>
    <row r="224" spans="1:2">
      <c r="A224" s="160" t="s">
        <v>1909</v>
      </c>
      <c r="B224" s="161">
        <v>1.1659392852643148E-4</v>
      </c>
    </row>
    <row r="225" spans="1:2">
      <c r="A225" s="160" t="s">
        <v>1881</v>
      </c>
      <c r="B225" s="161">
        <v>1.1340939985637889E-4</v>
      </c>
    </row>
    <row r="226" spans="1:2">
      <c r="A226" s="160" t="s">
        <v>2211</v>
      </c>
      <c r="B226" s="161">
        <v>1.0983751027427985E-4</v>
      </c>
    </row>
    <row r="227" spans="1:2">
      <c r="A227" s="160" t="s">
        <v>1024</v>
      </c>
      <c r="B227" s="161">
        <v>1.077103798940304E-4</v>
      </c>
    </row>
    <row r="228" spans="1:2">
      <c r="A228" s="160" t="s">
        <v>2366</v>
      </c>
      <c r="B228" s="161">
        <v>1.0626758151149964E-4</v>
      </c>
    </row>
    <row r="229" spans="1:2">
      <c r="A229" s="160" t="s">
        <v>1426</v>
      </c>
      <c r="B229" s="161">
        <v>1.0561616708927999E-4</v>
      </c>
    </row>
    <row r="230" spans="1:2">
      <c r="A230" s="160" t="s">
        <v>1746</v>
      </c>
      <c r="B230" s="161">
        <v>1.0368324439812576E-4</v>
      </c>
    </row>
    <row r="231" spans="1:2">
      <c r="A231" s="160" t="s">
        <v>2052</v>
      </c>
      <c r="B231" s="161">
        <v>9.960974185081842E-5</v>
      </c>
    </row>
    <row r="232" spans="1:2">
      <c r="A232" s="160" t="s">
        <v>2688</v>
      </c>
      <c r="B232" s="161">
        <v>9.8691295456629114E-5</v>
      </c>
    </row>
    <row r="233" spans="1:2">
      <c r="A233" s="160" t="s">
        <v>2227</v>
      </c>
      <c r="B233" s="161">
        <v>9.8342221828941637E-5</v>
      </c>
    </row>
    <row r="234" spans="1:2">
      <c r="A234" s="160" t="s">
        <v>1753</v>
      </c>
      <c r="B234" s="161">
        <v>9.3699909999058216E-5</v>
      </c>
    </row>
    <row r="235" spans="1:2">
      <c r="A235" s="160" t="s">
        <v>2581</v>
      </c>
      <c r="B235" s="161">
        <v>9.3158874762263146E-5</v>
      </c>
    </row>
    <row r="236" spans="1:2">
      <c r="A236" s="160" t="s">
        <v>520</v>
      </c>
      <c r="B236" s="161">
        <v>9.308674571020971E-5</v>
      </c>
    </row>
    <row r="237" spans="1:2">
      <c r="A237" s="160" t="s">
        <v>1469</v>
      </c>
      <c r="B237" s="161">
        <v>9.0335582331407753E-5</v>
      </c>
    </row>
    <row r="238" spans="1:2">
      <c r="A238" s="160" t="s">
        <v>2225</v>
      </c>
      <c r="B238" s="161">
        <v>8.9403768782666689E-5</v>
      </c>
    </row>
    <row r="239" spans="1:2">
      <c r="A239" s="160" t="s">
        <v>2228</v>
      </c>
      <c r="B239" s="161">
        <v>8.6469767880979046E-5</v>
      </c>
    </row>
    <row r="240" spans="1:2">
      <c r="A240" s="160" t="s">
        <v>1884</v>
      </c>
      <c r="B240" s="161">
        <v>8.3247965968508847E-5</v>
      </c>
    </row>
    <row r="241" spans="1:2">
      <c r="A241" s="160" t="s">
        <v>1808</v>
      </c>
      <c r="B241" s="161">
        <v>8.0514287939444351E-5</v>
      </c>
    </row>
    <row r="242" spans="1:2">
      <c r="A242" s="160" t="s">
        <v>2693</v>
      </c>
      <c r="B242" s="161">
        <v>7.9391536643181403E-5</v>
      </c>
    </row>
    <row r="243" spans="1:2">
      <c r="A243" s="160" t="s">
        <v>1758</v>
      </c>
      <c r="B243" s="161">
        <v>7.32937679272171E-5</v>
      </c>
    </row>
    <row r="244" spans="1:2">
      <c r="A244" s="160" t="s">
        <v>1352</v>
      </c>
      <c r="B244" s="161">
        <v>7.2578147923981639E-5</v>
      </c>
    </row>
    <row r="245" spans="1:2">
      <c r="A245" s="160" t="s">
        <v>2319</v>
      </c>
      <c r="B245" s="161">
        <v>7.0191753728758449E-5</v>
      </c>
    </row>
    <row r="246" spans="1:2">
      <c r="A246" s="160" t="s">
        <v>536</v>
      </c>
      <c r="B246" s="161">
        <v>6.8504784324642024E-5</v>
      </c>
    </row>
    <row r="247" spans="1:2">
      <c r="A247" s="160" t="s">
        <v>1812</v>
      </c>
      <c r="B247" s="161">
        <v>6.5687203489931187E-5</v>
      </c>
    </row>
    <row r="248" spans="1:2">
      <c r="A248" s="160" t="s">
        <v>2320</v>
      </c>
      <c r="B248" s="161">
        <v>6.5464295762591429E-5</v>
      </c>
    </row>
    <row r="249" spans="1:2">
      <c r="A249" s="160" t="s">
        <v>1745</v>
      </c>
      <c r="B249" s="161">
        <v>6.2473831414826332E-5</v>
      </c>
    </row>
    <row r="250" spans="1:2">
      <c r="A250" s="160" t="s">
        <v>519</v>
      </c>
      <c r="B250" s="161">
        <v>6.1950669731042585E-5</v>
      </c>
    </row>
    <row r="251" spans="1:2">
      <c r="A251" s="160" t="s">
        <v>1028</v>
      </c>
      <c r="B251" s="161">
        <v>5.7828716567459106E-5</v>
      </c>
    </row>
    <row r="252" spans="1:2">
      <c r="A252" s="160" t="s">
        <v>801</v>
      </c>
      <c r="B252" s="161">
        <v>5.4949382280590977E-5</v>
      </c>
    </row>
    <row r="253" spans="1:2">
      <c r="A253" s="160" t="s">
        <v>1456</v>
      </c>
      <c r="B253" s="161">
        <v>5.3528855506121599E-5</v>
      </c>
    </row>
    <row r="254" spans="1:2">
      <c r="A254" s="160" t="s">
        <v>1421</v>
      </c>
      <c r="B254" s="161">
        <v>5.1931676275430188E-5</v>
      </c>
    </row>
    <row r="255" spans="1:2">
      <c r="A255" s="160" t="s">
        <v>1427</v>
      </c>
      <c r="B255" s="161">
        <v>5.0736701331206431E-5</v>
      </c>
    </row>
    <row r="256" spans="1:2">
      <c r="A256" s="160" t="s">
        <v>1882</v>
      </c>
      <c r="B256" s="161">
        <v>4.9875281048716661E-5</v>
      </c>
    </row>
    <row r="257" spans="1:2">
      <c r="A257" s="160" t="s">
        <v>1905</v>
      </c>
      <c r="B257" s="161">
        <v>4.8527436335939187E-5</v>
      </c>
    </row>
    <row r="258" spans="1:2">
      <c r="A258" s="160" t="s">
        <v>1416</v>
      </c>
      <c r="B258" s="161">
        <v>4.7407363838658849E-5</v>
      </c>
    </row>
    <row r="259" spans="1:2">
      <c r="A259" s="160" t="s">
        <v>1428</v>
      </c>
      <c r="B259" s="161">
        <v>4.0017598327953609E-5</v>
      </c>
    </row>
    <row r="260" spans="1:2">
      <c r="A260" s="160" t="s">
        <v>1422</v>
      </c>
      <c r="B260" s="161">
        <v>3.5385753093337461E-5</v>
      </c>
    </row>
    <row r="261" spans="1:2">
      <c r="A261" s="160" t="s">
        <v>1811</v>
      </c>
      <c r="B261" s="161">
        <v>3.3433485702785388E-5</v>
      </c>
    </row>
    <row r="262" spans="1:2">
      <c r="A262" s="160" t="s">
        <v>1751</v>
      </c>
      <c r="B262" s="161">
        <v>3.1947892819132405E-5</v>
      </c>
    </row>
    <row r="263" spans="1:2">
      <c r="A263" s="160" t="s">
        <v>442</v>
      </c>
      <c r="B263" s="161">
        <v>3.1515205737985858E-5</v>
      </c>
    </row>
    <row r="264" spans="1:2">
      <c r="A264" s="160" t="s">
        <v>1807</v>
      </c>
      <c r="B264" s="161">
        <v>2.9682167651002498E-5</v>
      </c>
    </row>
    <row r="265" spans="1:2">
      <c r="A265" s="160" t="s">
        <v>1026</v>
      </c>
      <c r="B265" s="161">
        <v>2.8921105443202692E-5</v>
      </c>
    </row>
    <row r="266" spans="1:2">
      <c r="A266" s="160" t="s">
        <v>1669</v>
      </c>
      <c r="B266" s="161">
        <v>2.87750136841715E-5</v>
      </c>
    </row>
    <row r="267" spans="1:2">
      <c r="A267" s="160" t="s">
        <v>1042</v>
      </c>
      <c r="B267" s="161">
        <v>2.6157114008324585E-5</v>
      </c>
    </row>
    <row r="268" spans="1:2">
      <c r="A268" s="160" t="s">
        <v>1755</v>
      </c>
      <c r="B268" s="161">
        <v>2.5365532509501004E-5</v>
      </c>
    </row>
    <row r="269" spans="1:2">
      <c r="A269" s="160" t="s">
        <v>1419</v>
      </c>
      <c r="B269" s="161">
        <v>2.506667817970041E-5</v>
      </c>
    </row>
    <row r="270" spans="1:2">
      <c r="A270" s="160" t="s">
        <v>803</v>
      </c>
      <c r="B270" s="161">
        <v>2.4513371824325375E-5</v>
      </c>
    </row>
    <row r="271" spans="1:2">
      <c r="A271" s="160" t="s">
        <v>1756</v>
      </c>
      <c r="B271" s="161">
        <v>2.3960919614349305E-5</v>
      </c>
    </row>
    <row r="272" spans="1:2">
      <c r="A272" s="160" t="s">
        <v>1420</v>
      </c>
      <c r="B272" s="161">
        <v>2.3146043791503777E-5</v>
      </c>
    </row>
    <row r="273" spans="1:2">
      <c r="A273" s="160" t="s">
        <v>2515</v>
      </c>
      <c r="B273" s="161">
        <v>2.3094546303242135E-5</v>
      </c>
    </row>
    <row r="274" spans="1:2">
      <c r="A274" s="160" t="s">
        <v>1750</v>
      </c>
      <c r="B274" s="161">
        <v>2.2057872863852251E-5</v>
      </c>
    </row>
    <row r="275" spans="1:2">
      <c r="A275" s="160" t="s">
        <v>1759</v>
      </c>
      <c r="B275" s="161">
        <v>2.1492190810684775E-5</v>
      </c>
    </row>
    <row r="276" spans="1:2">
      <c r="A276" s="160" t="s">
        <v>1883</v>
      </c>
      <c r="B276" s="161">
        <v>2.0939909626181382E-5</v>
      </c>
    </row>
    <row r="277" spans="1:2">
      <c r="A277" s="160" t="s">
        <v>1350</v>
      </c>
      <c r="B277" s="161">
        <v>1.7317194710477444E-5</v>
      </c>
    </row>
    <row r="278" spans="1:2">
      <c r="A278" s="160" t="s">
        <v>1425</v>
      </c>
      <c r="B278" s="161">
        <v>1.6251194739532572E-5</v>
      </c>
    </row>
    <row r="279" spans="1:2">
      <c r="A279" s="160" t="s">
        <v>1752</v>
      </c>
      <c r="B279" s="161">
        <v>1.6181333698005826E-5</v>
      </c>
    </row>
    <row r="280" spans="1:2">
      <c r="A280" s="160" t="s">
        <v>1970</v>
      </c>
      <c r="B280" s="161">
        <v>1.60569183129268E-5</v>
      </c>
    </row>
    <row r="281" spans="1:2">
      <c r="A281" s="160" t="s">
        <v>1754</v>
      </c>
      <c r="B281" s="161">
        <v>1.5960290721130864E-5</v>
      </c>
    </row>
    <row r="282" spans="1:2">
      <c r="A282" s="160" t="s">
        <v>1806</v>
      </c>
      <c r="B282" s="161">
        <v>1.2220754933299323E-5</v>
      </c>
    </row>
    <row r="283" spans="1:2">
      <c r="A283" s="160" t="s">
        <v>1880</v>
      </c>
      <c r="B283" s="161">
        <v>1.1182236873715586E-5</v>
      </c>
    </row>
    <row r="284" spans="1:2">
      <c r="A284" s="160" t="s">
        <v>2026</v>
      </c>
      <c r="B284" s="161">
        <v>6.9205017272479969E-6</v>
      </c>
    </row>
    <row r="285" spans="1:2">
      <c r="A285" s="160" t="s">
        <v>2028</v>
      </c>
      <c r="B285" s="161">
        <v>6.5073334805260268E-6</v>
      </c>
    </row>
    <row r="286" spans="1:2">
      <c r="A286" s="160" t="s">
        <v>2278</v>
      </c>
      <c r="B286" s="161">
        <v>3.6491333595804098E-6</v>
      </c>
    </row>
    <row r="287" spans="1:2">
      <c r="A287" s="162" t="s">
        <v>75</v>
      </c>
      <c r="B287" s="163">
        <v>0.86617373961098199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50" zoomScaleNormal="100" workbookViewId="0">
      <selection activeCell="G38" sqref="G38:G7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61102009170.099998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1349</v>
      </c>
      <c r="B4" s="13" t="s">
        <v>404</v>
      </c>
      <c r="C4" s="138">
        <v>46259</v>
      </c>
      <c r="D4" s="138" t="s">
        <v>424</v>
      </c>
      <c r="E4" s="28">
        <v>1</v>
      </c>
      <c r="F4" s="13"/>
      <c r="G4" s="18">
        <v>2200000</v>
      </c>
      <c r="H4" s="18">
        <v>2200000</v>
      </c>
      <c r="I4" s="18">
        <v>2200000</v>
      </c>
      <c r="J4" s="18">
        <v>2200000</v>
      </c>
      <c r="K4" s="15">
        <v>9792</v>
      </c>
      <c r="L4" s="13" t="s">
        <v>102</v>
      </c>
      <c r="M4" s="13" t="s">
        <v>103</v>
      </c>
      <c r="N4" s="138" t="s">
        <v>601</v>
      </c>
      <c r="O4" s="138" t="s">
        <v>601</v>
      </c>
      <c r="P4" s="28">
        <v>30</v>
      </c>
      <c r="Q4" s="13" t="s">
        <v>54</v>
      </c>
      <c r="R4" s="13" t="s">
        <v>28</v>
      </c>
      <c r="S4" s="13"/>
      <c r="T4" s="13"/>
      <c r="U4" s="13" t="s">
        <v>1340</v>
      </c>
      <c r="V4" s="13" t="s">
        <v>1340</v>
      </c>
      <c r="W4" s="59">
        <f>+J4/$W$2</f>
        <v>3.6005362669425285E-5</v>
      </c>
    </row>
    <row r="5" spans="1:29">
      <c r="A5" s="13" t="s">
        <v>1059</v>
      </c>
      <c r="B5" s="13" t="s">
        <v>404</v>
      </c>
      <c r="C5" s="138">
        <v>46259</v>
      </c>
      <c r="D5" s="138" t="s">
        <v>424</v>
      </c>
      <c r="E5" s="28">
        <v>1</v>
      </c>
      <c r="F5" s="13"/>
      <c r="G5" s="18">
        <v>15000000</v>
      </c>
      <c r="H5" s="18">
        <v>15000000</v>
      </c>
      <c r="I5" s="18">
        <v>15000000</v>
      </c>
      <c r="J5" s="18">
        <v>15000000</v>
      </c>
      <c r="K5" s="15">
        <v>29515957</v>
      </c>
      <c r="L5" s="13" t="s">
        <v>102</v>
      </c>
      <c r="M5" s="13" t="s">
        <v>103</v>
      </c>
      <c r="N5" s="138" t="s">
        <v>408</v>
      </c>
      <c r="O5" s="138" t="s">
        <v>408</v>
      </c>
      <c r="P5" s="28">
        <v>36</v>
      </c>
      <c r="Q5" s="13" t="s">
        <v>54</v>
      </c>
      <c r="R5" s="13" t="s">
        <v>28</v>
      </c>
      <c r="S5" s="13"/>
      <c r="T5" s="13"/>
      <c r="U5" s="13" t="s">
        <v>1058</v>
      </c>
      <c r="V5" s="13" t="s">
        <v>1058</v>
      </c>
      <c r="W5" s="59">
        <f>+J5/$W$2</f>
        <v>2.4549110910971787E-4</v>
      </c>
    </row>
    <row r="6" spans="1:29">
      <c r="A6" s="13" t="s">
        <v>1032</v>
      </c>
      <c r="B6" s="13" t="s">
        <v>404</v>
      </c>
      <c r="C6" s="138">
        <v>46259</v>
      </c>
      <c r="D6" s="138" t="s">
        <v>424</v>
      </c>
      <c r="E6" s="28">
        <v>1</v>
      </c>
      <c r="F6" s="13"/>
      <c r="G6" s="18">
        <v>11957120</v>
      </c>
      <c r="H6" s="18">
        <v>11957120</v>
      </c>
      <c r="I6" s="18">
        <v>11957120</v>
      </c>
      <c r="J6" s="18">
        <v>11957120</v>
      </c>
      <c r="K6" s="15">
        <v>99486215</v>
      </c>
      <c r="L6" s="13" t="s">
        <v>102</v>
      </c>
      <c r="M6" s="13" t="s">
        <v>103</v>
      </c>
      <c r="N6" s="138" t="s">
        <v>420</v>
      </c>
      <c r="O6" s="138" t="s">
        <v>420</v>
      </c>
      <c r="P6" s="28">
        <v>31</v>
      </c>
      <c r="Q6" s="13" t="s">
        <v>54</v>
      </c>
      <c r="R6" s="13" t="s">
        <v>28</v>
      </c>
      <c r="S6" s="13"/>
      <c r="T6" s="13"/>
      <c r="U6" s="13" t="s">
        <v>1312</v>
      </c>
      <c r="V6" s="13" t="s">
        <v>1312</v>
      </c>
      <c r="W6" s="59">
        <f>+J6/$W$2</f>
        <v>1.956911100371993E-4</v>
      </c>
    </row>
    <row r="7" spans="1:29">
      <c r="A7" s="13" t="s">
        <v>538</v>
      </c>
      <c r="B7" s="13" t="s">
        <v>404</v>
      </c>
      <c r="C7" s="138">
        <v>46259</v>
      </c>
      <c r="D7" s="138" t="s">
        <v>424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29692617</v>
      </c>
      <c r="L7" s="13" t="s">
        <v>102</v>
      </c>
      <c r="M7" s="13" t="s">
        <v>103</v>
      </c>
      <c r="N7" s="138" t="s">
        <v>346</v>
      </c>
      <c r="O7" s="138" t="s">
        <v>346</v>
      </c>
      <c r="P7" s="28">
        <v>33</v>
      </c>
      <c r="Q7" s="13" t="s">
        <v>54</v>
      </c>
      <c r="R7" s="13" t="s">
        <v>28</v>
      </c>
      <c r="S7" s="13"/>
      <c r="T7" s="13"/>
      <c r="U7" s="13" t="s">
        <v>1518</v>
      </c>
      <c r="V7" s="13" t="s">
        <v>1518</v>
      </c>
      <c r="W7" s="59">
        <f>+J7/$W$2</f>
        <v>1.6366073940647858E-4</v>
      </c>
    </row>
    <row r="8" spans="1:29">
      <c r="A8" s="13" t="s">
        <v>723</v>
      </c>
      <c r="B8" s="13" t="s">
        <v>404</v>
      </c>
      <c r="C8" s="138">
        <v>46259</v>
      </c>
      <c r="D8" s="138" t="s">
        <v>424</v>
      </c>
      <c r="E8" s="28">
        <v>1</v>
      </c>
      <c r="F8" s="13"/>
      <c r="G8" s="18">
        <v>4486536.05</v>
      </c>
      <c r="H8" s="18">
        <v>4486536.05</v>
      </c>
      <c r="I8" s="18">
        <v>4486536.05</v>
      </c>
      <c r="J8" s="18">
        <v>4486536.05</v>
      </c>
      <c r="K8" s="15">
        <v>14051794</v>
      </c>
      <c r="L8" s="13" t="s">
        <v>102</v>
      </c>
      <c r="M8" s="13" t="s">
        <v>103</v>
      </c>
      <c r="N8" s="138" t="s">
        <v>419</v>
      </c>
      <c r="O8" s="138" t="s">
        <v>419</v>
      </c>
      <c r="P8" s="28">
        <v>33</v>
      </c>
      <c r="Q8" s="13" t="s">
        <v>54</v>
      </c>
      <c r="R8" s="13" t="s">
        <v>28</v>
      </c>
      <c r="S8" s="13"/>
      <c r="T8" s="13"/>
      <c r="U8" s="13" t="s">
        <v>1254</v>
      </c>
      <c r="V8" s="13" t="s">
        <v>1254</v>
      </c>
      <c r="W8" s="59">
        <f>+J8/$W$2</f>
        <v>7.342698073168217E-5</v>
      </c>
    </row>
    <row r="9" spans="1:29">
      <c r="A9" s="13" t="s">
        <v>772</v>
      </c>
      <c r="B9" s="13" t="s">
        <v>404</v>
      </c>
      <c r="C9" s="138">
        <v>46259</v>
      </c>
      <c r="D9" s="138" t="s">
        <v>424</v>
      </c>
      <c r="E9" s="28">
        <v>1</v>
      </c>
      <c r="F9" s="13"/>
      <c r="G9" s="18">
        <v>2000000</v>
      </c>
      <c r="H9" s="18">
        <v>2000000</v>
      </c>
      <c r="I9" s="18">
        <v>2000000</v>
      </c>
      <c r="J9" s="18">
        <v>2000000</v>
      </c>
      <c r="K9" s="15">
        <v>437</v>
      </c>
      <c r="L9" s="13" t="s">
        <v>102</v>
      </c>
      <c r="M9" s="13" t="s">
        <v>103</v>
      </c>
      <c r="N9" s="138" t="s">
        <v>411</v>
      </c>
      <c r="O9" s="138" t="s">
        <v>411</v>
      </c>
      <c r="P9" s="28">
        <v>33</v>
      </c>
      <c r="Q9" s="13" t="s">
        <v>54</v>
      </c>
      <c r="R9" s="13" t="s">
        <v>28</v>
      </c>
      <c r="S9" s="13"/>
      <c r="T9" s="13"/>
      <c r="U9" s="13" t="s">
        <v>1089</v>
      </c>
      <c r="V9" s="13" t="s">
        <v>1089</v>
      </c>
      <c r="W9" s="59">
        <f>+J9/$W$2</f>
        <v>3.2732147881295714E-5</v>
      </c>
    </row>
    <row r="10" spans="1:29">
      <c r="A10" s="13" t="s">
        <v>773</v>
      </c>
      <c r="B10" s="13" t="s">
        <v>404</v>
      </c>
      <c r="C10" s="138">
        <v>46259</v>
      </c>
      <c r="D10" s="138" t="s">
        <v>424</v>
      </c>
      <c r="E10" s="28">
        <v>1</v>
      </c>
      <c r="F10" s="13"/>
      <c r="G10" s="18">
        <v>4000000</v>
      </c>
      <c r="H10" s="18">
        <v>4000000</v>
      </c>
      <c r="I10" s="18">
        <v>4000000</v>
      </c>
      <c r="J10" s="18">
        <v>4000000</v>
      </c>
      <c r="K10" s="15">
        <v>157690</v>
      </c>
      <c r="L10" s="13" t="s">
        <v>102</v>
      </c>
      <c r="M10" s="13" t="s">
        <v>103</v>
      </c>
      <c r="N10" s="138" t="s">
        <v>161</v>
      </c>
      <c r="O10" s="138" t="s">
        <v>161</v>
      </c>
      <c r="P10" s="28">
        <v>33</v>
      </c>
      <c r="Q10" s="13" t="s">
        <v>54</v>
      </c>
      <c r="R10" s="13" t="s">
        <v>28</v>
      </c>
      <c r="S10" s="13"/>
      <c r="T10" s="13"/>
      <c r="U10" s="13" t="s">
        <v>1682</v>
      </c>
      <c r="V10" s="13" t="s">
        <v>1682</v>
      </c>
      <c r="W10" s="59">
        <f>+J10/$W$2</f>
        <v>6.5464295762591429E-5</v>
      </c>
    </row>
    <row r="11" spans="1:29">
      <c r="A11" s="13" t="s">
        <v>843</v>
      </c>
      <c r="B11" s="13" t="s">
        <v>404</v>
      </c>
      <c r="C11" s="138">
        <v>46259</v>
      </c>
      <c r="D11" s="138" t="s">
        <v>424</v>
      </c>
      <c r="E11" s="28">
        <v>1</v>
      </c>
      <c r="F11" s="13"/>
      <c r="G11" s="18">
        <v>3000000</v>
      </c>
      <c r="H11" s="18">
        <v>3000000</v>
      </c>
      <c r="I11" s="18">
        <v>3000000</v>
      </c>
      <c r="J11" s="18">
        <v>3000000</v>
      </c>
      <c r="K11" s="15">
        <v>90015796</v>
      </c>
      <c r="L11" s="13" t="s">
        <v>102</v>
      </c>
      <c r="M11" s="13" t="s">
        <v>103</v>
      </c>
      <c r="N11" s="138" t="s">
        <v>282</v>
      </c>
      <c r="O11" s="138" t="s">
        <v>282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839</v>
      </c>
      <c r="V11" s="13" t="s">
        <v>839</v>
      </c>
      <c r="W11" s="59">
        <f>+J11/$W$2</f>
        <v>4.9098221821943575E-5</v>
      </c>
    </row>
    <row r="12" spans="1:29">
      <c r="A12" s="13" t="s">
        <v>537</v>
      </c>
      <c r="B12" s="13" t="s">
        <v>404</v>
      </c>
      <c r="C12" s="138">
        <v>46259</v>
      </c>
      <c r="D12" s="138" t="s">
        <v>424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4533</v>
      </c>
      <c r="L12" s="13" t="s">
        <v>102</v>
      </c>
      <c r="M12" s="13" t="s">
        <v>103</v>
      </c>
      <c r="N12" s="138" t="s">
        <v>339</v>
      </c>
      <c r="O12" s="138" t="s">
        <v>339</v>
      </c>
      <c r="P12" s="28">
        <v>24</v>
      </c>
      <c r="Q12" s="13" t="s">
        <v>54</v>
      </c>
      <c r="R12" s="13" t="s">
        <v>28</v>
      </c>
      <c r="S12" s="13"/>
      <c r="T12" s="13"/>
      <c r="U12" s="13" t="s">
        <v>1549</v>
      </c>
      <c r="V12" s="13" t="s">
        <v>1549</v>
      </c>
      <c r="W12" s="59">
        <f>+J12/$W$2</f>
        <v>1.6366073940647858E-4</v>
      </c>
    </row>
    <row r="13" spans="1:29">
      <c r="A13" s="13" t="s">
        <v>537</v>
      </c>
      <c r="B13" s="13" t="s">
        <v>404</v>
      </c>
      <c r="C13" s="138">
        <v>46259</v>
      </c>
      <c r="D13" s="138" t="s">
        <v>424</v>
      </c>
      <c r="E13" s="28">
        <v>1</v>
      </c>
      <c r="F13" s="13"/>
      <c r="G13" s="18">
        <v>40000000</v>
      </c>
      <c r="H13" s="18">
        <v>40000000</v>
      </c>
      <c r="I13" s="18">
        <v>40000000</v>
      </c>
      <c r="J13" s="18">
        <v>40000000</v>
      </c>
      <c r="K13" s="15">
        <v>80939847</v>
      </c>
      <c r="L13" s="13" t="s">
        <v>102</v>
      </c>
      <c r="M13" s="13" t="s">
        <v>103</v>
      </c>
      <c r="N13" s="138" t="s">
        <v>303</v>
      </c>
      <c r="O13" s="138" t="s">
        <v>303</v>
      </c>
      <c r="P13" s="28">
        <v>29</v>
      </c>
      <c r="Q13" s="13" t="s">
        <v>54</v>
      </c>
      <c r="R13" s="13" t="s">
        <v>28</v>
      </c>
      <c r="S13" s="13"/>
      <c r="T13" s="13"/>
      <c r="U13" s="13" t="s">
        <v>681</v>
      </c>
      <c r="V13" s="13" t="s">
        <v>681</v>
      </c>
      <c r="W13" s="59">
        <f>+J13/$W$2</f>
        <v>6.5464295762591431E-4</v>
      </c>
    </row>
    <row r="14" spans="1:29">
      <c r="A14" s="13" t="s">
        <v>1094</v>
      </c>
      <c r="B14" s="13" t="s">
        <v>404</v>
      </c>
      <c r="C14" s="138">
        <v>46259</v>
      </c>
      <c r="D14" s="138" t="s">
        <v>424</v>
      </c>
      <c r="E14" s="28">
        <v>1</v>
      </c>
      <c r="F14" s="13"/>
      <c r="G14" s="18">
        <v>21460269</v>
      </c>
      <c r="H14" s="18">
        <v>21460269</v>
      </c>
      <c r="I14" s="18">
        <v>21460269</v>
      </c>
      <c r="J14" s="18">
        <v>21460269</v>
      </c>
      <c r="K14" s="15">
        <v>90044530</v>
      </c>
      <c r="L14" s="13" t="s">
        <v>102</v>
      </c>
      <c r="M14" s="13" t="s">
        <v>103</v>
      </c>
      <c r="N14" s="138" t="s">
        <v>387</v>
      </c>
      <c r="O14" s="138" t="s">
        <v>387</v>
      </c>
      <c r="P14" s="28">
        <v>30</v>
      </c>
      <c r="Q14" s="13" t="s">
        <v>54</v>
      </c>
      <c r="R14" s="13" t="s">
        <v>28</v>
      </c>
      <c r="S14" s="13"/>
      <c r="T14" s="13"/>
      <c r="U14" s="13" t="s">
        <v>1706</v>
      </c>
      <c r="V14" s="13" t="s">
        <v>1706</v>
      </c>
      <c r="W14" s="59">
        <f>+J14/$W$2</f>
        <v>3.5122034924019304E-4</v>
      </c>
    </row>
    <row r="15" spans="1:29">
      <c r="A15" s="13" t="s">
        <v>285</v>
      </c>
      <c r="B15" s="13" t="s">
        <v>404</v>
      </c>
      <c r="C15" s="138">
        <v>46259</v>
      </c>
      <c r="D15" s="138" t="s">
        <v>424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2153</v>
      </c>
      <c r="L15" s="13" t="s">
        <v>102</v>
      </c>
      <c r="M15" s="13" t="s">
        <v>103</v>
      </c>
      <c r="N15" s="138" t="s">
        <v>331</v>
      </c>
      <c r="O15" s="138" t="s">
        <v>331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668</v>
      </c>
      <c r="V15" s="13" t="s">
        <v>668</v>
      </c>
      <c r="W15" s="59">
        <f>+J15/$W$2</f>
        <v>1.6366073940647858E-4</v>
      </c>
      <c r="AC15" s="56"/>
    </row>
    <row r="16" spans="1:29">
      <c r="A16" s="13" t="s">
        <v>285</v>
      </c>
      <c r="B16" s="13" t="s">
        <v>404</v>
      </c>
      <c r="C16" s="138">
        <v>46259</v>
      </c>
      <c r="D16" s="138" t="s">
        <v>424</v>
      </c>
      <c r="E16" s="28">
        <v>1</v>
      </c>
      <c r="F16" s="13"/>
      <c r="G16" s="18">
        <v>5500000</v>
      </c>
      <c r="H16" s="18">
        <v>5500000</v>
      </c>
      <c r="I16" s="18">
        <v>5500000</v>
      </c>
      <c r="J16" s="18">
        <v>5500000</v>
      </c>
      <c r="K16" s="15">
        <v>66554072</v>
      </c>
      <c r="L16" s="13" t="s">
        <v>102</v>
      </c>
      <c r="M16" s="13" t="s">
        <v>103</v>
      </c>
      <c r="N16" s="138" t="s">
        <v>155</v>
      </c>
      <c r="O16" s="138" t="s">
        <v>155</v>
      </c>
      <c r="P16" s="28">
        <v>29</v>
      </c>
      <c r="Q16" s="13" t="s">
        <v>54</v>
      </c>
      <c r="R16" s="13" t="s">
        <v>28</v>
      </c>
      <c r="S16" s="13"/>
      <c r="T16" s="13"/>
      <c r="U16" s="13" t="s">
        <v>673</v>
      </c>
      <c r="V16" s="13" t="s">
        <v>673</v>
      </c>
      <c r="W16" s="59">
        <f>+J16/$W$2</f>
        <v>9.0013406673563213E-5</v>
      </c>
    </row>
    <row r="17" spans="1:29">
      <c r="A17" s="13" t="s">
        <v>285</v>
      </c>
      <c r="B17" s="13" t="s">
        <v>404</v>
      </c>
      <c r="C17" s="138">
        <v>46259</v>
      </c>
      <c r="D17" s="138" t="s">
        <v>424</v>
      </c>
      <c r="E17" s="28">
        <v>1</v>
      </c>
      <c r="F17" s="13"/>
      <c r="G17" s="18">
        <v>12500000</v>
      </c>
      <c r="H17" s="18">
        <v>12500000</v>
      </c>
      <c r="I17" s="18">
        <v>12500000</v>
      </c>
      <c r="J17" s="18">
        <v>12500000</v>
      </c>
      <c r="K17" s="15">
        <v>4956</v>
      </c>
      <c r="L17" s="13" t="s">
        <v>102</v>
      </c>
      <c r="M17" s="13" t="s">
        <v>103</v>
      </c>
      <c r="N17" s="138" t="s">
        <v>313</v>
      </c>
      <c r="O17" s="138" t="s">
        <v>313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638</v>
      </c>
      <c r="V17" s="13" t="s">
        <v>638</v>
      </c>
      <c r="W17" s="59">
        <f>+J17/$W$2</f>
        <v>2.0457592425809822E-4</v>
      </c>
    </row>
    <row r="18" spans="1:29">
      <c r="A18" s="13" t="s">
        <v>285</v>
      </c>
      <c r="B18" s="13" t="s">
        <v>404</v>
      </c>
      <c r="C18" s="138">
        <v>46259</v>
      </c>
      <c r="D18" s="138" t="s">
        <v>424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66412351</v>
      </c>
      <c r="L18" s="13" t="s">
        <v>102</v>
      </c>
      <c r="M18" s="13" t="s">
        <v>103</v>
      </c>
      <c r="N18" s="138" t="s">
        <v>289</v>
      </c>
      <c r="O18" s="138" t="s">
        <v>289</v>
      </c>
      <c r="P18" s="28">
        <v>29</v>
      </c>
      <c r="Q18" s="13" t="s">
        <v>54</v>
      </c>
      <c r="R18" s="13" t="s">
        <v>28</v>
      </c>
      <c r="S18" s="13"/>
      <c r="T18" s="13"/>
      <c r="U18" s="13" t="s">
        <v>614</v>
      </c>
      <c r="V18" s="13" t="s">
        <v>614</v>
      </c>
      <c r="W18" s="59">
        <f>+J18/$W$2</f>
        <v>1.6366073940647858E-4</v>
      </c>
      <c r="AC18" s="56"/>
    </row>
    <row r="19" spans="1:29">
      <c r="A19" s="13" t="s">
        <v>178</v>
      </c>
      <c r="B19" s="13" t="s">
        <v>404</v>
      </c>
      <c r="C19" s="138">
        <v>46259</v>
      </c>
      <c r="D19" s="138" t="s">
        <v>424</v>
      </c>
      <c r="E19" s="28">
        <v>1</v>
      </c>
      <c r="F19" s="13"/>
      <c r="G19" s="18">
        <v>2500000</v>
      </c>
      <c r="H19" s="18">
        <v>2500000</v>
      </c>
      <c r="I19" s="18">
        <v>2500000</v>
      </c>
      <c r="J19" s="18">
        <v>2500000</v>
      </c>
      <c r="K19" s="15">
        <v>6136</v>
      </c>
      <c r="L19" s="13" t="s">
        <v>102</v>
      </c>
      <c r="M19" s="13" t="s">
        <v>103</v>
      </c>
      <c r="N19" s="138" t="s">
        <v>282</v>
      </c>
      <c r="O19" s="138" t="s">
        <v>282</v>
      </c>
      <c r="P19" s="28">
        <v>20</v>
      </c>
      <c r="Q19" s="13" t="s">
        <v>54</v>
      </c>
      <c r="R19" s="13" t="s">
        <v>28</v>
      </c>
      <c r="S19" s="13"/>
      <c r="T19" s="13"/>
      <c r="U19" s="13" t="s">
        <v>828</v>
      </c>
      <c r="V19" s="13" t="s">
        <v>828</v>
      </c>
      <c r="W19" s="59">
        <f>+J19/$W$2</f>
        <v>4.0915184851619645E-5</v>
      </c>
    </row>
    <row r="20" spans="1:29">
      <c r="A20" s="13" t="s">
        <v>565</v>
      </c>
      <c r="B20" s="13" t="s">
        <v>404</v>
      </c>
      <c r="C20" s="138">
        <v>46259</v>
      </c>
      <c r="D20" s="138" t="s">
        <v>424</v>
      </c>
      <c r="E20" s="28">
        <v>1</v>
      </c>
      <c r="F20" s="13"/>
      <c r="G20" s="18">
        <v>34261895.340000004</v>
      </c>
      <c r="H20" s="18">
        <v>34261895.340000004</v>
      </c>
      <c r="I20" s="18">
        <v>34261895.340000004</v>
      </c>
      <c r="J20" s="18">
        <v>34261895.340000004</v>
      </c>
      <c r="K20" s="15">
        <v>76337349</v>
      </c>
      <c r="L20" s="13" t="s">
        <v>102</v>
      </c>
      <c r="M20" s="13" t="s">
        <v>103</v>
      </c>
      <c r="N20" s="138" t="s">
        <v>601</v>
      </c>
      <c r="O20" s="138" t="s">
        <v>601</v>
      </c>
      <c r="P20" s="28">
        <v>24</v>
      </c>
      <c r="Q20" s="13" t="s">
        <v>54</v>
      </c>
      <c r="R20" s="13" t="s">
        <v>28</v>
      </c>
      <c r="S20" s="13"/>
      <c r="T20" s="13"/>
      <c r="U20" s="13" t="s">
        <v>1336</v>
      </c>
      <c r="V20" s="13" t="s">
        <v>1336</v>
      </c>
      <c r="W20" s="59">
        <f>+J20/$W$2</f>
        <v>5.6073271248117831E-4</v>
      </c>
    </row>
    <row r="21" spans="1:29">
      <c r="A21" s="13" t="s">
        <v>565</v>
      </c>
      <c r="B21" s="13" t="s">
        <v>404</v>
      </c>
      <c r="C21" s="138">
        <v>46259</v>
      </c>
      <c r="D21" s="138" t="s">
        <v>424</v>
      </c>
      <c r="E21" s="28">
        <v>1</v>
      </c>
      <c r="F21" s="13"/>
      <c r="G21" s="18">
        <v>3000000</v>
      </c>
      <c r="H21" s="18">
        <v>3000000</v>
      </c>
      <c r="I21" s="18">
        <v>3000000</v>
      </c>
      <c r="J21" s="18">
        <v>3000000</v>
      </c>
      <c r="K21" s="15">
        <v>16821010</v>
      </c>
      <c r="L21" s="13" t="s">
        <v>102</v>
      </c>
      <c r="M21" s="13" t="s">
        <v>103</v>
      </c>
      <c r="N21" s="138" t="s">
        <v>339</v>
      </c>
      <c r="O21" s="138" t="s">
        <v>339</v>
      </c>
      <c r="P21" s="28">
        <v>24</v>
      </c>
      <c r="Q21" s="13" t="s">
        <v>54</v>
      </c>
      <c r="R21" s="13" t="s">
        <v>28</v>
      </c>
      <c r="S21" s="13"/>
      <c r="T21" s="13"/>
      <c r="U21" s="13" t="s">
        <v>1575</v>
      </c>
      <c r="V21" s="13" t="s">
        <v>1575</v>
      </c>
      <c r="W21" s="59">
        <f>+J21/$W$2</f>
        <v>4.9098221821943575E-5</v>
      </c>
    </row>
    <row r="22" spans="1:29">
      <c r="A22" s="13" t="s">
        <v>565</v>
      </c>
      <c r="B22" s="13" t="s">
        <v>404</v>
      </c>
      <c r="C22" s="138">
        <v>46259</v>
      </c>
      <c r="D22" s="138" t="s">
        <v>424</v>
      </c>
      <c r="E22" s="28">
        <v>1</v>
      </c>
      <c r="F22" s="13"/>
      <c r="G22" s="18">
        <v>6875000</v>
      </c>
      <c r="H22" s="18">
        <v>6875000</v>
      </c>
      <c r="I22" s="18">
        <v>6875000</v>
      </c>
      <c r="J22" s="18">
        <v>6875000</v>
      </c>
      <c r="K22" s="15">
        <v>50454432</v>
      </c>
      <c r="L22" s="13" t="s">
        <v>102</v>
      </c>
      <c r="M22" s="13" t="s">
        <v>103</v>
      </c>
      <c r="N22" s="138" t="s">
        <v>339</v>
      </c>
      <c r="O22" s="138" t="s">
        <v>339</v>
      </c>
      <c r="P22" s="28">
        <v>24</v>
      </c>
      <c r="Q22" s="13" t="s">
        <v>54</v>
      </c>
      <c r="R22" s="13" t="s">
        <v>28</v>
      </c>
      <c r="S22" s="13"/>
      <c r="T22" s="13"/>
      <c r="U22" s="13" t="s">
        <v>1558</v>
      </c>
      <c r="V22" s="13" t="s">
        <v>1558</v>
      </c>
      <c r="W22" s="59">
        <f>+J22/$W$2</f>
        <v>1.1251675834195402E-4</v>
      </c>
    </row>
    <row r="23" spans="1:29">
      <c r="A23" s="13" t="s">
        <v>466</v>
      </c>
      <c r="B23" s="13" t="s">
        <v>404</v>
      </c>
      <c r="C23" s="138">
        <v>46259</v>
      </c>
      <c r="D23" s="138" t="s">
        <v>424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360532</v>
      </c>
      <c r="L23" s="13" t="s">
        <v>102</v>
      </c>
      <c r="M23" s="13" t="s">
        <v>103</v>
      </c>
      <c r="N23" s="138" t="s">
        <v>308</v>
      </c>
      <c r="O23" s="138" t="s">
        <v>308</v>
      </c>
      <c r="P23" s="28">
        <v>28</v>
      </c>
      <c r="Q23" s="13" t="s">
        <v>54</v>
      </c>
      <c r="R23" s="13" t="s">
        <v>28</v>
      </c>
      <c r="S23" s="13"/>
      <c r="T23" s="13"/>
      <c r="U23" s="13" t="s">
        <v>556</v>
      </c>
      <c r="V23" s="13" t="s">
        <v>556</v>
      </c>
      <c r="W23" s="59">
        <f>+J23/$W$2</f>
        <v>1.6366073940647858E-4</v>
      </c>
    </row>
    <row r="24" spans="1:29">
      <c r="A24" s="13" t="s">
        <v>285</v>
      </c>
      <c r="B24" s="13" t="s">
        <v>404</v>
      </c>
      <c r="C24" s="138">
        <v>46259</v>
      </c>
      <c r="D24" s="138" t="s">
        <v>424</v>
      </c>
      <c r="E24" s="28">
        <v>1</v>
      </c>
      <c r="F24" s="13"/>
      <c r="G24" s="18">
        <v>40000000</v>
      </c>
      <c r="H24" s="18">
        <v>40000000</v>
      </c>
      <c r="I24" s="18">
        <v>40000000</v>
      </c>
      <c r="J24" s="18">
        <v>40000000</v>
      </c>
      <c r="K24" s="15">
        <v>1479</v>
      </c>
      <c r="L24" s="13" t="s">
        <v>102</v>
      </c>
      <c r="M24" s="13" t="s">
        <v>103</v>
      </c>
      <c r="N24" s="138" t="s">
        <v>420</v>
      </c>
      <c r="O24" s="138" t="s">
        <v>420</v>
      </c>
      <c r="P24" s="28">
        <v>26</v>
      </c>
      <c r="Q24" s="13" t="s">
        <v>54</v>
      </c>
      <c r="R24" s="13" t="s">
        <v>28</v>
      </c>
      <c r="S24" s="13"/>
      <c r="T24" s="13"/>
      <c r="U24" s="13" t="s">
        <v>1295</v>
      </c>
      <c r="V24" s="13" t="s">
        <v>1295</v>
      </c>
      <c r="W24" s="59">
        <f>+J24/$W$2</f>
        <v>6.5464295762591431E-4</v>
      </c>
    </row>
    <row r="25" spans="1:29">
      <c r="A25" s="13" t="s">
        <v>196</v>
      </c>
      <c r="B25" s="13" t="s">
        <v>404</v>
      </c>
      <c r="C25" s="138">
        <v>46259</v>
      </c>
      <c r="D25" s="138" t="s">
        <v>424</v>
      </c>
      <c r="E25" s="28">
        <v>1</v>
      </c>
      <c r="F25" s="13"/>
      <c r="G25" s="18">
        <v>15000000</v>
      </c>
      <c r="H25" s="18">
        <v>15000000</v>
      </c>
      <c r="I25" s="18">
        <v>15000000</v>
      </c>
      <c r="J25" s="18">
        <v>15000000</v>
      </c>
      <c r="K25" s="15">
        <v>16806006</v>
      </c>
      <c r="L25" s="13" t="s">
        <v>102</v>
      </c>
      <c r="M25" s="13" t="s">
        <v>103</v>
      </c>
      <c r="N25" s="138" t="s">
        <v>382</v>
      </c>
      <c r="O25" s="138" t="s">
        <v>382</v>
      </c>
      <c r="P25" s="28">
        <v>38</v>
      </c>
      <c r="Q25" s="13" t="s">
        <v>54</v>
      </c>
      <c r="R25" s="13" t="s">
        <v>28</v>
      </c>
      <c r="S25" s="13"/>
      <c r="T25" s="13"/>
      <c r="U25" s="13" t="s">
        <v>1118</v>
      </c>
      <c r="V25" s="13" t="s">
        <v>1118</v>
      </c>
      <c r="W25" s="59">
        <f>+J25/$W$2</f>
        <v>2.4549110910971787E-4</v>
      </c>
      <c r="AC25" s="56"/>
    </row>
    <row r="26" spans="1:29">
      <c r="A26" s="13" t="s">
        <v>427</v>
      </c>
      <c r="B26" s="13" t="s">
        <v>404</v>
      </c>
      <c r="C26" s="138">
        <v>46259</v>
      </c>
      <c r="D26" s="138" t="s">
        <v>424</v>
      </c>
      <c r="E26" s="28">
        <v>1</v>
      </c>
      <c r="F26" s="13"/>
      <c r="G26" s="18">
        <v>50000000</v>
      </c>
      <c r="H26" s="18">
        <v>50000000</v>
      </c>
      <c r="I26" s="18">
        <v>50000000</v>
      </c>
      <c r="J26" s="18">
        <v>50000000</v>
      </c>
      <c r="K26" s="15">
        <v>2992</v>
      </c>
      <c r="L26" s="13" t="s">
        <v>102</v>
      </c>
      <c r="M26" s="13" t="s">
        <v>103</v>
      </c>
      <c r="N26" s="138" t="s">
        <v>355</v>
      </c>
      <c r="O26" s="138" t="s">
        <v>355</v>
      </c>
      <c r="P26" s="28">
        <v>35</v>
      </c>
      <c r="Q26" s="13" t="s">
        <v>54</v>
      </c>
      <c r="R26" s="13" t="s">
        <v>28</v>
      </c>
      <c r="S26" s="13"/>
      <c r="T26" s="13"/>
      <c r="U26" s="13" t="s">
        <v>1186</v>
      </c>
      <c r="V26" s="13" t="s">
        <v>1186</v>
      </c>
      <c r="W26" s="59">
        <f>+J26/$W$2</f>
        <v>8.1830369703239289E-4</v>
      </c>
    </row>
    <row r="27" spans="1:29">
      <c r="A27" s="13" t="s">
        <v>307</v>
      </c>
      <c r="B27" s="13" t="s">
        <v>404</v>
      </c>
      <c r="C27" s="138">
        <v>46259</v>
      </c>
      <c r="D27" s="138" t="s">
        <v>424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161</v>
      </c>
      <c r="L27" s="13" t="s">
        <v>102</v>
      </c>
      <c r="M27" s="13" t="s">
        <v>103</v>
      </c>
      <c r="N27" s="138" t="s">
        <v>352</v>
      </c>
      <c r="O27" s="138" t="s">
        <v>352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632</v>
      </c>
      <c r="V27" s="13" t="s">
        <v>632</v>
      </c>
      <c r="W27" s="59">
        <f>+J27/$W$2</f>
        <v>1.6366073940647858E-4</v>
      </c>
    </row>
    <row r="28" spans="1:29">
      <c r="A28" s="13" t="s">
        <v>144</v>
      </c>
      <c r="B28" s="13" t="s">
        <v>404</v>
      </c>
      <c r="C28" s="138">
        <v>46259</v>
      </c>
      <c r="D28" s="138" t="s">
        <v>424</v>
      </c>
      <c r="E28" s="28">
        <v>1</v>
      </c>
      <c r="F28" s="13"/>
      <c r="G28" s="18">
        <v>15000000</v>
      </c>
      <c r="H28" s="18">
        <v>15000000</v>
      </c>
      <c r="I28" s="18">
        <v>15000000</v>
      </c>
      <c r="J28" s="18">
        <v>15000000</v>
      </c>
      <c r="K28" s="15">
        <v>4267</v>
      </c>
      <c r="L28" s="13" t="s">
        <v>102</v>
      </c>
      <c r="M28" s="13" t="s">
        <v>103</v>
      </c>
      <c r="N28" s="138" t="s">
        <v>412</v>
      </c>
      <c r="O28" s="138" t="s">
        <v>412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983</v>
      </c>
      <c r="V28" s="13" t="s">
        <v>983</v>
      </c>
      <c r="W28" s="59">
        <f>+J28/$W$2</f>
        <v>2.4549110910971787E-4</v>
      </c>
    </row>
    <row r="29" spans="1:29">
      <c r="A29" s="13" t="s">
        <v>917</v>
      </c>
      <c r="B29" s="13" t="s">
        <v>404</v>
      </c>
      <c r="C29" s="138">
        <v>46259</v>
      </c>
      <c r="D29" s="138" t="s">
        <v>424</v>
      </c>
      <c r="E29" s="28">
        <v>1</v>
      </c>
      <c r="F29" s="13"/>
      <c r="G29" s="18">
        <v>2200000</v>
      </c>
      <c r="H29" s="18">
        <v>2200000</v>
      </c>
      <c r="I29" s="18">
        <v>2200000</v>
      </c>
      <c r="J29" s="18">
        <v>2200000</v>
      </c>
      <c r="K29" s="15">
        <v>6194</v>
      </c>
      <c r="L29" s="13" t="s">
        <v>102</v>
      </c>
      <c r="M29" s="13" t="s">
        <v>103</v>
      </c>
      <c r="N29" s="138" t="s">
        <v>311</v>
      </c>
      <c r="O29" s="138" t="s">
        <v>311</v>
      </c>
      <c r="P29" s="28">
        <v>33</v>
      </c>
      <c r="Q29" s="13" t="s">
        <v>54</v>
      </c>
      <c r="R29" s="13" t="s">
        <v>28</v>
      </c>
      <c r="S29" s="13"/>
      <c r="T29" s="13"/>
      <c r="U29" s="13" t="s">
        <v>915</v>
      </c>
      <c r="V29" s="13" t="s">
        <v>915</v>
      </c>
      <c r="W29" s="59">
        <f>+J29/$W$2</f>
        <v>3.6005362669425285E-5</v>
      </c>
    </row>
    <row r="30" spans="1:29">
      <c r="A30" s="13" t="s">
        <v>279</v>
      </c>
      <c r="B30" s="13" t="s">
        <v>404</v>
      </c>
      <c r="C30" s="138">
        <v>46259</v>
      </c>
      <c r="D30" s="138" t="s">
        <v>424</v>
      </c>
      <c r="E30" s="28">
        <v>1</v>
      </c>
      <c r="F30" s="13"/>
      <c r="G30" s="18">
        <v>50000000</v>
      </c>
      <c r="H30" s="18">
        <v>50000000</v>
      </c>
      <c r="I30" s="18">
        <v>50000000</v>
      </c>
      <c r="J30" s="18">
        <v>50000000</v>
      </c>
      <c r="K30" s="15">
        <v>29007567</v>
      </c>
      <c r="L30" s="13" t="s">
        <v>102</v>
      </c>
      <c r="M30" s="13" t="s">
        <v>103</v>
      </c>
      <c r="N30" s="138" t="s">
        <v>149</v>
      </c>
      <c r="O30" s="138" t="s">
        <v>149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423</v>
      </c>
      <c r="V30" s="13" t="s">
        <v>423</v>
      </c>
      <c r="W30" s="59">
        <f>+J30/$W$2</f>
        <v>8.1830369703239289E-4</v>
      </c>
    </row>
    <row r="31" spans="1:29">
      <c r="A31" s="13" t="s">
        <v>2028</v>
      </c>
      <c r="B31" s="13" t="s">
        <v>404</v>
      </c>
      <c r="C31" s="138">
        <v>46259</v>
      </c>
      <c r="D31" s="138" t="s">
        <v>424</v>
      </c>
      <c r="E31" s="28">
        <v>1</v>
      </c>
      <c r="F31" s="13"/>
      <c r="G31" s="18">
        <v>397611.15</v>
      </c>
      <c r="H31" s="18">
        <v>397611.15</v>
      </c>
      <c r="I31" s="18">
        <v>397611.15</v>
      </c>
      <c r="J31" s="18">
        <v>397611.15</v>
      </c>
      <c r="K31" s="15">
        <v>2366</v>
      </c>
      <c r="L31" s="13" t="s">
        <v>102</v>
      </c>
      <c r="M31" s="13" t="s">
        <v>103</v>
      </c>
      <c r="N31" s="138" t="s">
        <v>173</v>
      </c>
      <c r="O31" s="138" t="s">
        <v>173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2012</v>
      </c>
      <c r="V31" s="13" t="s">
        <v>2012</v>
      </c>
      <c r="W31" s="59">
        <f>+J31/$W$2</f>
        <v>6.5073334805260268E-6</v>
      </c>
    </row>
    <row r="32" spans="1:29">
      <c r="A32" s="13" t="s">
        <v>2029</v>
      </c>
      <c r="B32" s="13" t="s">
        <v>404</v>
      </c>
      <c r="C32" s="138">
        <v>46259</v>
      </c>
      <c r="D32" s="138" t="s">
        <v>424</v>
      </c>
      <c r="E32" s="28">
        <v>1</v>
      </c>
      <c r="F32" s="13"/>
      <c r="G32" s="18">
        <v>4500000</v>
      </c>
      <c r="H32" s="18">
        <v>4500000</v>
      </c>
      <c r="I32" s="18">
        <v>4500000</v>
      </c>
      <c r="J32" s="18">
        <v>4500000</v>
      </c>
      <c r="K32" s="15">
        <v>2</v>
      </c>
      <c r="L32" s="13" t="s">
        <v>102</v>
      </c>
      <c r="M32" s="13" t="s">
        <v>103</v>
      </c>
      <c r="N32" s="138" t="s">
        <v>173</v>
      </c>
      <c r="O32" s="138" t="s">
        <v>173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2013</v>
      </c>
      <c r="V32" s="13" t="s">
        <v>2013</v>
      </c>
      <c r="W32" s="59">
        <f>+J32/$W$2</f>
        <v>7.3647332732915352E-5</v>
      </c>
      <c r="AC32" s="56"/>
    </row>
    <row r="33" spans="1:23">
      <c r="A33" s="13" t="s">
        <v>2319</v>
      </c>
      <c r="B33" s="13" t="s">
        <v>404</v>
      </c>
      <c r="C33" s="138">
        <v>46259</v>
      </c>
      <c r="D33" s="138" t="s">
        <v>424</v>
      </c>
      <c r="E33" s="28">
        <v>1</v>
      </c>
      <c r="F33" s="13"/>
      <c r="G33" s="18">
        <v>4288857.18</v>
      </c>
      <c r="H33" s="18">
        <v>4288857.18</v>
      </c>
      <c r="I33" s="18">
        <v>4288857.18</v>
      </c>
      <c r="J33" s="18">
        <v>4288857.18</v>
      </c>
      <c r="K33" s="15">
        <v>86709</v>
      </c>
      <c r="L33" s="13" t="s">
        <v>102</v>
      </c>
      <c r="M33" s="13" t="s">
        <v>103</v>
      </c>
      <c r="N33" s="138" t="s">
        <v>441</v>
      </c>
      <c r="O33" s="138" t="s">
        <v>441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2291</v>
      </c>
      <c r="V33" s="13" t="s">
        <v>2291</v>
      </c>
      <c r="W33" s="59">
        <f>+J33/$W$2</f>
        <v>7.0191753728758449E-5</v>
      </c>
    </row>
    <row r="34" spans="1:23">
      <c r="A34" s="13" t="s">
        <v>2320</v>
      </c>
      <c r="B34" s="13" t="s">
        <v>404</v>
      </c>
      <c r="C34" s="138">
        <v>46259</v>
      </c>
      <c r="D34" s="138" t="s">
        <v>424</v>
      </c>
      <c r="E34" s="28">
        <v>1</v>
      </c>
      <c r="F34" s="13"/>
      <c r="G34" s="18">
        <v>4000000</v>
      </c>
      <c r="H34" s="18">
        <v>4000000</v>
      </c>
      <c r="I34" s="18">
        <v>4000000</v>
      </c>
      <c r="J34" s="18">
        <v>4000000</v>
      </c>
      <c r="K34" s="15">
        <v>366271</v>
      </c>
      <c r="L34" s="13" t="s">
        <v>102</v>
      </c>
      <c r="M34" s="13" t="s">
        <v>103</v>
      </c>
      <c r="N34" s="138" t="s">
        <v>441</v>
      </c>
      <c r="O34" s="138" t="s">
        <v>441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2292</v>
      </c>
      <c r="V34" s="13" t="s">
        <v>2292</v>
      </c>
      <c r="W34" s="59">
        <f>+J34/$W$2</f>
        <v>6.5464295762591429E-5</v>
      </c>
    </row>
    <row r="35" spans="1:23">
      <c r="A35" s="13" t="s">
        <v>960</v>
      </c>
      <c r="B35" s="13" t="s">
        <v>404</v>
      </c>
      <c r="C35" s="138">
        <v>46259</v>
      </c>
      <c r="D35" s="138" t="s">
        <v>424</v>
      </c>
      <c r="E35" s="28">
        <v>1</v>
      </c>
      <c r="F35" s="13"/>
      <c r="G35" s="18">
        <v>1000000</v>
      </c>
      <c r="H35" s="18">
        <v>1000000</v>
      </c>
      <c r="I35" s="18">
        <v>1000000</v>
      </c>
      <c r="J35" s="18">
        <v>1000000</v>
      </c>
      <c r="K35" s="15">
        <v>67277769</v>
      </c>
      <c r="L35" s="13" t="s">
        <v>102</v>
      </c>
      <c r="M35" s="13" t="s">
        <v>103</v>
      </c>
      <c r="N35" s="138" t="s">
        <v>330</v>
      </c>
      <c r="O35" s="138" t="s">
        <v>330</v>
      </c>
      <c r="P35" s="28">
        <v>32</v>
      </c>
      <c r="Q35" s="13" t="s">
        <v>54</v>
      </c>
      <c r="R35" s="13" t="s">
        <v>28</v>
      </c>
      <c r="S35" s="13"/>
      <c r="T35" s="13"/>
      <c r="U35" s="13" t="s">
        <v>963</v>
      </c>
      <c r="V35" s="13" t="s">
        <v>963</v>
      </c>
      <c r="W35" s="59">
        <f>+J35/$W$2</f>
        <v>1.6366073940647857E-5</v>
      </c>
    </row>
    <row r="36" spans="1:23">
      <c r="A36" s="13" t="s">
        <v>1028</v>
      </c>
      <c r="B36" s="13" t="s">
        <v>404</v>
      </c>
      <c r="C36" s="138">
        <v>46259</v>
      </c>
      <c r="D36" s="138" t="s">
        <v>424</v>
      </c>
      <c r="E36" s="28">
        <v>1</v>
      </c>
      <c r="F36" s="13"/>
      <c r="G36" s="18">
        <v>3533450.77</v>
      </c>
      <c r="H36" s="18">
        <v>3533450.77</v>
      </c>
      <c r="I36" s="18">
        <v>3533450.77</v>
      </c>
      <c r="J36" s="18">
        <v>3533450.77</v>
      </c>
      <c r="K36" s="15">
        <v>9755703</v>
      </c>
      <c r="L36" s="13" t="s">
        <v>102</v>
      </c>
      <c r="M36" s="13" t="s">
        <v>103</v>
      </c>
      <c r="N36" s="138" t="s">
        <v>344</v>
      </c>
      <c r="O36" s="138" t="s">
        <v>344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1029</v>
      </c>
      <c r="V36" s="13" t="s">
        <v>1029</v>
      </c>
      <c r="W36" s="59">
        <f>+J36/$W$2</f>
        <v>5.7828716567459106E-5</v>
      </c>
    </row>
    <row r="37" spans="1:23">
      <c r="A37" s="13" t="s">
        <v>1469</v>
      </c>
      <c r="B37" s="13" t="s">
        <v>404</v>
      </c>
      <c r="C37" s="138">
        <v>46259</v>
      </c>
      <c r="D37" s="138" t="s">
        <v>424</v>
      </c>
      <c r="E37" s="28">
        <v>1</v>
      </c>
      <c r="F37" s="13"/>
      <c r="G37" s="18">
        <v>5519685.5800000001</v>
      </c>
      <c r="H37" s="18">
        <v>5519685.5800000001</v>
      </c>
      <c r="I37" s="18">
        <v>5519685.5800000001</v>
      </c>
      <c r="J37" s="18">
        <v>5519685.5800000001</v>
      </c>
      <c r="K37" s="15">
        <v>9910339</v>
      </c>
      <c r="L37" s="13" t="s">
        <v>102</v>
      </c>
      <c r="M37" s="13" t="s">
        <v>103</v>
      </c>
      <c r="N37" s="138" t="s">
        <v>343</v>
      </c>
      <c r="O37" s="138" t="s">
        <v>343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1470</v>
      </c>
      <c r="V37" s="13" t="s">
        <v>1470</v>
      </c>
      <c r="W37" s="59">
        <f>+J37/$W$2</f>
        <v>9.0335582331407753E-5</v>
      </c>
    </row>
    <row r="38" spans="1:23">
      <c r="A38" s="13" t="s">
        <v>916</v>
      </c>
      <c r="B38" s="13" t="s">
        <v>404</v>
      </c>
      <c r="C38" s="138">
        <v>46260</v>
      </c>
      <c r="D38" s="138" t="s">
        <v>424</v>
      </c>
      <c r="E38" s="28">
        <v>0.99920611000000004</v>
      </c>
      <c r="F38" s="13"/>
      <c r="G38" s="18">
        <v>200000000</v>
      </c>
      <c r="H38" s="18">
        <v>199841222.72</v>
      </c>
      <c r="I38" s="18">
        <v>200000000</v>
      </c>
      <c r="J38" s="18">
        <v>199841222.72</v>
      </c>
      <c r="K38" s="15">
        <v>90003856</v>
      </c>
      <c r="L38" s="13" t="s">
        <v>102</v>
      </c>
      <c r="M38" s="13" t="s">
        <v>103</v>
      </c>
      <c r="N38" s="138" t="s">
        <v>411</v>
      </c>
      <c r="O38" s="138" t="s">
        <v>411</v>
      </c>
      <c r="P38" s="28">
        <v>29</v>
      </c>
      <c r="Q38" s="13" t="s">
        <v>54</v>
      </c>
      <c r="R38" s="13" t="s">
        <v>28</v>
      </c>
      <c r="S38" s="13"/>
      <c r="T38" s="13"/>
      <c r="U38" s="13" t="s">
        <v>1093</v>
      </c>
      <c r="V38" s="13" t="s">
        <v>1093</v>
      </c>
      <c r="W38" s="59">
        <f>+J38/$W$2</f>
        <v>3.2706162274249964E-3</v>
      </c>
    </row>
    <row r="39" spans="1:23">
      <c r="A39" s="13" t="s">
        <v>323</v>
      </c>
      <c r="B39" s="13" t="s">
        <v>404</v>
      </c>
      <c r="C39" s="138">
        <v>46260</v>
      </c>
      <c r="D39" s="138" t="s">
        <v>424</v>
      </c>
      <c r="E39" s="28">
        <v>0.99909671</v>
      </c>
      <c r="F39" s="13"/>
      <c r="G39" s="18">
        <v>100000000</v>
      </c>
      <c r="H39" s="18">
        <v>99909671.370000005</v>
      </c>
      <c r="I39" s="18">
        <v>100000000</v>
      </c>
      <c r="J39" s="18">
        <v>99909671.370000005</v>
      </c>
      <c r="K39" s="15">
        <v>16836839</v>
      </c>
      <c r="L39" s="13" t="s">
        <v>102</v>
      </c>
      <c r="M39" s="13" t="s">
        <v>103</v>
      </c>
      <c r="N39" s="138" t="s">
        <v>481</v>
      </c>
      <c r="O39" s="138" t="s">
        <v>481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1774</v>
      </c>
      <c r="V39" s="13" t="s">
        <v>1774</v>
      </c>
      <c r="W39" s="59">
        <f>+J39/$W$2</f>
        <v>1.6351290690272485E-3</v>
      </c>
    </row>
    <row r="40" spans="1:23">
      <c r="A40" s="13" t="s">
        <v>523</v>
      </c>
      <c r="B40" s="13" t="s">
        <v>404</v>
      </c>
      <c r="C40" s="138">
        <v>46260</v>
      </c>
      <c r="D40" s="138" t="s">
        <v>424</v>
      </c>
      <c r="E40" s="28">
        <v>0.99912405999999998</v>
      </c>
      <c r="F40" s="13"/>
      <c r="G40" s="18">
        <v>15000000</v>
      </c>
      <c r="H40" s="18">
        <v>14986860.84</v>
      </c>
      <c r="I40" s="18">
        <v>15000000</v>
      </c>
      <c r="J40" s="18">
        <v>14986860.84</v>
      </c>
      <c r="K40" s="15">
        <v>177</v>
      </c>
      <c r="L40" s="13" t="s">
        <v>102</v>
      </c>
      <c r="M40" s="13" t="s">
        <v>103</v>
      </c>
      <c r="N40" s="138" t="s">
        <v>316</v>
      </c>
      <c r="O40" s="138" t="s">
        <v>316</v>
      </c>
      <c r="P40" s="28">
        <v>32</v>
      </c>
      <c r="Q40" s="13" t="s">
        <v>54</v>
      </c>
      <c r="R40" s="13" t="s">
        <v>28</v>
      </c>
      <c r="S40" s="13"/>
      <c r="T40" s="13"/>
      <c r="U40" s="13" t="s">
        <v>479</v>
      </c>
      <c r="V40" s="13" t="s">
        <v>479</v>
      </c>
      <c r="W40" s="59">
        <f>+J40/$W$2</f>
        <v>2.4527607264563983E-4</v>
      </c>
    </row>
    <row r="41" spans="1:23">
      <c r="A41" s="13" t="s">
        <v>518</v>
      </c>
      <c r="B41" s="13" t="s">
        <v>404</v>
      </c>
      <c r="C41" s="138">
        <v>46260</v>
      </c>
      <c r="D41" s="138" t="s">
        <v>424</v>
      </c>
      <c r="E41" s="28">
        <v>0.99895999000000002</v>
      </c>
      <c r="F41" s="13"/>
      <c r="G41" s="18">
        <v>4500000</v>
      </c>
      <c r="H41" s="18">
        <v>4495319.95</v>
      </c>
      <c r="I41" s="18">
        <v>4500000</v>
      </c>
      <c r="J41" s="18">
        <v>4495319.95</v>
      </c>
      <c r="K41" s="15">
        <v>555</v>
      </c>
      <c r="L41" s="13" t="s">
        <v>102</v>
      </c>
      <c r="M41" s="13" t="s">
        <v>103</v>
      </c>
      <c r="N41" s="138" t="s">
        <v>289</v>
      </c>
      <c r="O41" s="138" t="s">
        <v>289</v>
      </c>
      <c r="P41" s="28">
        <v>38</v>
      </c>
      <c r="Q41" s="13" t="s">
        <v>54</v>
      </c>
      <c r="R41" s="13" t="s">
        <v>28</v>
      </c>
      <c r="S41" s="13"/>
      <c r="T41" s="13"/>
      <c r="U41" s="13" t="s">
        <v>617</v>
      </c>
      <c r="V41" s="13" t="s">
        <v>617</v>
      </c>
      <c r="W41" s="59">
        <f>+J41/$W$2</f>
        <v>7.3570738688569435E-5</v>
      </c>
    </row>
    <row r="42" spans="1:23">
      <c r="A42" s="13" t="s">
        <v>520</v>
      </c>
      <c r="B42" s="13" t="s">
        <v>404</v>
      </c>
      <c r="C42" s="138">
        <v>46260</v>
      </c>
      <c r="D42" s="138" t="s">
        <v>424</v>
      </c>
      <c r="E42" s="28">
        <v>0.99895999000000002</v>
      </c>
      <c r="F42" s="13"/>
      <c r="G42" s="18">
        <v>2398145.2000000002</v>
      </c>
      <c r="H42" s="18">
        <v>2395651.1</v>
      </c>
      <c r="I42" s="18">
        <v>2398145.2000000002</v>
      </c>
      <c r="J42" s="18">
        <v>2395651.1</v>
      </c>
      <c r="K42" s="15">
        <v>13270645</v>
      </c>
      <c r="L42" s="13" t="s">
        <v>102</v>
      </c>
      <c r="M42" s="13" t="s">
        <v>103</v>
      </c>
      <c r="N42" s="138" t="s">
        <v>313</v>
      </c>
      <c r="O42" s="138" t="s">
        <v>313</v>
      </c>
      <c r="P42" s="28">
        <v>38</v>
      </c>
      <c r="Q42" s="13" t="s">
        <v>54</v>
      </c>
      <c r="R42" s="13" t="s">
        <v>28</v>
      </c>
      <c r="S42" s="13"/>
      <c r="T42" s="13"/>
      <c r="U42" s="13" t="s">
        <v>642</v>
      </c>
      <c r="V42" s="13" t="s">
        <v>642</v>
      </c>
      <c r="W42" s="59">
        <f>+J42/$W$2</f>
        <v>3.9207403038594373E-5</v>
      </c>
    </row>
    <row r="43" spans="1:23">
      <c r="A43" s="13" t="s">
        <v>798</v>
      </c>
      <c r="B43" s="13" t="s">
        <v>404</v>
      </c>
      <c r="C43" s="138">
        <v>46260</v>
      </c>
      <c r="D43" s="138" t="s">
        <v>424</v>
      </c>
      <c r="E43" s="28">
        <v>0.99909671</v>
      </c>
      <c r="F43" s="13"/>
      <c r="G43" s="18">
        <v>3900000</v>
      </c>
      <c r="H43" s="18">
        <v>3896477.16</v>
      </c>
      <c r="I43" s="18">
        <v>3900000</v>
      </c>
      <c r="J43" s="18">
        <v>3896477.16</v>
      </c>
      <c r="K43" s="15">
        <v>285</v>
      </c>
      <c r="L43" s="13" t="s">
        <v>102</v>
      </c>
      <c r="M43" s="13" t="s">
        <v>103</v>
      </c>
      <c r="N43" s="138" t="s">
        <v>391</v>
      </c>
      <c r="O43" s="138" t="s">
        <v>391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799</v>
      </c>
      <c r="V43" s="13" t="s">
        <v>799</v>
      </c>
      <c r="W43" s="59">
        <f>+J43/$W$2</f>
        <v>6.377003330860557E-5</v>
      </c>
    </row>
    <row r="44" spans="1:23">
      <c r="A44" s="13" t="s">
        <v>537</v>
      </c>
      <c r="B44" s="13" t="s">
        <v>404</v>
      </c>
      <c r="C44" s="138">
        <v>46260</v>
      </c>
      <c r="D44" s="138" t="s">
        <v>424</v>
      </c>
      <c r="E44" s="28">
        <v>0.99934290000000003</v>
      </c>
      <c r="F44" s="13"/>
      <c r="G44" s="18">
        <v>10000000</v>
      </c>
      <c r="H44" s="18">
        <v>9993428.9800000004</v>
      </c>
      <c r="I44" s="18">
        <v>10000000</v>
      </c>
      <c r="J44" s="18">
        <v>9993428.9800000004</v>
      </c>
      <c r="K44" s="15">
        <v>4534</v>
      </c>
      <c r="L44" s="13" t="s">
        <v>102</v>
      </c>
      <c r="M44" s="13" t="s">
        <v>103</v>
      </c>
      <c r="N44" s="138" t="s">
        <v>339</v>
      </c>
      <c r="O44" s="138" t="s">
        <v>339</v>
      </c>
      <c r="P44" s="28">
        <v>24</v>
      </c>
      <c r="Q44" s="13" t="s">
        <v>54</v>
      </c>
      <c r="R44" s="13" t="s">
        <v>28</v>
      </c>
      <c r="S44" s="13"/>
      <c r="T44" s="13"/>
      <c r="U44" s="13" t="s">
        <v>1550</v>
      </c>
      <c r="V44" s="13" t="s">
        <v>1550</v>
      </c>
      <c r="W44" s="59">
        <f>+J44/$W$2</f>
        <v>1.6355319760729312E-4</v>
      </c>
    </row>
    <row r="45" spans="1:23">
      <c r="A45" s="13" t="s">
        <v>537</v>
      </c>
      <c r="B45" s="13" t="s">
        <v>404</v>
      </c>
      <c r="C45" s="138">
        <v>46260</v>
      </c>
      <c r="D45" s="138" t="s">
        <v>424</v>
      </c>
      <c r="E45" s="28">
        <v>0.99917876000000005</v>
      </c>
      <c r="F45" s="13"/>
      <c r="G45" s="18">
        <v>1040000</v>
      </c>
      <c r="H45" s="18">
        <v>1039145.91</v>
      </c>
      <c r="I45" s="18">
        <v>1040000</v>
      </c>
      <c r="J45" s="18">
        <v>1039145.91</v>
      </c>
      <c r="K45" s="15">
        <v>10601549</v>
      </c>
      <c r="L45" s="13" t="s">
        <v>102</v>
      </c>
      <c r="M45" s="13" t="s">
        <v>103</v>
      </c>
      <c r="N45" s="138" t="s">
        <v>303</v>
      </c>
      <c r="O45" s="138" t="s">
        <v>303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676</v>
      </c>
      <c r="V45" s="13" t="s">
        <v>676</v>
      </c>
      <c r="W45" s="59">
        <f>+J45/$W$2</f>
        <v>1.7006738798181804E-5</v>
      </c>
    </row>
    <row r="46" spans="1:23">
      <c r="A46" s="13" t="s">
        <v>1054</v>
      </c>
      <c r="B46" s="13" t="s">
        <v>404</v>
      </c>
      <c r="C46" s="138">
        <v>46260</v>
      </c>
      <c r="D46" s="138" t="s">
        <v>424</v>
      </c>
      <c r="E46" s="28">
        <v>0.99917876000000005</v>
      </c>
      <c r="F46" s="13"/>
      <c r="G46" s="18">
        <v>2700000</v>
      </c>
      <c r="H46" s="18">
        <v>2697782.66</v>
      </c>
      <c r="I46" s="18">
        <v>2700000</v>
      </c>
      <c r="J46" s="18">
        <v>2697782.66</v>
      </c>
      <c r="K46" s="15">
        <v>6273</v>
      </c>
      <c r="L46" s="13" t="s">
        <v>102</v>
      </c>
      <c r="M46" s="13" t="s">
        <v>103</v>
      </c>
      <c r="N46" s="138" t="s">
        <v>162</v>
      </c>
      <c r="O46" s="138" t="s">
        <v>162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1052</v>
      </c>
      <c r="V46" s="13" t="s">
        <v>1052</v>
      </c>
      <c r="W46" s="59">
        <f>+J46/$W$2</f>
        <v>4.415211048935766E-5</v>
      </c>
    </row>
    <row r="47" spans="1:23">
      <c r="A47" s="13" t="s">
        <v>405</v>
      </c>
      <c r="B47" s="13" t="s">
        <v>404</v>
      </c>
      <c r="C47" s="138">
        <v>46260</v>
      </c>
      <c r="D47" s="138" t="s">
        <v>424</v>
      </c>
      <c r="E47" s="28">
        <v>0.99917876000000005</v>
      </c>
      <c r="F47" s="13"/>
      <c r="G47" s="18">
        <v>10000000</v>
      </c>
      <c r="H47" s="18">
        <v>9991787.5899999999</v>
      </c>
      <c r="I47" s="18">
        <v>10000000</v>
      </c>
      <c r="J47" s="18">
        <v>9991787.5899999999</v>
      </c>
      <c r="K47" s="15">
        <v>502</v>
      </c>
      <c r="L47" s="13" t="s">
        <v>102</v>
      </c>
      <c r="M47" s="13" t="s">
        <v>103</v>
      </c>
      <c r="N47" s="138" t="s">
        <v>321</v>
      </c>
      <c r="O47" s="138" t="s">
        <v>321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747</v>
      </c>
      <c r="V47" s="13" t="s">
        <v>747</v>
      </c>
      <c r="W47" s="59">
        <f>+J47/$W$2</f>
        <v>1.6352633449718764E-4</v>
      </c>
    </row>
    <row r="48" spans="1:23">
      <c r="A48" s="13" t="s">
        <v>405</v>
      </c>
      <c r="B48" s="13" t="s">
        <v>404</v>
      </c>
      <c r="C48" s="138">
        <v>46260</v>
      </c>
      <c r="D48" s="138" t="s">
        <v>424</v>
      </c>
      <c r="E48" s="28">
        <v>0.99917876000000005</v>
      </c>
      <c r="F48" s="13"/>
      <c r="G48" s="18">
        <v>10000000</v>
      </c>
      <c r="H48" s="18">
        <v>9991787.5999999996</v>
      </c>
      <c r="I48" s="18">
        <v>10000000</v>
      </c>
      <c r="J48" s="18">
        <v>9991787.5999999996</v>
      </c>
      <c r="K48" s="15">
        <v>473</v>
      </c>
      <c r="L48" s="13" t="s">
        <v>102</v>
      </c>
      <c r="M48" s="13" t="s">
        <v>103</v>
      </c>
      <c r="N48" s="138" t="s">
        <v>309</v>
      </c>
      <c r="O48" s="138" t="s">
        <v>309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720</v>
      </c>
      <c r="V48" s="13" t="s">
        <v>720</v>
      </c>
      <c r="W48" s="59">
        <f>+J48/$W$2</f>
        <v>1.635263346608484E-4</v>
      </c>
    </row>
    <row r="49" spans="1:29">
      <c r="A49" s="13" t="s">
        <v>285</v>
      </c>
      <c r="B49" s="13" t="s">
        <v>404</v>
      </c>
      <c r="C49" s="138">
        <v>46260</v>
      </c>
      <c r="D49" s="138" t="s">
        <v>424</v>
      </c>
      <c r="E49" s="28">
        <v>0.99920611000000004</v>
      </c>
      <c r="F49" s="13"/>
      <c r="G49" s="18">
        <v>10000000</v>
      </c>
      <c r="H49" s="18">
        <v>9992061.1199999992</v>
      </c>
      <c r="I49" s="18">
        <v>10000000</v>
      </c>
      <c r="J49" s="18">
        <v>9992061.1199999992</v>
      </c>
      <c r="K49" s="15">
        <v>2154</v>
      </c>
      <c r="L49" s="13" t="s">
        <v>102</v>
      </c>
      <c r="M49" s="13" t="s">
        <v>103</v>
      </c>
      <c r="N49" s="138" t="s">
        <v>331</v>
      </c>
      <c r="O49" s="138" t="s">
        <v>331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670</v>
      </c>
      <c r="V49" s="13" t="s">
        <v>670</v>
      </c>
      <c r="W49" s="59">
        <f>+J49/$W$2</f>
        <v>1.6353081110939262E-4</v>
      </c>
    </row>
    <row r="50" spans="1:29">
      <c r="A50" s="13" t="s">
        <v>285</v>
      </c>
      <c r="B50" s="13" t="s">
        <v>404</v>
      </c>
      <c r="C50" s="138">
        <v>46260</v>
      </c>
      <c r="D50" s="138" t="s">
        <v>424</v>
      </c>
      <c r="E50" s="28">
        <v>0.99920611000000004</v>
      </c>
      <c r="F50" s="13"/>
      <c r="G50" s="18">
        <v>10000000</v>
      </c>
      <c r="H50" s="18">
        <v>9992061.1199999992</v>
      </c>
      <c r="I50" s="18">
        <v>10000000</v>
      </c>
      <c r="J50" s="18">
        <v>9992061.1199999992</v>
      </c>
      <c r="K50" s="15">
        <v>66412396</v>
      </c>
      <c r="L50" s="13" t="s">
        <v>102</v>
      </c>
      <c r="M50" s="13" t="s">
        <v>103</v>
      </c>
      <c r="N50" s="138" t="s">
        <v>289</v>
      </c>
      <c r="O50" s="138" t="s">
        <v>289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608</v>
      </c>
      <c r="V50" s="13" t="s">
        <v>608</v>
      </c>
      <c r="W50" s="59">
        <f>+J50/$W$2</f>
        <v>1.6353081110939262E-4</v>
      </c>
    </row>
    <row r="51" spans="1:29">
      <c r="A51" s="13" t="s">
        <v>178</v>
      </c>
      <c r="B51" s="13" t="s">
        <v>404</v>
      </c>
      <c r="C51" s="138">
        <v>46260</v>
      </c>
      <c r="D51" s="138" t="s">
        <v>424</v>
      </c>
      <c r="E51" s="28">
        <v>0.99945236000000004</v>
      </c>
      <c r="F51" s="13"/>
      <c r="G51" s="18">
        <v>2500000</v>
      </c>
      <c r="H51" s="18">
        <v>2498630.89</v>
      </c>
      <c r="I51" s="18">
        <v>2500000</v>
      </c>
      <c r="J51" s="18">
        <v>2498630.89</v>
      </c>
      <c r="K51" s="15">
        <v>6137</v>
      </c>
      <c r="L51" s="13" t="s">
        <v>102</v>
      </c>
      <c r="M51" s="13" t="s">
        <v>103</v>
      </c>
      <c r="N51" s="138" t="s">
        <v>282</v>
      </c>
      <c r="O51" s="138" t="s">
        <v>282</v>
      </c>
      <c r="P51" s="28">
        <v>20</v>
      </c>
      <c r="Q51" s="13" t="s">
        <v>54</v>
      </c>
      <c r="R51" s="13" t="s">
        <v>28</v>
      </c>
      <c r="S51" s="13"/>
      <c r="T51" s="13"/>
      <c r="U51" s="13" t="s">
        <v>829</v>
      </c>
      <c r="V51" s="13" t="s">
        <v>829</v>
      </c>
      <c r="W51" s="59">
        <f>+J51/$W$2</f>
        <v>4.0892777896126766E-5</v>
      </c>
    </row>
    <row r="52" spans="1:29">
      <c r="A52" s="13" t="s">
        <v>694</v>
      </c>
      <c r="B52" s="13" t="s">
        <v>404</v>
      </c>
      <c r="C52" s="138">
        <v>46260</v>
      </c>
      <c r="D52" s="138" t="s">
        <v>424</v>
      </c>
      <c r="E52" s="28">
        <v>0.99923346999999996</v>
      </c>
      <c r="F52" s="13"/>
      <c r="G52" s="18">
        <v>5000000</v>
      </c>
      <c r="H52" s="18">
        <v>4996167.33</v>
      </c>
      <c r="I52" s="18">
        <v>5000000</v>
      </c>
      <c r="J52" s="18">
        <v>4996167.33</v>
      </c>
      <c r="K52" s="15">
        <v>29175487</v>
      </c>
      <c r="L52" s="13" t="s">
        <v>102</v>
      </c>
      <c r="M52" s="13" t="s">
        <v>103</v>
      </c>
      <c r="N52" s="138" t="s">
        <v>317</v>
      </c>
      <c r="O52" s="138" t="s">
        <v>317</v>
      </c>
      <c r="P52" s="28">
        <v>28</v>
      </c>
      <c r="Q52" s="13" t="s">
        <v>54</v>
      </c>
      <c r="R52" s="13" t="s">
        <v>28</v>
      </c>
      <c r="S52" s="13"/>
      <c r="T52" s="13"/>
      <c r="U52" s="13" t="s">
        <v>690</v>
      </c>
      <c r="V52" s="13" t="s">
        <v>690</v>
      </c>
      <c r="W52" s="59">
        <f>+J52/$W$2</f>
        <v>8.1767643942629191E-5</v>
      </c>
    </row>
    <row r="53" spans="1:29">
      <c r="A53" s="13" t="s">
        <v>466</v>
      </c>
      <c r="B53" s="13" t="s">
        <v>404</v>
      </c>
      <c r="C53" s="138">
        <v>46260</v>
      </c>
      <c r="D53" s="138" t="s">
        <v>424</v>
      </c>
      <c r="E53" s="28">
        <v>0.99923346999999996</v>
      </c>
      <c r="F53" s="13"/>
      <c r="G53" s="18">
        <v>10000000</v>
      </c>
      <c r="H53" s="18">
        <v>9992334.6500000004</v>
      </c>
      <c r="I53" s="18">
        <v>10000000</v>
      </c>
      <c r="J53" s="18">
        <v>9992334.6500000004</v>
      </c>
      <c r="K53" s="15">
        <v>360558</v>
      </c>
      <c r="L53" s="13" t="s">
        <v>102</v>
      </c>
      <c r="M53" s="13" t="s">
        <v>103</v>
      </c>
      <c r="N53" s="138" t="s">
        <v>308</v>
      </c>
      <c r="O53" s="138" t="s">
        <v>308</v>
      </c>
      <c r="P53" s="28">
        <v>28</v>
      </c>
      <c r="Q53" s="13" t="s">
        <v>54</v>
      </c>
      <c r="R53" s="13" t="s">
        <v>28</v>
      </c>
      <c r="S53" s="13"/>
      <c r="T53" s="13"/>
      <c r="U53" s="13" t="s">
        <v>558</v>
      </c>
      <c r="V53" s="13" t="s">
        <v>558</v>
      </c>
      <c r="W53" s="59">
        <f>+J53/$W$2</f>
        <v>1.6353528772159763E-4</v>
      </c>
    </row>
    <row r="54" spans="1:29">
      <c r="A54" s="13" t="s">
        <v>537</v>
      </c>
      <c r="B54" s="13" t="s">
        <v>404</v>
      </c>
      <c r="C54" s="138">
        <v>46260</v>
      </c>
      <c r="D54" s="138" t="s">
        <v>424</v>
      </c>
      <c r="E54" s="28">
        <v>0.99923346999999996</v>
      </c>
      <c r="F54" s="13"/>
      <c r="G54" s="18">
        <v>16545572.09</v>
      </c>
      <c r="H54" s="18">
        <v>16532889.359999999</v>
      </c>
      <c r="I54" s="18">
        <v>16545572.09</v>
      </c>
      <c r="J54" s="18">
        <v>16532889.359999999</v>
      </c>
      <c r="K54" s="15">
        <v>7610</v>
      </c>
      <c r="L54" s="13" t="s">
        <v>102</v>
      </c>
      <c r="M54" s="13" t="s">
        <v>103</v>
      </c>
      <c r="N54" s="138" t="s">
        <v>304</v>
      </c>
      <c r="O54" s="138" t="s">
        <v>304</v>
      </c>
      <c r="P54" s="28">
        <v>28</v>
      </c>
      <c r="Q54" s="13" t="s">
        <v>54</v>
      </c>
      <c r="R54" s="13" t="s">
        <v>28</v>
      </c>
      <c r="S54" s="13"/>
      <c r="T54" s="13"/>
      <c r="U54" s="13" t="s">
        <v>972</v>
      </c>
      <c r="V54" s="13" t="s">
        <v>972</v>
      </c>
      <c r="W54" s="59">
        <f>+J54/$W$2</f>
        <v>2.7057848971831023E-4</v>
      </c>
    </row>
    <row r="55" spans="1:29">
      <c r="A55" s="13" t="s">
        <v>285</v>
      </c>
      <c r="B55" s="13" t="s">
        <v>404</v>
      </c>
      <c r="C55" s="138">
        <v>46260</v>
      </c>
      <c r="D55" s="138" t="s">
        <v>424</v>
      </c>
      <c r="E55" s="28">
        <v>0.99928817999999997</v>
      </c>
      <c r="F55" s="13"/>
      <c r="G55" s="18">
        <v>100000000</v>
      </c>
      <c r="H55" s="18">
        <v>99928817.909999996</v>
      </c>
      <c r="I55" s="18">
        <v>100000000</v>
      </c>
      <c r="J55" s="18">
        <v>99928817.909999996</v>
      </c>
      <c r="K55" s="15">
        <v>2830</v>
      </c>
      <c r="L55" s="13" t="s">
        <v>102</v>
      </c>
      <c r="M55" s="13" t="s">
        <v>103</v>
      </c>
      <c r="N55" s="138" t="s">
        <v>330</v>
      </c>
      <c r="O55" s="138" t="s">
        <v>330</v>
      </c>
      <c r="P55" s="28">
        <v>26</v>
      </c>
      <c r="Q55" s="13" t="s">
        <v>54</v>
      </c>
      <c r="R55" s="13" t="s">
        <v>28</v>
      </c>
      <c r="S55" s="13"/>
      <c r="T55" s="13"/>
      <c r="U55" s="13" t="s">
        <v>928</v>
      </c>
      <c r="V55" s="13" t="s">
        <v>928</v>
      </c>
      <c r="W55" s="59">
        <f>+J55/$W$2</f>
        <v>1.6354424227165959E-3</v>
      </c>
    </row>
    <row r="56" spans="1:29">
      <c r="A56" s="13" t="s">
        <v>405</v>
      </c>
      <c r="B56" s="13" t="s">
        <v>404</v>
      </c>
      <c r="C56" s="138">
        <v>46260</v>
      </c>
      <c r="D56" s="138" t="s">
        <v>424</v>
      </c>
      <c r="E56" s="28">
        <v>0.99917876000000005</v>
      </c>
      <c r="F56" s="13"/>
      <c r="G56" s="18">
        <v>10000000</v>
      </c>
      <c r="H56" s="18">
        <v>9991787.5899999999</v>
      </c>
      <c r="I56" s="18">
        <v>10000000</v>
      </c>
      <c r="J56" s="18">
        <v>9991787.5899999999</v>
      </c>
      <c r="K56" s="15">
        <v>670</v>
      </c>
      <c r="L56" s="13" t="s">
        <v>102</v>
      </c>
      <c r="M56" s="13" t="s">
        <v>103</v>
      </c>
      <c r="N56" s="138" t="s">
        <v>312</v>
      </c>
      <c r="O56" s="138" t="s">
        <v>312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1083</v>
      </c>
      <c r="V56" s="13" t="s">
        <v>1083</v>
      </c>
      <c r="W56" s="59">
        <f>+J56/$W$2</f>
        <v>1.6352633449718764E-4</v>
      </c>
      <c r="AC56" s="56"/>
    </row>
    <row r="57" spans="1:29">
      <c r="A57" s="13" t="s">
        <v>405</v>
      </c>
      <c r="B57" s="13" t="s">
        <v>404</v>
      </c>
      <c r="C57" s="138">
        <v>46260</v>
      </c>
      <c r="D57" s="138" t="s">
        <v>424</v>
      </c>
      <c r="E57" s="28">
        <v>0.99917876000000005</v>
      </c>
      <c r="F57" s="13"/>
      <c r="G57" s="18">
        <v>10000000</v>
      </c>
      <c r="H57" s="18">
        <v>9991787.5899999999</v>
      </c>
      <c r="I57" s="18">
        <v>10000000</v>
      </c>
      <c r="J57" s="18">
        <v>9991787.5899999999</v>
      </c>
      <c r="K57" s="15">
        <v>568</v>
      </c>
      <c r="L57" s="13" t="s">
        <v>102</v>
      </c>
      <c r="M57" s="13" t="s">
        <v>103</v>
      </c>
      <c r="N57" s="138" t="s">
        <v>325</v>
      </c>
      <c r="O57" s="138" t="s">
        <v>325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846</v>
      </c>
      <c r="V57" s="13" t="s">
        <v>846</v>
      </c>
      <c r="W57" s="59">
        <f>+J57/$W$2</f>
        <v>1.6352633449718764E-4</v>
      </c>
    </row>
    <row r="58" spans="1:29">
      <c r="A58" s="13" t="s">
        <v>196</v>
      </c>
      <c r="B58" s="13" t="s">
        <v>404</v>
      </c>
      <c r="C58" s="138">
        <v>46260</v>
      </c>
      <c r="D58" s="138" t="s">
        <v>424</v>
      </c>
      <c r="E58" s="28">
        <v>0.99895999000000002</v>
      </c>
      <c r="F58" s="13"/>
      <c r="G58" s="18">
        <v>15000000</v>
      </c>
      <c r="H58" s="18">
        <v>14984399.810000001</v>
      </c>
      <c r="I58" s="18">
        <v>15000000</v>
      </c>
      <c r="J58" s="18">
        <v>14984399.810000001</v>
      </c>
      <c r="K58" s="15">
        <v>16806010</v>
      </c>
      <c r="L58" s="13" t="s">
        <v>102</v>
      </c>
      <c r="M58" s="13" t="s">
        <v>103</v>
      </c>
      <c r="N58" s="138" t="s">
        <v>393</v>
      </c>
      <c r="O58" s="138" t="s">
        <v>393</v>
      </c>
      <c r="P58" s="28">
        <v>38</v>
      </c>
      <c r="Q58" s="13" t="s">
        <v>54</v>
      </c>
      <c r="R58" s="13" t="s">
        <v>28</v>
      </c>
      <c r="S58" s="13"/>
      <c r="T58" s="13"/>
      <c r="U58" s="13" t="s">
        <v>1126</v>
      </c>
      <c r="V58" s="13" t="s">
        <v>1126</v>
      </c>
      <c r="W58" s="59">
        <f>+J58/$W$2</f>
        <v>2.4523579524668974E-4</v>
      </c>
    </row>
    <row r="59" spans="1:29">
      <c r="A59" s="13" t="s">
        <v>1167</v>
      </c>
      <c r="B59" s="13" t="s">
        <v>404</v>
      </c>
      <c r="C59" s="138">
        <v>46260</v>
      </c>
      <c r="D59" s="138" t="s">
        <v>424</v>
      </c>
      <c r="E59" s="28">
        <v>0.99924714000000003</v>
      </c>
      <c r="F59" s="13"/>
      <c r="G59" s="18">
        <v>30000000</v>
      </c>
      <c r="H59" s="18">
        <v>29977414.280000001</v>
      </c>
      <c r="I59" s="18">
        <v>30000000</v>
      </c>
      <c r="J59" s="18">
        <v>29977414.280000001</v>
      </c>
      <c r="K59" s="15">
        <v>487</v>
      </c>
      <c r="L59" s="13" t="s">
        <v>102</v>
      </c>
      <c r="M59" s="13" t="s">
        <v>103</v>
      </c>
      <c r="N59" s="138" t="s">
        <v>419</v>
      </c>
      <c r="O59" s="138" t="s">
        <v>419</v>
      </c>
      <c r="P59" s="28">
        <v>27.5</v>
      </c>
      <c r="Q59" s="13" t="s">
        <v>54</v>
      </c>
      <c r="R59" s="13" t="s">
        <v>28</v>
      </c>
      <c r="S59" s="13"/>
      <c r="T59" s="13"/>
      <c r="U59" s="13" t="s">
        <v>1262</v>
      </c>
      <c r="V59" s="13" t="s">
        <v>1262</v>
      </c>
      <c r="W59" s="59">
        <f>+J59/$W$2</f>
        <v>4.9061257865591298E-4</v>
      </c>
    </row>
    <row r="60" spans="1:29">
      <c r="A60" s="13" t="s">
        <v>218</v>
      </c>
      <c r="B60" s="13" t="s">
        <v>404</v>
      </c>
      <c r="C60" s="138">
        <v>46260</v>
      </c>
      <c r="D60" s="138" t="s">
        <v>424</v>
      </c>
      <c r="E60" s="28">
        <v>0.99909671</v>
      </c>
      <c r="F60" s="13"/>
      <c r="G60" s="18">
        <v>2500000</v>
      </c>
      <c r="H60" s="18">
        <v>2497741.7799999998</v>
      </c>
      <c r="I60" s="18">
        <v>2500000</v>
      </c>
      <c r="J60" s="18">
        <v>2497741.7799999998</v>
      </c>
      <c r="K60" s="15">
        <v>1198</v>
      </c>
      <c r="L60" s="13" t="s">
        <v>102</v>
      </c>
      <c r="M60" s="13" t="s">
        <v>103</v>
      </c>
      <c r="N60" s="138" t="s">
        <v>156</v>
      </c>
      <c r="O60" s="138" t="s">
        <v>156</v>
      </c>
      <c r="P60" s="28">
        <v>33</v>
      </c>
      <c r="Q60" s="13" t="s">
        <v>54</v>
      </c>
      <c r="R60" s="13" t="s">
        <v>28</v>
      </c>
      <c r="S60" s="13"/>
      <c r="T60" s="13"/>
      <c r="U60" s="13" t="s">
        <v>766</v>
      </c>
      <c r="V60" s="13" t="s">
        <v>766</v>
      </c>
      <c r="W60" s="59">
        <f>+J60/$W$2</f>
        <v>4.0878226656125391E-5</v>
      </c>
    </row>
    <row r="61" spans="1:29">
      <c r="A61" s="13" t="s">
        <v>917</v>
      </c>
      <c r="B61" s="13" t="s">
        <v>404</v>
      </c>
      <c r="C61" s="138">
        <v>46260</v>
      </c>
      <c r="D61" s="138" t="s">
        <v>424</v>
      </c>
      <c r="E61" s="28">
        <v>0.99909671</v>
      </c>
      <c r="F61" s="13"/>
      <c r="G61" s="18">
        <v>2200000</v>
      </c>
      <c r="H61" s="18">
        <v>2198012.77</v>
      </c>
      <c r="I61" s="18">
        <v>2200000</v>
      </c>
      <c r="J61" s="18">
        <v>2198012.77</v>
      </c>
      <c r="K61" s="15">
        <v>6195</v>
      </c>
      <c r="L61" s="13" t="s">
        <v>102</v>
      </c>
      <c r="M61" s="13" t="s">
        <v>103</v>
      </c>
      <c r="N61" s="138" t="s">
        <v>311</v>
      </c>
      <c r="O61" s="138" t="s">
        <v>311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909</v>
      </c>
      <c r="V61" s="13" t="s">
        <v>909</v>
      </c>
      <c r="W61" s="59">
        <f>+J61/$W$2</f>
        <v>3.597283951630821E-5</v>
      </c>
    </row>
    <row r="62" spans="1:29">
      <c r="A62" s="13" t="s">
        <v>189</v>
      </c>
      <c r="B62" s="13" t="s">
        <v>404</v>
      </c>
      <c r="C62" s="138">
        <v>46260</v>
      </c>
      <c r="D62" s="138" t="s">
        <v>424</v>
      </c>
      <c r="E62" s="28">
        <v>0.99934292000000002</v>
      </c>
      <c r="F62" s="13"/>
      <c r="G62" s="18">
        <v>169949.7</v>
      </c>
      <c r="H62" s="18">
        <v>169838.03</v>
      </c>
      <c r="I62" s="18">
        <v>169949.7</v>
      </c>
      <c r="J62" s="18">
        <v>169838.03</v>
      </c>
      <c r="K62" s="15">
        <v>612232</v>
      </c>
      <c r="L62" s="13" t="s">
        <v>102</v>
      </c>
      <c r="M62" s="13" t="s">
        <v>103</v>
      </c>
      <c r="N62" s="138" t="s">
        <v>282</v>
      </c>
      <c r="O62" s="138" t="s">
        <v>282</v>
      </c>
      <c r="P62" s="28">
        <v>24</v>
      </c>
      <c r="Q62" s="13" t="s">
        <v>54</v>
      </c>
      <c r="R62" s="13" t="s">
        <v>28</v>
      </c>
      <c r="S62" s="13"/>
      <c r="T62" s="13"/>
      <c r="U62" s="13" t="s">
        <v>831</v>
      </c>
      <c r="V62" s="13" t="s">
        <v>831</v>
      </c>
      <c r="W62" s="59">
        <f>+J62/$W$2</f>
        <v>2.7795817569139688E-6</v>
      </c>
    </row>
    <row r="63" spans="1:29">
      <c r="A63" s="13" t="s">
        <v>189</v>
      </c>
      <c r="B63" s="13" t="s">
        <v>404</v>
      </c>
      <c r="C63" s="138">
        <v>46260</v>
      </c>
      <c r="D63" s="138" t="s">
        <v>424</v>
      </c>
      <c r="E63" s="28">
        <v>0.99934292000000002</v>
      </c>
      <c r="F63" s="13"/>
      <c r="G63" s="18">
        <v>169949.7</v>
      </c>
      <c r="H63" s="18">
        <v>169838.03</v>
      </c>
      <c r="I63" s="18">
        <v>169949.7</v>
      </c>
      <c r="J63" s="18">
        <v>169838.03</v>
      </c>
      <c r="K63" s="15">
        <v>612239</v>
      </c>
      <c r="L63" s="13" t="s">
        <v>102</v>
      </c>
      <c r="M63" s="13" t="s">
        <v>103</v>
      </c>
      <c r="N63" s="138" t="s">
        <v>282</v>
      </c>
      <c r="O63" s="138" t="s">
        <v>282</v>
      </c>
      <c r="P63" s="28">
        <v>24</v>
      </c>
      <c r="Q63" s="13" t="s">
        <v>54</v>
      </c>
      <c r="R63" s="13" t="s">
        <v>28</v>
      </c>
      <c r="S63" s="13"/>
      <c r="T63" s="13"/>
      <c r="U63" s="13" t="s">
        <v>833</v>
      </c>
      <c r="V63" s="13" t="s">
        <v>833</v>
      </c>
      <c r="W63" s="59">
        <f>+J63/$W$2</f>
        <v>2.7795817569139688E-6</v>
      </c>
      <c r="AC63" s="56"/>
    </row>
    <row r="64" spans="1:29">
      <c r="A64" s="13" t="s">
        <v>189</v>
      </c>
      <c r="B64" s="13" t="s">
        <v>404</v>
      </c>
      <c r="C64" s="138">
        <v>46260</v>
      </c>
      <c r="D64" s="138" t="s">
        <v>424</v>
      </c>
      <c r="E64" s="28">
        <v>0.99934290000000003</v>
      </c>
      <c r="F64" s="13"/>
      <c r="G64" s="18">
        <v>2382065.5699999998</v>
      </c>
      <c r="H64" s="18">
        <v>2380500.31</v>
      </c>
      <c r="I64" s="18">
        <v>2382065.5699999998</v>
      </c>
      <c r="J64" s="18">
        <v>2380500.31</v>
      </c>
      <c r="K64" s="15">
        <v>612234</v>
      </c>
      <c r="L64" s="13" t="s">
        <v>102</v>
      </c>
      <c r="M64" s="13" t="s">
        <v>103</v>
      </c>
      <c r="N64" s="138" t="s">
        <v>282</v>
      </c>
      <c r="O64" s="138" t="s">
        <v>282</v>
      </c>
      <c r="P64" s="28">
        <v>24</v>
      </c>
      <c r="Q64" s="13" t="s">
        <v>54</v>
      </c>
      <c r="R64" s="13" t="s">
        <v>28</v>
      </c>
      <c r="S64" s="13"/>
      <c r="T64" s="13"/>
      <c r="U64" s="13" t="s">
        <v>838</v>
      </c>
      <c r="V64" s="13" t="s">
        <v>838</v>
      </c>
      <c r="W64" s="59">
        <f>+J64/$W$2</f>
        <v>3.895944408919515E-5</v>
      </c>
    </row>
    <row r="65" spans="1:29">
      <c r="A65" s="13" t="s">
        <v>1810</v>
      </c>
      <c r="B65" s="13" t="s">
        <v>404</v>
      </c>
      <c r="C65" s="138">
        <v>46260</v>
      </c>
      <c r="D65" s="138" t="s">
        <v>424</v>
      </c>
      <c r="E65" s="28">
        <v>0.99909671</v>
      </c>
      <c r="F65" s="13"/>
      <c r="G65" s="18">
        <v>6372173.0499999998</v>
      </c>
      <c r="H65" s="18">
        <v>6366417.1200000001</v>
      </c>
      <c r="I65" s="18">
        <v>6372173.0499999998</v>
      </c>
      <c r="J65" s="18">
        <v>6366417.1200000001</v>
      </c>
      <c r="K65" s="15">
        <v>10180811</v>
      </c>
      <c r="L65" s="13" t="s">
        <v>102</v>
      </c>
      <c r="M65" s="13" t="s">
        <v>103</v>
      </c>
      <c r="N65" s="138" t="s">
        <v>388</v>
      </c>
      <c r="O65" s="138" t="s">
        <v>388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1868</v>
      </c>
      <c r="V65" s="13" t="s">
        <v>1868</v>
      </c>
      <c r="W65" s="59">
        <f>+J65/$W$2</f>
        <v>1.0419325332292638E-4</v>
      </c>
    </row>
    <row r="66" spans="1:29">
      <c r="A66" s="13" t="s">
        <v>2052</v>
      </c>
      <c r="B66" s="13" t="s">
        <v>404</v>
      </c>
      <c r="C66" s="138">
        <v>46260</v>
      </c>
      <c r="D66" s="138" t="s">
        <v>424</v>
      </c>
      <c r="E66" s="28">
        <v>0.99917876000000005</v>
      </c>
      <c r="F66" s="13"/>
      <c r="G66" s="18">
        <v>6091357.8200000003</v>
      </c>
      <c r="H66" s="18">
        <v>6086355.3600000003</v>
      </c>
      <c r="I66" s="18">
        <v>6091357.8200000003</v>
      </c>
      <c r="J66" s="18">
        <v>6086355.3600000003</v>
      </c>
      <c r="K66" s="15">
        <v>286</v>
      </c>
      <c r="L66" s="13" t="s">
        <v>102</v>
      </c>
      <c r="M66" s="13" t="s">
        <v>103</v>
      </c>
      <c r="N66" s="138" t="s">
        <v>416</v>
      </c>
      <c r="O66" s="138" t="s">
        <v>416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2053</v>
      </c>
      <c r="V66" s="13" t="s">
        <v>2053</v>
      </c>
      <c r="W66" s="59">
        <f>+J66/$W$2</f>
        <v>9.960974185081842E-5</v>
      </c>
    </row>
    <row r="67" spans="1:29">
      <c r="A67" s="13" t="s">
        <v>756</v>
      </c>
      <c r="B67" s="13" t="s">
        <v>404</v>
      </c>
      <c r="C67" s="138">
        <v>46260</v>
      </c>
      <c r="D67" s="138" t="s">
        <v>424</v>
      </c>
      <c r="E67" s="28">
        <v>0.99915140999999996</v>
      </c>
      <c r="F67" s="13"/>
      <c r="G67" s="18">
        <v>70000000</v>
      </c>
      <c r="H67" s="18">
        <v>69940599.030000001</v>
      </c>
      <c r="I67" s="18">
        <v>70000000</v>
      </c>
      <c r="J67" s="18">
        <v>69940599.030000001</v>
      </c>
      <c r="K67" s="15">
        <v>9756467</v>
      </c>
      <c r="L67" s="13" t="s">
        <v>102</v>
      </c>
      <c r="M67" s="13" t="s">
        <v>103</v>
      </c>
      <c r="N67" s="138" t="s">
        <v>384</v>
      </c>
      <c r="O67" s="138" t="s">
        <v>384</v>
      </c>
      <c r="P67" s="28">
        <v>31</v>
      </c>
      <c r="Q67" s="13" t="s">
        <v>54</v>
      </c>
      <c r="R67" s="13" t="s">
        <v>28</v>
      </c>
      <c r="S67" s="13"/>
      <c r="T67" s="13"/>
      <c r="U67" s="13" t="s">
        <v>1783</v>
      </c>
      <c r="V67" s="13" t="s">
        <v>1783</v>
      </c>
      <c r="W67" s="59">
        <f>+J67/$W$2</f>
        <v>1.1446530151781838E-3</v>
      </c>
    </row>
    <row r="68" spans="1:29">
      <c r="A68" s="13" t="s">
        <v>756</v>
      </c>
      <c r="B68" s="13" t="s">
        <v>404</v>
      </c>
      <c r="C68" s="138">
        <v>46260</v>
      </c>
      <c r="D68" s="138" t="s">
        <v>424</v>
      </c>
      <c r="E68" s="28">
        <v>0.99893264999999998</v>
      </c>
      <c r="F68" s="13"/>
      <c r="G68" s="18">
        <v>10800428.970000001</v>
      </c>
      <c r="H68" s="18">
        <v>10788901.130000001</v>
      </c>
      <c r="I68" s="18">
        <v>10800428.970000001</v>
      </c>
      <c r="J68" s="18">
        <v>10788901.130000001</v>
      </c>
      <c r="K68" s="15">
        <v>53243195</v>
      </c>
      <c r="L68" s="13" t="s">
        <v>102</v>
      </c>
      <c r="M68" s="13" t="s">
        <v>103</v>
      </c>
      <c r="N68" s="138" t="s">
        <v>372</v>
      </c>
      <c r="O68" s="138" t="s">
        <v>372</v>
      </c>
      <c r="P68" s="28">
        <v>39</v>
      </c>
      <c r="Q68" s="13" t="s">
        <v>54</v>
      </c>
      <c r="R68" s="13" t="s">
        <v>28</v>
      </c>
      <c r="S68" s="13"/>
      <c r="T68" s="13"/>
      <c r="U68" s="13" t="s">
        <v>753</v>
      </c>
      <c r="V68" s="13" t="s">
        <v>753</v>
      </c>
      <c r="W68" s="59">
        <f>+J68/$W$2</f>
        <v>1.7657195363191924E-4</v>
      </c>
    </row>
    <row r="69" spans="1:29">
      <c r="A69" s="13" t="s">
        <v>960</v>
      </c>
      <c r="B69" s="13" t="s">
        <v>404</v>
      </c>
      <c r="C69" s="138">
        <v>46260</v>
      </c>
      <c r="D69" s="138" t="s">
        <v>424</v>
      </c>
      <c r="E69" s="28">
        <v>0.99912405000000004</v>
      </c>
      <c r="F69" s="13"/>
      <c r="G69" s="18">
        <v>1000000</v>
      </c>
      <c r="H69" s="18">
        <v>999124.05</v>
      </c>
      <c r="I69" s="18">
        <v>1000000</v>
      </c>
      <c r="J69" s="18">
        <v>999124.05</v>
      </c>
      <c r="K69" s="15">
        <v>67381469</v>
      </c>
      <c r="L69" s="13" t="s">
        <v>102</v>
      </c>
      <c r="M69" s="13" t="s">
        <v>103</v>
      </c>
      <c r="N69" s="138" t="s">
        <v>330</v>
      </c>
      <c r="O69" s="138" t="s">
        <v>330</v>
      </c>
      <c r="P69" s="28">
        <v>32</v>
      </c>
      <c r="Q69" s="13" t="s">
        <v>54</v>
      </c>
      <c r="R69" s="13" t="s">
        <v>28</v>
      </c>
      <c r="S69" s="13"/>
      <c r="T69" s="13"/>
      <c r="U69" s="13" t="s">
        <v>964</v>
      </c>
      <c r="V69" s="13" t="s">
        <v>964</v>
      </c>
      <c r="W69" s="59">
        <f>+J69/$W$2</f>
        <v>1.6351738078179547E-5</v>
      </c>
    </row>
    <row r="70" spans="1:29">
      <c r="A70" s="13" t="s">
        <v>960</v>
      </c>
      <c r="B70" s="13" t="s">
        <v>404</v>
      </c>
      <c r="C70" s="138">
        <v>46260</v>
      </c>
      <c r="D70" s="138" t="s">
        <v>424</v>
      </c>
      <c r="E70" s="28">
        <v>0.99912405000000004</v>
      </c>
      <c r="F70" s="13"/>
      <c r="G70" s="18">
        <v>1000000</v>
      </c>
      <c r="H70" s="18">
        <v>999124.05</v>
      </c>
      <c r="I70" s="18">
        <v>1000000</v>
      </c>
      <c r="J70" s="18">
        <v>999124.05</v>
      </c>
      <c r="K70" s="15">
        <v>67277847</v>
      </c>
      <c r="L70" s="13" t="s">
        <v>102</v>
      </c>
      <c r="M70" s="13" t="s">
        <v>103</v>
      </c>
      <c r="N70" s="138" t="s">
        <v>330</v>
      </c>
      <c r="O70" s="138" t="s">
        <v>330</v>
      </c>
      <c r="P70" s="28">
        <v>32</v>
      </c>
      <c r="Q70" s="13" t="s">
        <v>54</v>
      </c>
      <c r="R70" s="13" t="s">
        <v>28</v>
      </c>
      <c r="S70" s="13"/>
      <c r="T70" s="13"/>
      <c r="U70" s="13" t="s">
        <v>967</v>
      </c>
      <c r="V70" s="13" t="s">
        <v>967</v>
      </c>
      <c r="W70" s="59">
        <f>+J70/$W$2</f>
        <v>1.6351738078179547E-5</v>
      </c>
    </row>
    <row r="71" spans="1:29">
      <c r="A71" s="13" t="s">
        <v>1234</v>
      </c>
      <c r="B71" s="13" t="s">
        <v>404</v>
      </c>
      <c r="C71" s="138">
        <v>46260</v>
      </c>
      <c r="D71" s="138" t="s">
        <v>424</v>
      </c>
      <c r="E71" s="28">
        <v>0.99909671</v>
      </c>
      <c r="F71" s="13"/>
      <c r="G71" s="18">
        <v>10000000</v>
      </c>
      <c r="H71" s="18">
        <v>9990967.0800000001</v>
      </c>
      <c r="I71" s="18">
        <v>10000000</v>
      </c>
      <c r="J71" s="18">
        <v>9990967.0800000001</v>
      </c>
      <c r="K71" s="15">
        <v>5743953</v>
      </c>
      <c r="L71" s="13" t="s">
        <v>102</v>
      </c>
      <c r="M71" s="13" t="s">
        <v>103</v>
      </c>
      <c r="N71" s="138" t="s">
        <v>374</v>
      </c>
      <c r="O71" s="138" t="s">
        <v>374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1225</v>
      </c>
      <c r="V71" s="13" t="s">
        <v>1225</v>
      </c>
      <c r="W71" s="59">
        <f>+J71/$W$2</f>
        <v>1.6351290596985861E-4</v>
      </c>
    </row>
    <row r="72" spans="1:29">
      <c r="A72" s="13" t="s">
        <v>1352</v>
      </c>
      <c r="B72" s="13" t="s">
        <v>404</v>
      </c>
      <c r="C72" s="138">
        <v>46260</v>
      </c>
      <c r="D72" s="138" t="s">
        <v>424</v>
      </c>
      <c r="E72" s="28">
        <v>0.99917876000000005</v>
      </c>
      <c r="F72" s="13"/>
      <c r="G72" s="18">
        <v>2219157.79</v>
      </c>
      <c r="H72" s="18">
        <v>2217335.33</v>
      </c>
      <c r="I72" s="18">
        <v>2219157.79</v>
      </c>
      <c r="J72" s="18">
        <v>2217335.33</v>
      </c>
      <c r="K72" s="15">
        <v>149</v>
      </c>
      <c r="L72" s="13" t="s">
        <v>102</v>
      </c>
      <c r="M72" s="13" t="s">
        <v>103</v>
      </c>
      <c r="N72" s="138" t="s">
        <v>601</v>
      </c>
      <c r="O72" s="138" t="s">
        <v>601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1345</v>
      </c>
      <c r="V72" s="13" t="s">
        <v>1345</v>
      </c>
      <c r="W72" s="59">
        <f>+J72/$W$2</f>
        <v>3.628907396199082E-5</v>
      </c>
    </row>
    <row r="73" spans="1:29">
      <c r="A73" s="13" t="s">
        <v>1352</v>
      </c>
      <c r="B73" s="13" t="s">
        <v>404</v>
      </c>
      <c r="C73" s="138">
        <v>46260</v>
      </c>
      <c r="D73" s="138" t="s">
        <v>424</v>
      </c>
      <c r="E73" s="28">
        <v>0.99917876000000005</v>
      </c>
      <c r="F73" s="13"/>
      <c r="G73" s="18">
        <v>2219157.79</v>
      </c>
      <c r="H73" s="18">
        <v>2217335.33</v>
      </c>
      <c r="I73" s="18">
        <v>2219157.79</v>
      </c>
      <c r="J73" s="18">
        <v>2217335.33</v>
      </c>
      <c r="K73" s="15">
        <v>150</v>
      </c>
      <c r="L73" s="13" t="s">
        <v>102</v>
      </c>
      <c r="M73" s="13" t="s">
        <v>103</v>
      </c>
      <c r="N73" s="138" t="s">
        <v>601</v>
      </c>
      <c r="O73" s="138" t="s">
        <v>601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1346</v>
      </c>
      <c r="V73" s="13" t="s">
        <v>1346</v>
      </c>
      <c r="W73" s="59">
        <f>+J73/$W$2</f>
        <v>3.628907396199082E-5</v>
      </c>
    </row>
    <row r="74" spans="1:29">
      <c r="A74" s="13" t="s">
        <v>1353</v>
      </c>
      <c r="B74" s="13" t="s">
        <v>404</v>
      </c>
      <c r="C74" s="138">
        <v>46260</v>
      </c>
      <c r="D74" s="138" t="s">
        <v>424</v>
      </c>
      <c r="E74" s="28">
        <v>0.99917876000000005</v>
      </c>
      <c r="F74" s="13"/>
      <c r="G74" s="18">
        <v>5300000</v>
      </c>
      <c r="H74" s="18">
        <v>5295647.45</v>
      </c>
      <c r="I74" s="18">
        <v>5300000</v>
      </c>
      <c r="J74" s="18">
        <v>5295647.45</v>
      </c>
      <c r="K74" s="15">
        <v>21</v>
      </c>
      <c r="L74" s="13" t="s">
        <v>102</v>
      </c>
      <c r="M74" s="13" t="s">
        <v>103</v>
      </c>
      <c r="N74" s="138" t="s">
        <v>601</v>
      </c>
      <c r="O74" s="138" t="s">
        <v>601</v>
      </c>
      <c r="P74" s="28">
        <v>30</v>
      </c>
      <c r="Q74" s="13" t="s">
        <v>54</v>
      </c>
      <c r="R74" s="13" t="s">
        <v>28</v>
      </c>
      <c r="S74" s="13"/>
      <c r="T74" s="13"/>
      <c r="U74" s="13" t="s">
        <v>1348</v>
      </c>
      <c r="V74" s="13" t="s">
        <v>1348</v>
      </c>
      <c r="W74" s="59">
        <f>+J74/$W$2</f>
        <v>8.6668957730303285E-5</v>
      </c>
    </row>
    <row r="75" spans="1:29">
      <c r="A75" s="13" t="s">
        <v>1456</v>
      </c>
      <c r="B75" s="13" t="s">
        <v>404</v>
      </c>
      <c r="C75" s="138">
        <v>46260</v>
      </c>
      <c r="D75" s="138" t="s">
        <v>424</v>
      </c>
      <c r="E75" s="28">
        <v>0.99917876999999999</v>
      </c>
      <c r="F75" s="13"/>
      <c r="G75" s="18">
        <v>830000</v>
      </c>
      <c r="H75" s="18">
        <v>829318.38</v>
      </c>
      <c r="I75" s="18">
        <v>830000</v>
      </c>
      <c r="J75" s="18">
        <v>829318.38</v>
      </c>
      <c r="K75" s="15">
        <v>62</v>
      </c>
      <c r="L75" s="13" t="s">
        <v>102</v>
      </c>
      <c r="M75" s="13" t="s">
        <v>103</v>
      </c>
      <c r="N75" s="138" t="s">
        <v>383</v>
      </c>
      <c r="O75" s="138" t="s">
        <v>383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1653</v>
      </c>
      <c r="V75" s="13" t="s">
        <v>1653</v>
      </c>
      <c r="W75" s="59">
        <f>+J75/$W$2</f>
        <v>1.3572685927418297E-5</v>
      </c>
      <c r="AC75" s="56"/>
    </row>
    <row r="76" spans="1:29">
      <c r="A76" s="13" t="s">
        <v>1460</v>
      </c>
      <c r="B76" s="13" t="s">
        <v>404</v>
      </c>
      <c r="C76" s="138">
        <v>46260</v>
      </c>
      <c r="D76" s="138" t="s">
        <v>424</v>
      </c>
      <c r="E76" s="28">
        <v>0.99917876000000005</v>
      </c>
      <c r="F76" s="13"/>
      <c r="G76" s="18">
        <v>969231</v>
      </c>
      <c r="H76" s="18">
        <v>968435.03</v>
      </c>
      <c r="I76" s="18">
        <v>969231</v>
      </c>
      <c r="J76" s="18">
        <v>968435.03</v>
      </c>
      <c r="K76" s="15">
        <v>1400</v>
      </c>
      <c r="L76" s="13" t="s">
        <v>102</v>
      </c>
      <c r="M76" s="13" t="s">
        <v>103</v>
      </c>
      <c r="N76" s="138" t="s">
        <v>343</v>
      </c>
      <c r="O76" s="138" t="s">
        <v>343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1461</v>
      </c>
      <c r="V76" s="13" t="s">
        <v>1461</v>
      </c>
      <c r="W76" s="59">
        <f>+J76/$W$2</f>
        <v>1.5849479307693528E-5</v>
      </c>
    </row>
    <row r="77" spans="1:29">
      <c r="A77" s="13" t="s">
        <v>1460</v>
      </c>
      <c r="B77" s="13" t="s">
        <v>404</v>
      </c>
      <c r="C77" s="138">
        <v>46260</v>
      </c>
      <c r="D77" s="138" t="s">
        <v>424</v>
      </c>
      <c r="E77" s="28">
        <v>0.99917876000000005</v>
      </c>
      <c r="F77" s="13"/>
      <c r="G77" s="18">
        <v>969231</v>
      </c>
      <c r="H77" s="18">
        <v>968435.03</v>
      </c>
      <c r="I77" s="18">
        <v>969231</v>
      </c>
      <c r="J77" s="18">
        <v>968435.03</v>
      </c>
      <c r="K77" s="15">
        <v>1401</v>
      </c>
      <c r="L77" s="13" t="s">
        <v>102</v>
      </c>
      <c r="M77" s="13" t="s">
        <v>103</v>
      </c>
      <c r="N77" s="138" t="s">
        <v>343</v>
      </c>
      <c r="O77" s="138" t="s">
        <v>343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1462</v>
      </c>
      <c r="V77" s="13" t="s">
        <v>1462</v>
      </c>
      <c r="W77" s="59">
        <f>+J77/$W$2</f>
        <v>1.5849479307693528E-5</v>
      </c>
    </row>
    <row r="78" spans="1:29">
      <c r="A78" s="13" t="s">
        <v>916</v>
      </c>
      <c r="B78" s="13" t="s">
        <v>404</v>
      </c>
      <c r="C78" s="138">
        <v>46261</v>
      </c>
      <c r="D78" s="138" t="s">
        <v>424</v>
      </c>
      <c r="E78" s="28">
        <v>0.99841347999999996</v>
      </c>
      <c r="F78" s="13"/>
      <c r="G78" s="18">
        <v>200000000</v>
      </c>
      <c r="H78" s="18">
        <v>199682696.84</v>
      </c>
      <c r="I78" s="18">
        <v>200000000</v>
      </c>
      <c r="J78" s="18">
        <v>199682696.84</v>
      </c>
      <c r="K78" s="15">
        <v>90003857</v>
      </c>
      <c r="L78" s="13" t="s">
        <v>102</v>
      </c>
      <c r="M78" s="13" t="s">
        <v>103</v>
      </c>
      <c r="N78" s="138" t="s">
        <v>411</v>
      </c>
      <c r="O78" s="138" t="s">
        <v>411</v>
      </c>
      <c r="P78" s="28">
        <v>29</v>
      </c>
      <c r="Q78" s="13" t="s">
        <v>54</v>
      </c>
      <c r="R78" s="13" t="s">
        <v>28</v>
      </c>
      <c r="S78" s="13"/>
      <c r="T78" s="13"/>
      <c r="U78" s="13" t="s">
        <v>1091</v>
      </c>
      <c r="V78" s="13" t="s">
        <v>1091</v>
      </c>
      <c r="W78" s="59">
        <f>+J78/$W$2</f>
        <v>3.2680217811514103E-3</v>
      </c>
    </row>
    <row r="79" spans="1:29">
      <c r="A79" s="13" t="s">
        <v>323</v>
      </c>
      <c r="B79" s="13" t="s">
        <v>404</v>
      </c>
      <c r="C79" s="138">
        <v>46261</v>
      </c>
      <c r="D79" s="138" t="s">
        <v>424</v>
      </c>
      <c r="E79" s="28">
        <v>0.99819506000000002</v>
      </c>
      <c r="F79" s="13"/>
      <c r="G79" s="18">
        <v>100000000</v>
      </c>
      <c r="H79" s="18">
        <v>99819505.780000001</v>
      </c>
      <c r="I79" s="18">
        <v>100000000</v>
      </c>
      <c r="J79" s="18">
        <v>99819505.780000001</v>
      </c>
      <c r="K79" s="15">
        <v>16836840</v>
      </c>
      <c r="L79" s="13" t="s">
        <v>102</v>
      </c>
      <c r="M79" s="13" t="s">
        <v>103</v>
      </c>
      <c r="N79" s="138" t="s">
        <v>384</v>
      </c>
      <c r="O79" s="138" t="s">
        <v>384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1803</v>
      </c>
      <c r="V79" s="13" t="s">
        <v>1803</v>
      </c>
      <c r="W79" s="59">
        <f>+J79/$W$2</f>
        <v>1.6336534123144062E-3</v>
      </c>
    </row>
    <row r="80" spans="1:29">
      <c r="A80" s="13" t="s">
        <v>517</v>
      </c>
      <c r="B80" s="13" t="s">
        <v>404</v>
      </c>
      <c r="C80" s="138">
        <v>46261</v>
      </c>
      <c r="D80" s="138" t="s">
        <v>424</v>
      </c>
      <c r="E80" s="28">
        <v>0.99830426000000005</v>
      </c>
      <c r="F80" s="13"/>
      <c r="G80" s="18">
        <v>10000000</v>
      </c>
      <c r="H80" s="18">
        <v>9983042.6400000006</v>
      </c>
      <c r="I80" s="18">
        <v>10000000</v>
      </c>
      <c r="J80" s="18">
        <v>9983042.6400000006</v>
      </c>
      <c r="K80" s="15">
        <v>14004245</v>
      </c>
      <c r="L80" s="13" t="s">
        <v>102</v>
      </c>
      <c r="M80" s="13" t="s">
        <v>103</v>
      </c>
      <c r="N80" s="138" t="s">
        <v>341</v>
      </c>
      <c r="O80" s="138" t="s">
        <v>341</v>
      </c>
      <c r="P80" s="28">
        <v>31</v>
      </c>
      <c r="Q80" s="13" t="s">
        <v>54</v>
      </c>
      <c r="R80" s="13" t="s">
        <v>28</v>
      </c>
      <c r="S80" s="13"/>
      <c r="T80" s="13"/>
      <c r="U80" s="13" t="s">
        <v>1963</v>
      </c>
      <c r="V80" s="13" t="s">
        <v>1963</v>
      </c>
      <c r="W80" s="59">
        <f>+J80/$W$2</f>
        <v>1.633832139988804E-4</v>
      </c>
    </row>
    <row r="81" spans="1:29">
      <c r="A81" s="13" t="s">
        <v>772</v>
      </c>
      <c r="B81" s="13" t="s">
        <v>404</v>
      </c>
      <c r="C81" s="138">
        <v>46261</v>
      </c>
      <c r="D81" s="138" t="s">
        <v>424</v>
      </c>
      <c r="E81" s="28">
        <v>0.99819504999999997</v>
      </c>
      <c r="F81" s="13"/>
      <c r="G81" s="18">
        <v>2000000</v>
      </c>
      <c r="H81" s="18">
        <v>1996390.1</v>
      </c>
      <c r="I81" s="18">
        <v>2000000</v>
      </c>
      <c r="J81" s="18">
        <v>1996390.1</v>
      </c>
      <c r="K81" s="15">
        <v>438</v>
      </c>
      <c r="L81" s="13" t="s">
        <v>102</v>
      </c>
      <c r="M81" s="13" t="s">
        <v>103</v>
      </c>
      <c r="N81" s="138" t="s">
        <v>411</v>
      </c>
      <c r="O81" s="138" t="s">
        <v>411</v>
      </c>
      <c r="P81" s="28">
        <v>33</v>
      </c>
      <c r="Q81" s="13" t="s">
        <v>54</v>
      </c>
      <c r="R81" s="13" t="s">
        <v>28</v>
      </c>
      <c r="S81" s="13"/>
      <c r="T81" s="13"/>
      <c r="U81" s="13" t="s">
        <v>1090</v>
      </c>
      <c r="V81" s="13" t="s">
        <v>1090</v>
      </c>
      <c r="W81" s="59">
        <f>+J81/$W$2</f>
        <v>3.2673067990977374E-5</v>
      </c>
    </row>
    <row r="82" spans="1:29">
      <c r="A82" s="13" t="s">
        <v>537</v>
      </c>
      <c r="B82" s="13" t="s">
        <v>404</v>
      </c>
      <c r="C82" s="138">
        <v>46261</v>
      </c>
      <c r="D82" s="138" t="s">
        <v>424</v>
      </c>
      <c r="E82" s="28">
        <v>0.99868667</v>
      </c>
      <c r="F82" s="13"/>
      <c r="G82" s="18">
        <v>10000000</v>
      </c>
      <c r="H82" s="18">
        <v>9986866.6799999997</v>
      </c>
      <c r="I82" s="18">
        <v>10000000</v>
      </c>
      <c r="J82" s="18">
        <v>9986866.6799999997</v>
      </c>
      <c r="K82" s="15">
        <v>4535</v>
      </c>
      <c r="L82" s="13" t="s">
        <v>102</v>
      </c>
      <c r="M82" s="13" t="s">
        <v>103</v>
      </c>
      <c r="N82" s="138" t="s">
        <v>339</v>
      </c>
      <c r="O82" s="138" t="s">
        <v>339</v>
      </c>
      <c r="P82" s="28">
        <v>24</v>
      </c>
      <c r="Q82" s="13" t="s">
        <v>54</v>
      </c>
      <c r="R82" s="13" t="s">
        <v>28</v>
      </c>
      <c r="S82" s="13"/>
      <c r="T82" s="13"/>
      <c r="U82" s="13" t="s">
        <v>1551</v>
      </c>
      <c r="V82" s="13" t="s">
        <v>1551</v>
      </c>
      <c r="W82" s="59">
        <f>+J82/$W$2</f>
        <v>1.6344579852027238E-4</v>
      </c>
    </row>
    <row r="83" spans="1:29">
      <c r="A83" s="13" t="s">
        <v>537</v>
      </c>
      <c r="B83" s="13" t="s">
        <v>404</v>
      </c>
      <c r="C83" s="138">
        <v>46261</v>
      </c>
      <c r="D83" s="138" t="s">
        <v>424</v>
      </c>
      <c r="E83" s="28">
        <v>0.99841347999999996</v>
      </c>
      <c r="F83" s="13"/>
      <c r="G83" s="18">
        <v>40000000</v>
      </c>
      <c r="H83" s="18">
        <v>39936539.270000003</v>
      </c>
      <c r="I83" s="18">
        <v>40000000</v>
      </c>
      <c r="J83" s="18">
        <v>39936539.270000003</v>
      </c>
      <c r="K83" s="15">
        <v>80939846</v>
      </c>
      <c r="L83" s="13" t="s">
        <v>102</v>
      </c>
      <c r="M83" s="13" t="s">
        <v>103</v>
      </c>
      <c r="N83" s="138" t="s">
        <v>303</v>
      </c>
      <c r="O83" s="138" t="s">
        <v>303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679</v>
      </c>
      <c r="V83" s="13" t="s">
        <v>679</v>
      </c>
      <c r="W83" s="59">
        <f>+J83/$W$2</f>
        <v>6.5360435462640681E-4</v>
      </c>
    </row>
    <row r="84" spans="1:29">
      <c r="A84" s="13" t="s">
        <v>284</v>
      </c>
      <c r="B84" s="13" t="s">
        <v>404</v>
      </c>
      <c r="C84" s="138">
        <v>46261</v>
      </c>
      <c r="D84" s="138" t="s">
        <v>424</v>
      </c>
      <c r="E84" s="28">
        <v>0.99863201999999995</v>
      </c>
      <c r="F84" s="13"/>
      <c r="G84" s="18">
        <v>5670695.4100000001</v>
      </c>
      <c r="H84" s="18">
        <v>5662938.04</v>
      </c>
      <c r="I84" s="18">
        <v>5670695.4100000001</v>
      </c>
      <c r="J84" s="18">
        <v>5662938.04</v>
      </c>
      <c r="K84" s="15">
        <v>10260</v>
      </c>
      <c r="L84" s="13" t="s">
        <v>102</v>
      </c>
      <c r="M84" s="13" t="s">
        <v>103</v>
      </c>
      <c r="N84" s="138" t="s">
        <v>173</v>
      </c>
      <c r="O84" s="138" t="s">
        <v>173</v>
      </c>
      <c r="P84" s="28">
        <v>25</v>
      </c>
      <c r="Q84" s="13" t="s">
        <v>54</v>
      </c>
      <c r="R84" s="13" t="s">
        <v>28</v>
      </c>
      <c r="S84" s="13"/>
      <c r="T84" s="13"/>
      <c r="U84" s="13" t="s">
        <v>1988</v>
      </c>
      <c r="V84" s="13" t="s">
        <v>1988</v>
      </c>
      <c r="W84" s="59">
        <f>+J84/$W$2</f>
        <v>9.2680062683947456E-5</v>
      </c>
    </row>
    <row r="85" spans="1:29">
      <c r="A85" s="13" t="s">
        <v>516</v>
      </c>
      <c r="B85" s="13" t="s">
        <v>404</v>
      </c>
      <c r="C85" s="138">
        <v>46261</v>
      </c>
      <c r="D85" s="138" t="s">
        <v>424</v>
      </c>
      <c r="E85" s="28">
        <v>0.99819506999999996</v>
      </c>
      <c r="F85" s="13"/>
      <c r="G85" s="18">
        <v>5000000</v>
      </c>
      <c r="H85" s="18">
        <v>4990975.3499999996</v>
      </c>
      <c r="I85" s="18">
        <v>5000000</v>
      </c>
      <c r="J85" s="18">
        <v>4990975.3499999996</v>
      </c>
      <c r="K85" s="15">
        <v>3817582</v>
      </c>
      <c r="L85" s="13" t="s">
        <v>102</v>
      </c>
      <c r="M85" s="13" t="s">
        <v>103</v>
      </c>
      <c r="N85" s="138" t="s">
        <v>422</v>
      </c>
      <c r="O85" s="138" t="s">
        <v>422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2268</v>
      </c>
      <c r="V85" s="13" t="s">
        <v>2268</v>
      </c>
      <c r="W85" s="59">
        <f>+J85/$W$2</f>
        <v>8.1682671614050813E-5</v>
      </c>
    </row>
    <row r="86" spans="1:29">
      <c r="A86" s="13" t="s">
        <v>285</v>
      </c>
      <c r="B86" s="13" t="s">
        <v>404</v>
      </c>
      <c r="C86" s="138">
        <v>46261</v>
      </c>
      <c r="D86" s="138" t="s">
        <v>424</v>
      </c>
      <c r="E86" s="28">
        <v>0.99841347999999996</v>
      </c>
      <c r="F86" s="13"/>
      <c r="G86" s="18">
        <v>10000000</v>
      </c>
      <c r="H86" s="18">
        <v>9984134.8300000001</v>
      </c>
      <c r="I86" s="18">
        <v>10000000</v>
      </c>
      <c r="J86" s="18">
        <v>9984134.8300000001</v>
      </c>
      <c r="K86" s="15">
        <v>2155</v>
      </c>
      <c r="L86" s="13" t="s">
        <v>102</v>
      </c>
      <c r="M86" s="13" t="s">
        <v>103</v>
      </c>
      <c r="N86" s="138" t="s">
        <v>331</v>
      </c>
      <c r="O86" s="138" t="s">
        <v>331</v>
      </c>
      <c r="P86" s="28">
        <v>29</v>
      </c>
      <c r="Q86" s="13" t="s">
        <v>54</v>
      </c>
      <c r="R86" s="13" t="s">
        <v>28</v>
      </c>
      <c r="S86" s="13"/>
      <c r="T86" s="13"/>
      <c r="U86" s="13" t="s">
        <v>669</v>
      </c>
      <c r="V86" s="13" t="s">
        <v>669</v>
      </c>
      <c r="W86" s="59">
        <f>+J86/$W$2</f>
        <v>1.6340108886117762E-4</v>
      </c>
    </row>
    <row r="87" spans="1:29">
      <c r="A87" s="13" t="s">
        <v>285</v>
      </c>
      <c r="B87" s="13" t="s">
        <v>404</v>
      </c>
      <c r="C87" s="138">
        <v>46261</v>
      </c>
      <c r="D87" s="138" t="s">
        <v>424</v>
      </c>
      <c r="E87" s="28">
        <v>0.99841347999999996</v>
      </c>
      <c r="F87" s="13"/>
      <c r="G87" s="18">
        <v>10000000</v>
      </c>
      <c r="H87" s="18">
        <v>9984134.8100000005</v>
      </c>
      <c r="I87" s="18">
        <v>10000000</v>
      </c>
      <c r="J87" s="18">
        <v>9984134.8100000005</v>
      </c>
      <c r="K87" s="15">
        <v>66412433</v>
      </c>
      <c r="L87" s="13" t="s">
        <v>102</v>
      </c>
      <c r="M87" s="13" t="s">
        <v>103</v>
      </c>
      <c r="N87" s="138" t="s">
        <v>289</v>
      </c>
      <c r="O87" s="138" t="s">
        <v>289</v>
      </c>
      <c r="P87" s="28">
        <v>29</v>
      </c>
      <c r="Q87" s="13" t="s">
        <v>54</v>
      </c>
      <c r="R87" s="13" t="s">
        <v>28</v>
      </c>
      <c r="S87" s="13"/>
      <c r="T87" s="13"/>
      <c r="U87" s="13" t="s">
        <v>609</v>
      </c>
      <c r="V87" s="13" t="s">
        <v>609</v>
      </c>
      <c r="W87" s="59">
        <f>+J87/$W$2</f>
        <v>1.6340108853385617E-4</v>
      </c>
    </row>
    <row r="88" spans="1:29">
      <c r="A88" s="13" t="s">
        <v>694</v>
      </c>
      <c r="B88" s="13" t="s">
        <v>404</v>
      </c>
      <c r="C88" s="138">
        <v>46261</v>
      </c>
      <c r="D88" s="138" t="s">
        <v>424</v>
      </c>
      <c r="E88" s="28">
        <v>0.99846811000000002</v>
      </c>
      <c r="F88" s="13"/>
      <c r="G88" s="18">
        <v>5000000</v>
      </c>
      <c r="H88" s="18">
        <v>4992340.53</v>
      </c>
      <c r="I88" s="18">
        <v>5000000</v>
      </c>
      <c r="J88" s="18">
        <v>4992340.53</v>
      </c>
      <c r="K88" s="15">
        <v>29175496</v>
      </c>
      <c r="L88" s="13" t="s">
        <v>102</v>
      </c>
      <c r="M88" s="13" t="s">
        <v>103</v>
      </c>
      <c r="N88" s="138" t="s">
        <v>317</v>
      </c>
      <c r="O88" s="138" t="s">
        <v>317</v>
      </c>
      <c r="P88" s="28">
        <v>28</v>
      </c>
      <c r="Q88" s="13" t="s">
        <v>54</v>
      </c>
      <c r="R88" s="13" t="s">
        <v>28</v>
      </c>
      <c r="S88" s="13"/>
      <c r="T88" s="13"/>
      <c r="U88" s="13" t="s">
        <v>691</v>
      </c>
      <c r="V88" s="13" t="s">
        <v>691</v>
      </c>
      <c r="W88" s="59">
        <f>+J88/$W$2</f>
        <v>8.1705014250873123E-5</v>
      </c>
      <c r="AC88" s="56"/>
    </row>
    <row r="89" spans="1:29">
      <c r="A89" s="13" t="s">
        <v>466</v>
      </c>
      <c r="B89" s="13" t="s">
        <v>404</v>
      </c>
      <c r="C89" s="138">
        <v>46261</v>
      </c>
      <c r="D89" s="138" t="s">
        <v>424</v>
      </c>
      <c r="E89" s="28">
        <v>0.99863199999999996</v>
      </c>
      <c r="F89" s="13"/>
      <c r="G89" s="18">
        <v>456527.78</v>
      </c>
      <c r="H89" s="18">
        <v>455903.25</v>
      </c>
      <c r="I89" s="18">
        <v>456527.78</v>
      </c>
      <c r="J89" s="18">
        <v>455903.25</v>
      </c>
      <c r="K89" s="15">
        <v>11341119</v>
      </c>
      <c r="L89" s="13" t="s">
        <v>102</v>
      </c>
      <c r="M89" s="13" t="s">
        <v>103</v>
      </c>
      <c r="N89" s="138" t="s">
        <v>163</v>
      </c>
      <c r="O89" s="138" t="s">
        <v>163</v>
      </c>
      <c r="P89" s="28">
        <v>25</v>
      </c>
      <c r="Q89" s="13" t="s">
        <v>54</v>
      </c>
      <c r="R89" s="13" t="s">
        <v>28</v>
      </c>
      <c r="S89" s="13"/>
      <c r="T89" s="13"/>
      <c r="U89" s="13" t="s">
        <v>1144</v>
      </c>
      <c r="V89" s="13" t="s">
        <v>1144</v>
      </c>
      <c r="W89" s="59">
        <f>+J89/$W$2</f>
        <v>7.4613462992816651E-6</v>
      </c>
    </row>
    <row r="90" spans="1:29">
      <c r="A90" s="13" t="s">
        <v>146</v>
      </c>
      <c r="B90" s="13" t="s">
        <v>404</v>
      </c>
      <c r="C90" s="138">
        <v>46261</v>
      </c>
      <c r="D90" s="138" t="s">
        <v>424</v>
      </c>
      <c r="E90" s="28">
        <v>0.99863201999999995</v>
      </c>
      <c r="F90" s="13"/>
      <c r="G90" s="18">
        <v>50000000</v>
      </c>
      <c r="H90" s="18">
        <v>49931600.840000004</v>
      </c>
      <c r="I90" s="18">
        <v>50000000</v>
      </c>
      <c r="J90" s="18">
        <v>49931600.840000004</v>
      </c>
      <c r="K90" s="15">
        <v>4901</v>
      </c>
      <c r="L90" s="13" t="s">
        <v>102</v>
      </c>
      <c r="M90" s="13" t="s">
        <v>103</v>
      </c>
      <c r="N90" s="138" t="s">
        <v>390</v>
      </c>
      <c r="O90" s="138" t="s">
        <v>390</v>
      </c>
      <c r="P90" s="28">
        <v>25</v>
      </c>
      <c r="Q90" s="13" t="s">
        <v>54</v>
      </c>
      <c r="R90" s="13" t="s">
        <v>28</v>
      </c>
      <c r="S90" s="13"/>
      <c r="T90" s="13"/>
      <c r="U90" s="13" t="s">
        <v>1109</v>
      </c>
      <c r="V90" s="13" t="s">
        <v>1109</v>
      </c>
      <c r="W90" s="59">
        <f>+J90/$W$2</f>
        <v>8.1718427132235476E-4</v>
      </c>
    </row>
    <row r="91" spans="1:29">
      <c r="A91" s="13" t="s">
        <v>285</v>
      </c>
      <c r="B91" s="13" t="s">
        <v>404</v>
      </c>
      <c r="C91" s="138">
        <v>46261</v>
      </c>
      <c r="D91" s="138" t="s">
        <v>424</v>
      </c>
      <c r="E91" s="28">
        <v>0.99857737000000002</v>
      </c>
      <c r="F91" s="13"/>
      <c r="G91" s="18">
        <v>10000000</v>
      </c>
      <c r="H91" s="18">
        <v>9985773.6899999995</v>
      </c>
      <c r="I91" s="18">
        <v>10000000</v>
      </c>
      <c r="J91" s="18">
        <v>9985773.6899999995</v>
      </c>
      <c r="K91" s="15">
        <v>68035340</v>
      </c>
      <c r="L91" s="13" t="s">
        <v>102</v>
      </c>
      <c r="M91" s="13" t="s">
        <v>103</v>
      </c>
      <c r="N91" s="138" t="s">
        <v>420</v>
      </c>
      <c r="O91" s="138" t="s">
        <v>420</v>
      </c>
      <c r="P91" s="28">
        <v>26</v>
      </c>
      <c r="Q91" s="13" t="s">
        <v>54</v>
      </c>
      <c r="R91" s="13" t="s">
        <v>28</v>
      </c>
      <c r="S91" s="13"/>
      <c r="T91" s="13"/>
      <c r="U91" s="13" t="s">
        <v>1294</v>
      </c>
      <c r="V91" s="13" t="s">
        <v>1294</v>
      </c>
      <c r="W91" s="59">
        <f>+J91/$W$2</f>
        <v>1.6342791056511599E-4</v>
      </c>
    </row>
    <row r="92" spans="1:29">
      <c r="A92" s="13" t="s">
        <v>405</v>
      </c>
      <c r="B92" s="13" t="s">
        <v>404</v>
      </c>
      <c r="C92" s="138">
        <v>46261</v>
      </c>
      <c r="D92" s="138" t="s">
        <v>424</v>
      </c>
      <c r="E92" s="28">
        <v>0.99835885999999996</v>
      </c>
      <c r="F92" s="13"/>
      <c r="G92" s="18">
        <v>5000000</v>
      </c>
      <c r="H92" s="18">
        <v>4991794.3099999996</v>
      </c>
      <c r="I92" s="18">
        <v>5000000</v>
      </c>
      <c r="J92" s="18">
        <v>4991794.3099999996</v>
      </c>
      <c r="K92" s="15">
        <v>681</v>
      </c>
      <c r="L92" s="13" t="s">
        <v>102</v>
      </c>
      <c r="M92" s="13" t="s">
        <v>103</v>
      </c>
      <c r="N92" s="138" t="s">
        <v>382</v>
      </c>
      <c r="O92" s="138" t="s">
        <v>382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1117</v>
      </c>
      <c r="V92" s="13" t="s">
        <v>1117</v>
      </c>
      <c r="W92" s="59">
        <f>+J92/$W$2</f>
        <v>8.1696074773965243E-5</v>
      </c>
    </row>
    <row r="93" spans="1:29">
      <c r="A93" s="13" t="s">
        <v>405</v>
      </c>
      <c r="B93" s="13" t="s">
        <v>404</v>
      </c>
      <c r="C93" s="138">
        <v>46261</v>
      </c>
      <c r="D93" s="138" t="s">
        <v>424</v>
      </c>
      <c r="E93" s="28">
        <v>0.99835887999999995</v>
      </c>
      <c r="F93" s="13"/>
      <c r="G93" s="18">
        <v>3300000</v>
      </c>
      <c r="H93" s="18">
        <v>3294584.32</v>
      </c>
      <c r="I93" s="18">
        <v>3300000</v>
      </c>
      <c r="J93" s="18">
        <v>3294584.32</v>
      </c>
      <c r="K93" s="15">
        <v>915</v>
      </c>
      <c r="L93" s="13" t="s">
        <v>102</v>
      </c>
      <c r="M93" s="13" t="s">
        <v>103</v>
      </c>
      <c r="N93" s="138" t="s">
        <v>422</v>
      </c>
      <c r="O93" s="138" t="s">
        <v>422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2255</v>
      </c>
      <c r="V93" s="13" t="s">
        <v>2255</v>
      </c>
      <c r="W93" s="59">
        <f>+J93/$W$2</f>
        <v>5.3919410584819036E-5</v>
      </c>
    </row>
    <row r="94" spans="1:29">
      <c r="A94" s="13" t="s">
        <v>405</v>
      </c>
      <c r="B94" s="13" t="s">
        <v>404</v>
      </c>
      <c r="C94" s="138">
        <v>46261</v>
      </c>
      <c r="D94" s="138" t="s">
        <v>424</v>
      </c>
      <c r="E94" s="28">
        <v>0.99835885999999996</v>
      </c>
      <c r="F94" s="13"/>
      <c r="G94" s="18">
        <v>8750000</v>
      </c>
      <c r="H94" s="18">
        <v>8735640.0500000007</v>
      </c>
      <c r="I94" s="18">
        <v>8750000</v>
      </c>
      <c r="J94" s="18">
        <v>8735640.0500000007</v>
      </c>
      <c r="K94" s="15">
        <v>634</v>
      </c>
      <c r="L94" s="13" t="s">
        <v>102</v>
      </c>
      <c r="M94" s="13" t="s">
        <v>103</v>
      </c>
      <c r="N94" s="138" t="s">
        <v>338</v>
      </c>
      <c r="O94" s="138" t="s">
        <v>338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1019</v>
      </c>
      <c r="V94" s="13" t="s">
        <v>1019</v>
      </c>
      <c r="W94" s="59">
        <f>+J94/$W$2</f>
        <v>1.4296813097718476E-4</v>
      </c>
    </row>
    <row r="95" spans="1:29">
      <c r="A95" s="13" t="s">
        <v>405</v>
      </c>
      <c r="B95" s="13" t="s">
        <v>404</v>
      </c>
      <c r="C95" s="138">
        <v>46261</v>
      </c>
      <c r="D95" s="138" t="s">
        <v>424</v>
      </c>
      <c r="E95" s="28">
        <v>0.99835885999999996</v>
      </c>
      <c r="F95" s="13"/>
      <c r="G95" s="18">
        <v>10000000</v>
      </c>
      <c r="H95" s="18">
        <v>9983588.6400000006</v>
      </c>
      <c r="I95" s="18">
        <v>10000000</v>
      </c>
      <c r="J95" s="18">
        <v>9983588.6400000006</v>
      </c>
      <c r="K95" s="15">
        <v>636</v>
      </c>
      <c r="L95" s="13" t="s">
        <v>102</v>
      </c>
      <c r="M95" s="13" t="s">
        <v>103</v>
      </c>
      <c r="N95" s="138" t="s">
        <v>344</v>
      </c>
      <c r="O95" s="138" t="s">
        <v>344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1041</v>
      </c>
      <c r="V95" s="13" t="s">
        <v>1041</v>
      </c>
      <c r="W95" s="59">
        <f>+J95/$W$2</f>
        <v>1.6339214987525199E-4</v>
      </c>
    </row>
    <row r="96" spans="1:29">
      <c r="A96" s="13" t="s">
        <v>405</v>
      </c>
      <c r="B96" s="13" t="s">
        <v>404</v>
      </c>
      <c r="C96" s="138">
        <v>46261</v>
      </c>
      <c r="D96" s="138" t="s">
        <v>424</v>
      </c>
      <c r="E96" s="28">
        <v>0.99835885999999996</v>
      </c>
      <c r="F96" s="13"/>
      <c r="G96" s="18">
        <v>5000000</v>
      </c>
      <c r="H96" s="18">
        <v>4991794.32</v>
      </c>
      <c r="I96" s="18">
        <v>5000000</v>
      </c>
      <c r="J96" s="18">
        <v>4991794.32</v>
      </c>
      <c r="K96" s="15">
        <v>641</v>
      </c>
      <c r="L96" s="13" t="s">
        <v>102</v>
      </c>
      <c r="M96" s="13" t="s">
        <v>103</v>
      </c>
      <c r="N96" s="138" t="s">
        <v>344</v>
      </c>
      <c r="O96" s="138" t="s">
        <v>344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1037</v>
      </c>
      <c r="V96" s="13" t="s">
        <v>1037</v>
      </c>
      <c r="W96" s="59">
        <f>+J96/$W$2</f>
        <v>8.1696074937625995E-5</v>
      </c>
    </row>
    <row r="97" spans="1:29">
      <c r="A97" s="13" t="s">
        <v>144</v>
      </c>
      <c r="B97" s="13" t="s">
        <v>404</v>
      </c>
      <c r="C97" s="138">
        <v>46261</v>
      </c>
      <c r="D97" s="138" t="s">
        <v>424</v>
      </c>
      <c r="E97" s="28">
        <v>0.99808587000000004</v>
      </c>
      <c r="F97" s="13"/>
      <c r="G97" s="18">
        <v>15000000</v>
      </c>
      <c r="H97" s="18">
        <v>14971287.99</v>
      </c>
      <c r="I97" s="18">
        <v>15000000</v>
      </c>
      <c r="J97" s="18">
        <v>14971287.99</v>
      </c>
      <c r="K97" s="15">
        <v>4268</v>
      </c>
      <c r="L97" s="13" t="s">
        <v>102</v>
      </c>
      <c r="M97" s="13" t="s">
        <v>103</v>
      </c>
      <c r="N97" s="138" t="s">
        <v>412</v>
      </c>
      <c r="O97" s="138" t="s">
        <v>412</v>
      </c>
      <c r="P97" s="28">
        <v>35</v>
      </c>
      <c r="Q97" s="13" t="s">
        <v>54</v>
      </c>
      <c r="R97" s="13" t="s">
        <v>28</v>
      </c>
      <c r="S97" s="13"/>
      <c r="T97" s="13"/>
      <c r="U97" s="13" t="s">
        <v>984</v>
      </c>
      <c r="V97" s="13" t="s">
        <v>984</v>
      </c>
      <c r="W97" s="59">
        <f>+J97/$W$2</f>
        <v>2.4502120623107323E-4</v>
      </c>
    </row>
    <row r="98" spans="1:29">
      <c r="A98" s="13" t="s">
        <v>917</v>
      </c>
      <c r="B98" s="13" t="s">
        <v>404</v>
      </c>
      <c r="C98" s="138">
        <v>46261</v>
      </c>
      <c r="D98" s="138" t="s">
        <v>424</v>
      </c>
      <c r="E98" s="28">
        <v>0.99819504999999997</v>
      </c>
      <c r="F98" s="13"/>
      <c r="G98" s="18">
        <v>2200000</v>
      </c>
      <c r="H98" s="18">
        <v>2196029.11</v>
      </c>
      <c r="I98" s="18">
        <v>2200000</v>
      </c>
      <c r="J98" s="18">
        <v>2196029.11</v>
      </c>
      <c r="K98" s="15">
        <v>6196</v>
      </c>
      <c r="L98" s="13" t="s">
        <v>102</v>
      </c>
      <c r="M98" s="13" t="s">
        <v>103</v>
      </c>
      <c r="N98" s="138" t="s">
        <v>311</v>
      </c>
      <c r="O98" s="138" t="s">
        <v>311</v>
      </c>
      <c r="P98" s="28">
        <v>33</v>
      </c>
      <c r="Q98" s="13" t="s">
        <v>54</v>
      </c>
      <c r="R98" s="13" t="s">
        <v>28</v>
      </c>
      <c r="S98" s="13"/>
      <c r="T98" s="13"/>
      <c r="U98" s="13" t="s">
        <v>910</v>
      </c>
      <c r="V98" s="13" t="s">
        <v>910</v>
      </c>
      <c r="W98" s="59">
        <f>+J98/$W$2</f>
        <v>3.5940374790075106E-5</v>
      </c>
    </row>
    <row r="99" spans="1:29">
      <c r="A99" s="13" t="s">
        <v>1779</v>
      </c>
      <c r="B99" s="13" t="s">
        <v>404</v>
      </c>
      <c r="C99" s="138">
        <v>46261</v>
      </c>
      <c r="D99" s="138" t="s">
        <v>424</v>
      </c>
      <c r="E99" s="28">
        <v>0.99819506000000002</v>
      </c>
      <c r="F99" s="13"/>
      <c r="G99" s="18">
        <v>5000000</v>
      </c>
      <c r="H99" s="18">
        <v>4990975.28</v>
      </c>
      <c r="I99" s="18">
        <v>5000000</v>
      </c>
      <c r="J99" s="18">
        <v>4990975.28</v>
      </c>
      <c r="K99" s="15">
        <v>832</v>
      </c>
      <c r="L99" s="13" t="s">
        <v>102</v>
      </c>
      <c r="M99" s="13" t="s">
        <v>103</v>
      </c>
      <c r="N99" s="138" t="s">
        <v>386</v>
      </c>
      <c r="O99" s="138" t="s">
        <v>386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1827</v>
      </c>
      <c r="V99" s="13" t="s">
        <v>1827</v>
      </c>
      <c r="W99" s="59">
        <f>+J99/$W$2</f>
        <v>8.1682670468425647E-5</v>
      </c>
    </row>
    <row r="100" spans="1:29">
      <c r="A100" s="13" t="s">
        <v>1779</v>
      </c>
      <c r="B100" s="13" t="s">
        <v>404</v>
      </c>
      <c r="C100" s="138">
        <v>46261</v>
      </c>
      <c r="D100" s="138" t="s">
        <v>424</v>
      </c>
      <c r="E100" s="28">
        <v>0.99819506000000002</v>
      </c>
      <c r="F100" s="13"/>
      <c r="G100" s="18">
        <v>4000000</v>
      </c>
      <c r="H100" s="18">
        <v>3992780.22</v>
      </c>
      <c r="I100" s="18">
        <v>4000000</v>
      </c>
      <c r="J100" s="18">
        <v>3992780.22</v>
      </c>
      <c r="K100" s="15">
        <v>751</v>
      </c>
      <c r="L100" s="13" t="s">
        <v>102</v>
      </c>
      <c r="M100" s="13" t="s">
        <v>103</v>
      </c>
      <c r="N100" s="138" t="s">
        <v>386</v>
      </c>
      <c r="O100" s="138" t="s">
        <v>386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1829</v>
      </c>
      <c r="V100" s="13" t="s">
        <v>1829</v>
      </c>
      <c r="W100" s="59">
        <f>+J100/$W$2</f>
        <v>6.5346136309276225E-5</v>
      </c>
    </row>
    <row r="101" spans="1:29">
      <c r="A101" s="13" t="s">
        <v>1779</v>
      </c>
      <c r="B101" s="13" t="s">
        <v>404</v>
      </c>
      <c r="C101" s="138">
        <v>46261</v>
      </c>
      <c r="D101" s="138" t="s">
        <v>424</v>
      </c>
      <c r="E101" s="28">
        <v>0.99819504999999997</v>
      </c>
      <c r="F101" s="13"/>
      <c r="G101" s="18">
        <v>7500000</v>
      </c>
      <c r="H101" s="18">
        <v>7486462.9100000001</v>
      </c>
      <c r="I101" s="18">
        <v>7500000</v>
      </c>
      <c r="J101" s="18">
        <v>7486462.9100000001</v>
      </c>
      <c r="K101" s="15">
        <v>887</v>
      </c>
      <c r="L101" s="13" t="s">
        <v>102</v>
      </c>
      <c r="M101" s="13" t="s">
        <v>103</v>
      </c>
      <c r="N101" s="138" t="s">
        <v>386</v>
      </c>
      <c r="O101" s="138" t="s">
        <v>386</v>
      </c>
      <c r="P101" s="28">
        <v>33</v>
      </c>
      <c r="Q101" s="13" t="s">
        <v>54</v>
      </c>
      <c r="R101" s="13" t="s">
        <v>28</v>
      </c>
      <c r="S101" s="13"/>
      <c r="T101" s="13"/>
      <c r="U101" s="13" t="s">
        <v>1830</v>
      </c>
      <c r="V101" s="13" t="s">
        <v>1830</v>
      </c>
      <c r="W101" s="59">
        <f>+J101/$W$2</f>
        <v>1.2252400553897772E-4</v>
      </c>
    </row>
    <row r="102" spans="1:29">
      <c r="A102" s="13" t="s">
        <v>409</v>
      </c>
      <c r="B102" s="13" t="s">
        <v>404</v>
      </c>
      <c r="C102" s="138">
        <v>46261</v>
      </c>
      <c r="D102" s="138" t="s">
        <v>424</v>
      </c>
      <c r="E102" s="28">
        <v>0.99819504999999997</v>
      </c>
      <c r="F102" s="13"/>
      <c r="G102" s="18">
        <v>12500000</v>
      </c>
      <c r="H102" s="18">
        <v>12477438.07</v>
      </c>
      <c r="I102" s="18">
        <v>12500000</v>
      </c>
      <c r="J102" s="18">
        <v>12477438.07</v>
      </c>
      <c r="K102" s="15">
        <v>1355</v>
      </c>
      <c r="L102" s="13" t="s">
        <v>102</v>
      </c>
      <c r="M102" s="13" t="s">
        <v>103</v>
      </c>
      <c r="N102" s="138" t="s">
        <v>373</v>
      </c>
      <c r="O102" s="138" t="s">
        <v>373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777</v>
      </c>
      <c r="V102" s="13" t="s">
        <v>777</v>
      </c>
      <c r="W102" s="59">
        <f>+J102/$W$2</f>
        <v>2.0420667404347451E-4</v>
      </c>
    </row>
    <row r="103" spans="1:29">
      <c r="A103" s="13" t="s">
        <v>2512</v>
      </c>
      <c r="B103" s="13" t="s">
        <v>404</v>
      </c>
      <c r="C103" s="138">
        <v>46261</v>
      </c>
      <c r="D103" s="138" t="s">
        <v>424</v>
      </c>
      <c r="E103" s="28">
        <v>0.99814051999999998</v>
      </c>
      <c r="F103" s="13"/>
      <c r="G103" s="18">
        <v>5986158.2300000004</v>
      </c>
      <c r="H103" s="18">
        <v>5975027.0800000001</v>
      </c>
      <c r="I103" s="18">
        <v>5986158.2300000004</v>
      </c>
      <c r="J103" s="18">
        <v>5975027.0800000001</v>
      </c>
      <c r="K103" s="15">
        <v>2580</v>
      </c>
      <c r="L103" s="13" t="s">
        <v>102</v>
      </c>
      <c r="M103" s="13" t="s">
        <v>103</v>
      </c>
      <c r="N103" s="138" t="s">
        <v>170</v>
      </c>
      <c r="O103" s="138" t="s">
        <v>170</v>
      </c>
      <c r="P103" s="28">
        <v>34</v>
      </c>
      <c r="Q103" s="13" t="s">
        <v>54</v>
      </c>
      <c r="R103" s="13" t="s">
        <v>28</v>
      </c>
      <c r="S103" s="13"/>
      <c r="T103" s="13"/>
      <c r="U103" s="13" t="s">
        <v>2454</v>
      </c>
      <c r="V103" s="13" t="s">
        <v>2454</v>
      </c>
      <c r="W103" s="59">
        <f>+J103/$W$2</f>
        <v>9.7787734988653263E-5</v>
      </c>
      <c r="AC103" s="56"/>
    </row>
    <row r="104" spans="1:29">
      <c r="A104" s="13" t="s">
        <v>1026</v>
      </c>
      <c r="B104" s="13" t="s">
        <v>404</v>
      </c>
      <c r="C104" s="138">
        <v>46261</v>
      </c>
      <c r="D104" s="138" t="s">
        <v>424</v>
      </c>
      <c r="E104" s="28">
        <v>0.99835885999999996</v>
      </c>
      <c r="F104" s="13"/>
      <c r="G104" s="18">
        <v>1770042.53</v>
      </c>
      <c r="H104" s="18">
        <v>1767137.65</v>
      </c>
      <c r="I104" s="18">
        <v>1770042.53</v>
      </c>
      <c r="J104" s="18">
        <v>1767137.65</v>
      </c>
      <c r="K104" s="15">
        <v>250</v>
      </c>
      <c r="L104" s="13" t="s">
        <v>102</v>
      </c>
      <c r="M104" s="13" t="s">
        <v>103</v>
      </c>
      <c r="N104" s="138" t="s">
        <v>344</v>
      </c>
      <c r="O104" s="138" t="s">
        <v>344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1027</v>
      </c>
      <c r="V104" s="13" t="s">
        <v>1027</v>
      </c>
      <c r="W104" s="59">
        <f>+J104/$W$2</f>
        <v>2.8921105443202692E-5</v>
      </c>
      <c r="AC104" s="56"/>
    </row>
    <row r="105" spans="1:29">
      <c r="A105" s="13" t="s">
        <v>1234</v>
      </c>
      <c r="B105" s="13" t="s">
        <v>404</v>
      </c>
      <c r="C105" s="138">
        <v>46261</v>
      </c>
      <c r="D105" s="138" t="s">
        <v>424</v>
      </c>
      <c r="E105" s="28">
        <v>0.99819506000000002</v>
      </c>
      <c r="F105" s="13"/>
      <c r="G105" s="18">
        <v>10000000</v>
      </c>
      <c r="H105" s="18">
        <v>9981950.5600000005</v>
      </c>
      <c r="I105" s="18">
        <v>10000000</v>
      </c>
      <c r="J105" s="18">
        <v>9981950.5600000005</v>
      </c>
      <c r="K105" s="15">
        <v>5743951</v>
      </c>
      <c r="L105" s="13" t="s">
        <v>102</v>
      </c>
      <c r="M105" s="13" t="s">
        <v>103</v>
      </c>
      <c r="N105" s="138" t="s">
        <v>374</v>
      </c>
      <c r="O105" s="138" t="s">
        <v>374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1226</v>
      </c>
      <c r="V105" s="13" t="s">
        <v>1226</v>
      </c>
      <c r="W105" s="59">
        <f>+J105/$W$2</f>
        <v>1.6336534093685129E-4</v>
      </c>
    </row>
    <row r="106" spans="1:29">
      <c r="A106" s="13" t="s">
        <v>1460</v>
      </c>
      <c r="B106" s="13" t="s">
        <v>404</v>
      </c>
      <c r="C106" s="138">
        <v>46261</v>
      </c>
      <c r="D106" s="138" t="s">
        <v>424</v>
      </c>
      <c r="E106" s="28">
        <v>0.99835885999999996</v>
      </c>
      <c r="F106" s="13"/>
      <c r="G106" s="18">
        <v>969231.48</v>
      </c>
      <c r="H106" s="18">
        <v>967640.84</v>
      </c>
      <c r="I106" s="18">
        <v>969231.48</v>
      </c>
      <c r="J106" s="18">
        <v>967640.84</v>
      </c>
      <c r="K106" s="15">
        <v>1402</v>
      </c>
      <c r="L106" s="13" t="s">
        <v>102</v>
      </c>
      <c r="M106" s="13" t="s">
        <v>103</v>
      </c>
      <c r="N106" s="138" t="s">
        <v>343</v>
      </c>
      <c r="O106" s="138" t="s">
        <v>343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1463</v>
      </c>
      <c r="V106" s="13" t="s">
        <v>1463</v>
      </c>
      <c r="W106" s="59">
        <f>+J106/$W$2</f>
        <v>1.5836481535430601E-5</v>
      </c>
    </row>
    <row r="107" spans="1:29">
      <c r="A107" s="13" t="s">
        <v>1543</v>
      </c>
      <c r="B107" s="13" t="s">
        <v>404</v>
      </c>
      <c r="C107" s="138">
        <v>46261</v>
      </c>
      <c r="D107" s="138" t="s">
        <v>424</v>
      </c>
      <c r="E107" s="28">
        <v>0.99819504999999997</v>
      </c>
      <c r="F107" s="13"/>
      <c r="G107" s="18">
        <v>6690591.5999999996</v>
      </c>
      <c r="H107" s="18">
        <v>6678515.4299999997</v>
      </c>
      <c r="I107" s="18">
        <v>6690591.5999999996</v>
      </c>
      <c r="J107" s="18">
        <v>6678515.4299999997</v>
      </c>
      <c r="K107" s="15">
        <v>80217409</v>
      </c>
      <c r="L107" s="13" t="s">
        <v>102</v>
      </c>
      <c r="M107" s="13" t="s">
        <v>103</v>
      </c>
      <c r="N107" s="138" t="s">
        <v>346</v>
      </c>
      <c r="O107" s="138" t="s">
        <v>346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1491</v>
      </c>
      <c r="V107" s="13" t="s">
        <v>1491</v>
      </c>
      <c r="W107" s="59">
        <f>+J107/$W$2</f>
        <v>1.0930107734113762E-4</v>
      </c>
    </row>
    <row r="108" spans="1:29">
      <c r="A108" s="13" t="s">
        <v>1668</v>
      </c>
      <c r="B108" s="13" t="s">
        <v>404</v>
      </c>
      <c r="C108" s="138">
        <v>46261</v>
      </c>
      <c r="D108" s="138" t="s">
        <v>424</v>
      </c>
      <c r="E108" s="28">
        <v>0.99835887000000001</v>
      </c>
      <c r="F108" s="13"/>
      <c r="G108" s="18">
        <v>2870567.11</v>
      </c>
      <c r="H108" s="18">
        <v>2865856.15</v>
      </c>
      <c r="I108" s="18">
        <v>2870567.11</v>
      </c>
      <c r="J108" s="18">
        <v>2865856.15</v>
      </c>
      <c r="K108" s="15">
        <v>98</v>
      </c>
      <c r="L108" s="13" t="s">
        <v>102</v>
      </c>
      <c r="M108" s="13" t="s">
        <v>103</v>
      </c>
      <c r="N108" s="138" t="s">
        <v>383</v>
      </c>
      <c r="O108" s="138" t="s">
        <v>383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1642</v>
      </c>
      <c r="V108" s="13" t="s">
        <v>1642</v>
      </c>
      <c r="W108" s="59">
        <f>+J108/$W$2</f>
        <v>4.6902813654160397E-5</v>
      </c>
    </row>
    <row r="109" spans="1:29">
      <c r="A109" s="13" t="s">
        <v>916</v>
      </c>
      <c r="B109" s="13" t="s">
        <v>404</v>
      </c>
      <c r="C109" s="138">
        <v>46262</v>
      </c>
      <c r="D109" s="138" t="s">
        <v>424</v>
      </c>
      <c r="E109" s="28">
        <v>0.99762211000000001</v>
      </c>
      <c r="F109" s="13"/>
      <c r="G109" s="18">
        <v>200000000</v>
      </c>
      <c r="H109" s="18">
        <v>199524421.74000001</v>
      </c>
      <c r="I109" s="18">
        <v>200000000</v>
      </c>
      <c r="J109" s="18">
        <v>199524421.74000001</v>
      </c>
      <c r="K109" s="15">
        <v>90003858</v>
      </c>
      <c r="L109" s="13" t="s">
        <v>102</v>
      </c>
      <c r="M109" s="13" t="s">
        <v>103</v>
      </c>
      <c r="N109" s="138" t="s">
        <v>411</v>
      </c>
      <c r="O109" s="138" t="s">
        <v>411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1092</v>
      </c>
      <c r="V109" s="13" t="s">
        <v>1092</v>
      </c>
      <c r="W109" s="59">
        <f>+J109/$W$2</f>
        <v>3.2654314391618471E-3</v>
      </c>
    </row>
    <row r="110" spans="1:29">
      <c r="A110" s="13" t="s">
        <v>523</v>
      </c>
      <c r="B110" s="13" t="s">
        <v>404</v>
      </c>
      <c r="C110" s="138">
        <v>46262</v>
      </c>
      <c r="D110" s="138" t="s">
        <v>424</v>
      </c>
      <c r="E110" s="28">
        <v>0.99737677000000002</v>
      </c>
      <c r="F110" s="13"/>
      <c r="G110" s="18">
        <v>15000000</v>
      </c>
      <c r="H110" s="18">
        <v>14960651.5</v>
      </c>
      <c r="I110" s="18">
        <v>15000000</v>
      </c>
      <c r="J110" s="18">
        <v>14960651.5</v>
      </c>
      <c r="K110" s="15">
        <v>178</v>
      </c>
      <c r="L110" s="13" t="s">
        <v>102</v>
      </c>
      <c r="M110" s="13" t="s">
        <v>103</v>
      </c>
      <c r="N110" s="138" t="s">
        <v>316</v>
      </c>
      <c r="O110" s="138" t="s">
        <v>316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478</v>
      </c>
      <c r="V110" s="13" t="s">
        <v>478</v>
      </c>
      <c r="W110" s="59">
        <f>+J110/$W$2</f>
        <v>2.4484712864926428E-4</v>
      </c>
    </row>
    <row r="111" spans="1:29">
      <c r="A111" s="13" t="s">
        <v>537</v>
      </c>
      <c r="B111" s="13" t="s">
        <v>404</v>
      </c>
      <c r="C111" s="138">
        <v>46262</v>
      </c>
      <c r="D111" s="138" t="s">
        <v>424</v>
      </c>
      <c r="E111" s="28">
        <v>0.99803129000000002</v>
      </c>
      <c r="F111" s="13"/>
      <c r="G111" s="18">
        <v>10000000</v>
      </c>
      <c r="H111" s="18">
        <v>9980312.8900000006</v>
      </c>
      <c r="I111" s="18">
        <v>10000000</v>
      </c>
      <c r="J111" s="18">
        <v>9980312.8900000006</v>
      </c>
      <c r="K111" s="15">
        <v>4536</v>
      </c>
      <c r="L111" s="13" t="s">
        <v>102</v>
      </c>
      <c r="M111" s="13" t="s">
        <v>103</v>
      </c>
      <c r="N111" s="138" t="s">
        <v>339</v>
      </c>
      <c r="O111" s="138" t="s">
        <v>339</v>
      </c>
      <c r="P111" s="28">
        <v>24</v>
      </c>
      <c r="Q111" s="13" t="s">
        <v>54</v>
      </c>
      <c r="R111" s="13" t="s">
        <v>28</v>
      </c>
      <c r="S111" s="13"/>
      <c r="T111" s="13"/>
      <c r="U111" s="13" t="s">
        <v>1546</v>
      </c>
      <c r="V111" s="13" t="s">
        <v>1546</v>
      </c>
      <c r="W111" s="59">
        <f>+J111/$W$2</f>
        <v>1.6333853870854092E-4</v>
      </c>
    </row>
    <row r="112" spans="1:29">
      <c r="A112" s="13" t="s">
        <v>537</v>
      </c>
      <c r="B112" s="13" t="s">
        <v>404</v>
      </c>
      <c r="C112" s="138">
        <v>46262</v>
      </c>
      <c r="D112" s="138" t="s">
        <v>424</v>
      </c>
      <c r="E112" s="28">
        <v>0.99762211000000001</v>
      </c>
      <c r="F112" s="13"/>
      <c r="G112" s="18">
        <v>40000000</v>
      </c>
      <c r="H112" s="18">
        <v>39904884.280000001</v>
      </c>
      <c r="I112" s="18">
        <v>40000000</v>
      </c>
      <c r="J112" s="18">
        <v>39904884.280000001</v>
      </c>
      <c r="K112" s="15">
        <v>80939845</v>
      </c>
      <c r="L112" s="13" t="s">
        <v>102</v>
      </c>
      <c r="M112" s="13" t="s">
        <v>103</v>
      </c>
      <c r="N112" s="138" t="s">
        <v>303</v>
      </c>
      <c r="O112" s="138" t="s">
        <v>303</v>
      </c>
      <c r="P112" s="28">
        <v>29</v>
      </c>
      <c r="Q112" s="13" t="s">
        <v>54</v>
      </c>
      <c r="R112" s="13" t="s">
        <v>28</v>
      </c>
      <c r="S112" s="13"/>
      <c r="T112" s="13"/>
      <c r="U112" s="13" t="s">
        <v>678</v>
      </c>
      <c r="V112" s="13" t="s">
        <v>678</v>
      </c>
      <c r="W112" s="59">
        <f>+J112/$W$2</f>
        <v>6.5308628671947638E-4</v>
      </c>
    </row>
    <row r="113" spans="1:29">
      <c r="A113" s="13" t="s">
        <v>407</v>
      </c>
      <c r="B113" s="13" t="s">
        <v>404</v>
      </c>
      <c r="C113" s="138">
        <v>46262</v>
      </c>
      <c r="D113" s="138" t="s">
        <v>424</v>
      </c>
      <c r="E113" s="28">
        <v>0.99737677000000002</v>
      </c>
      <c r="F113" s="13"/>
      <c r="G113" s="18">
        <v>65000000</v>
      </c>
      <c r="H113" s="18">
        <v>64829490.280000001</v>
      </c>
      <c r="I113" s="18">
        <v>65000000</v>
      </c>
      <c r="J113" s="18">
        <v>64829490.280000001</v>
      </c>
      <c r="K113" s="15">
        <v>335</v>
      </c>
      <c r="L113" s="13" t="s">
        <v>102</v>
      </c>
      <c r="M113" s="13" t="s">
        <v>103</v>
      </c>
      <c r="N113" s="138" t="s">
        <v>382</v>
      </c>
      <c r="O113" s="138" t="s">
        <v>382</v>
      </c>
      <c r="P113" s="28">
        <v>32</v>
      </c>
      <c r="Q113" s="13" t="s">
        <v>54</v>
      </c>
      <c r="R113" s="13" t="s">
        <v>28</v>
      </c>
      <c r="S113" s="13"/>
      <c r="T113" s="13"/>
      <c r="U113" s="13" t="s">
        <v>1120</v>
      </c>
      <c r="V113" s="13" t="s">
        <v>1120</v>
      </c>
      <c r="W113" s="59">
        <f>+J113/$W$2</f>
        <v>1.0610042314569915E-3</v>
      </c>
      <c r="AC113" s="56"/>
    </row>
    <row r="114" spans="1:29">
      <c r="A114" s="13" t="s">
        <v>285</v>
      </c>
      <c r="B114" s="13" t="s">
        <v>404</v>
      </c>
      <c r="C114" s="138">
        <v>46262</v>
      </c>
      <c r="D114" s="138" t="s">
        <v>424</v>
      </c>
      <c r="E114" s="28">
        <v>0.99762211000000001</v>
      </c>
      <c r="F114" s="13"/>
      <c r="G114" s="18">
        <v>10000000</v>
      </c>
      <c r="H114" s="18">
        <v>9976221.0800000001</v>
      </c>
      <c r="I114" s="18">
        <v>10000000</v>
      </c>
      <c r="J114" s="18">
        <v>9976221.0800000001</v>
      </c>
      <c r="K114" s="15">
        <v>2156</v>
      </c>
      <c r="L114" s="13" t="s">
        <v>102</v>
      </c>
      <c r="M114" s="13" t="s">
        <v>103</v>
      </c>
      <c r="N114" s="138" t="s">
        <v>331</v>
      </c>
      <c r="O114" s="138" t="s">
        <v>331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671</v>
      </c>
      <c r="V114" s="13" t="s">
        <v>671</v>
      </c>
      <c r="W114" s="59">
        <f>+J114/$W$2</f>
        <v>1.6327157184352982E-4</v>
      </c>
    </row>
    <row r="115" spans="1:29">
      <c r="A115" s="13" t="s">
        <v>285</v>
      </c>
      <c r="B115" s="13" t="s">
        <v>404</v>
      </c>
      <c r="C115" s="138">
        <v>46262</v>
      </c>
      <c r="D115" s="138" t="s">
        <v>424</v>
      </c>
      <c r="E115" s="28">
        <v>0.99762211000000001</v>
      </c>
      <c r="F115" s="13"/>
      <c r="G115" s="18">
        <v>10000000</v>
      </c>
      <c r="H115" s="18">
        <v>9976221.1300000008</v>
      </c>
      <c r="I115" s="18">
        <v>10000000</v>
      </c>
      <c r="J115" s="18">
        <v>9976221.1300000008</v>
      </c>
      <c r="K115" s="15">
        <v>66412455</v>
      </c>
      <c r="L115" s="13" t="s">
        <v>102</v>
      </c>
      <c r="M115" s="13" t="s">
        <v>103</v>
      </c>
      <c r="N115" s="138" t="s">
        <v>289</v>
      </c>
      <c r="O115" s="138" t="s">
        <v>289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611</v>
      </c>
      <c r="V115" s="13" t="s">
        <v>611</v>
      </c>
      <c r="W115" s="59">
        <f>+J115/$W$2</f>
        <v>1.6327157266183352E-4</v>
      </c>
    </row>
    <row r="116" spans="1:29">
      <c r="A116" s="13" t="s">
        <v>466</v>
      </c>
      <c r="B116" s="13" t="s">
        <v>404</v>
      </c>
      <c r="C116" s="138">
        <v>46262</v>
      </c>
      <c r="D116" s="138" t="s">
        <v>424</v>
      </c>
      <c r="E116" s="28">
        <v>0.99770391999999997</v>
      </c>
      <c r="F116" s="13"/>
      <c r="G116" s="18">
        <v>10000000</v>
      </c>
      <c r="H116" s="18">
        <v>9977039.1899999995</v>
      </c>
      <c r="I116" s="18">
        <v>10000000</v>
      </c>
      <c r="J116" s="18">
        <v>9977039.1899999995</v>
      </c>
      <c r="K116" s="15">
        <v>360559</v>
      </c>
      <c r="L116" s="13" t="s">
        <v>102</v>
      </c>
      <c r="M116" s="13" t="s">
        <v>103</v>
      </c>
      <c r="N116" s="138" t="s">
        <v>308</v>
      </c>
      <c r="O116" s="138" t="s">
        <v>308</v>
      </c>
      <c r="P116" s="28">
        <v>28</v>
      </c>
      <c r="Q116" s="13" t="s">
        <v>54</v>
      </c>
      <c r="R116" s="13" t="s">
        <v>28</v>
      </c>
      <c r="S116" s="13"/>
      <c r="T116" s="13"/>
      <c r="U116" s="13" t="s">
        <v>561</v>
      </c>
      <c r="V116" s="13" t="s">
        <v>561</v>
      </c>
      <c r="W116" s="59">
        <f>+J116/$W$2</f>
        <v>1.6328496109228139E-4</v>
      </c>
    </row>
    <row r="117" spans="1:29">
      <c r="A117" s="13" t="s">
        <v>405</v>
      </c>
      <c r="B117" s="13" t="s">
        <v>404</v>
      </c>
      <c r="C117" s="138">
        <v>46262</v>
      </c>
      <c r="D117" s="138" t="s">
        <v>424</v>
      </c>
      <c r="E117" s="28">
        <v>0.99754032999999998</v>
      </c>
      <c r="F117" s="13"/>
      <c r="G117" s="18">
        <v>3300000</v>
      </c>
      <c r="H117" s="18">
        <v>3291883.09</v>
      </c>
      <c r="I117" s="18">
        <v>3300000</v>
      </c>
      <c r="J117" s="18">
        <v>3291883.09</v>
      </c>
      <c r="K117" s="15">
        <v>916</v>
      </c>
      <c r="L117" s="13" t="s">
        <v>102</v>
      </c>
      <c r="M117" s="13" t="s">
        <v>103</v>
      </c>
      <c r="N117" s="138" t="s">
        <v>422</v>
      </c>
      <c r="O117" s="138" t="s">
        <v>422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2256</v>
      </c>
      <c r="V117" s="13" t="s">
        <v>2256</v>
      </c>
      <c r="W117" s="59">
        <f>+J117/$W$2</f>
        <v>5.3875202054908343E-5</v>
      </c>
    </row>
    <row r="118" spans="1:29">
      <c r="A118" s="13" t="s">
        <v>1906</v>
      </c>
      <c r="B118" s="13" t="s">
        <v>1907</v>
      </c>
      <c r="C118" s="138">
        <v>46262</v>
      </c>
      <c r="D118" s="138" t="s">
        <v>424</v>
      </c>
      <c r="E118" s="28">
        <v>0.99835903999999998</v>
      </c>
      <c r="F118" s="13" t="s">
        <v>2579</v>
      </c>
      <c r="G118" s="18">
        <v>51518.54</v>
      </c>
      <c r="H118" s="18">
        <v>51434</v>
      </c>
      <c r="I118" s="18">
        <v>78823362.730000004</v>
      </c>
      <c r="J118" s="18">
        <v>78694016.540000007</v>
      </c>
      <c r="K118" s="15">
        <v>67</v>
      </c>
      <c r="L118" s="13" t="s">
        <v>102</v>
      </c>
      <c r="M118" s="13" t="s">
        <v>103</v>
      </c>
      <c r="N118" s="138" t="s">
        <v>441</v>
      </c>
      <c r="O118" s="138" t="s">
        <v>441</v>
      </c>
      <c r="P118" s="28">
        <v>20</v>
      </c>
      <c r="Q118" s="13" t="s">
        <v>54</v>
      </c>
      <c r="R118" s="13" t="s">
        <v>28</v>
      </c>
      <c r="S118" s="13"/>
      <c r="T118" s="13"/>
      <c r="U118" s="13" t="s">
        <v>2316</v>
      </c>
      <c r="V118" s="13" t="s">
        <v>2316</v>
      </c>
      <c r="W118" s="59">
        <f>+J118/$W$2</f>
        <v>1.2879120933802055E-3</v>
      </c>
    </row>
    <row r="119" spans="1:29">
      <c r="A119" s="13" t="s">
        <v>405</v>
      </c>
      <c r="B119" s="13" t="s">
        <v>404</v>
      </c>
      <c r="C119" s="138">
        <v>46262</v>
      </c>
      <c r="D119" s="138" t="s">
        <v>424</v>
      </c>
      <c r="E119" s="28">
        <v>0.99754032000000004</v>
      </c>
      <c r="F119" s="13"/>
      <c r="G119" s="18">
        <v>10000000</v>
      </c>
      <c r="H119" s="18">
        <v>9975403.2200000007</v>
      </c>
      <c r="I119" s="18">
        <v>10000000</v>
      </c>
      <c r="J119" s="18">
        <v>9975403.2200000007</v>
      </c>
      <c r="K119" s="15">
        <v>610</v>
      </c>
      <c r="L119" s="13" t="s">
        <v>102</v>
      </c>
      <c r="M119" s="13" t="s">
        <v>103</v>
      </c>
      <c r="N119" s="138" t="s">
        <v>304</v>
      </c>
      <c r="O119" s="138" t="s">
        <v>304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974</v>
      </c>
      <c r="V119" s="13" t="s">
        <v>974</v>
      </c>
      <c r="W119" s="59">
        <f>+J119/$W$2</f>
        <v>1.6325818668629674E-4</v>
      </c>
    </row>
    <row r="120" spans="1:29">
      <c r="A120" s="13" t="s">
        <v>405</v>
      </c>
      <c r="B120" s="13" t="s">
        <v>404</v>
      </c>
      <c r="C120" s="138">
        <v>46262</v>
      </c>
      <c r="D120" s="138" t="s">
        <v>424</v>
      </c>
      <c r="E120" s="28">
        <v>0.99754030999999999</v>
      </c>
      <c r="F120" s="13"/>
      <c r="G120" s="18">
        <v>10000000</v>
      </c>
      <c r="H120" s="18">
        <v>9975403.1400000006</v>
      </c>
      <c r="I120" s="18">
        <v>10000000</v>
      </c>
      <c r="J120" s="18">
        <v>9975403.1400000006</v>
      </c>
      <c r="K120" s="15">
        <v>577</v>
      </c>
      <c r="L120" s="13" t="s">
        <v>102</v>
      </c>
      <c r="M120" s="13" t="s">
        <v>103</v>
      </c>
      <c r="N120" s="138" t="s">
        <v>164</v>
      </c>
      <c r="O120" s="138" t="s">
        <v>164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871</v>
      </c>
      <c r="V120" s="13" t="s">
        <v>871</v>
      </c>
      <c r="W120" s="59">
        <f>+J120/$W$2</f>
        <v>1.6325818537701081E-4</v>
      </c>
    </row>
    <row r="121" spans="1:29">
      <c r="A121" s="13" t="s">
        <v>405</v>
      </c>
      <c r="B121" s="13" t="s">
        <v>404</v>
      </c>
      <c r="C121" s="138">
        <v>46262</v>
      </c>
      <c r="D121" s="138" t="s">
        <v>424</v>
      </c>
      <c r="E121" s="28">
        <v>0.99754032000000004</v>
      </c>
      <c r="F121" s="13"/>
      <c r="G121" s="18">
        <v>10000000</v>
      </c>
      <c r="H121" s="18">
        <v>9975403.2100000009</v>
      </c>
      <c r="I121" s="18">
        <v>10000000</v>
      </c>
      <c r="J121" s="18">
        <v>9975403.2100000009</v>
      </c>
      <c r="K121" s="15">
        <v>700</v>
      </c>
      <c r="L121" s="13" t="s">
        <v>102</v>
      </c>
      <c r="M121" s="13" t="s">
        <v>103</v>
      </c>
      <c r="N121" s="138" t="s">
        <v>393</v>
      </c>
      <c r="O121" s="138" t="s">
        <v>393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1128</v>
      </c>
      <c r="V121" s="13" t="s">
        <v>1128</v>
      </c>
      <c r="W121" s="59">
        <f>+J121/$W$2</f>
        <v>1.6325818652263599E-4</v>
      </c>
    </row>
    <row r="122" spans="1:29">
      <c r="A122" s="13" t="s">
        <v>917</v>
      </c>
      <c r="B122" s="13" t="s">
        <v>404</v>
      </c>
      <c r="C122" s="138">
        <v>46262</v>
      </c>
      <c r="D122" s="138" t="s">
        <v>424</v>
      </c>
      <c r="E122" s="28">
        <v>0.99729500999999998</v>
      </c>
      <c r="F122" s="13"/>
      <c r="G122" s="18">
        <v>2200000</v>
      </c>
      <c r="H122" s="18">
        <v>2194049.0299999998</v>
      </c>
      <c r="I122" s="18">
        <v>2200000</v>
      </c>
      <c r="J122" s="18">
        <v>2194049.0299999998</v>
      </c>
      <c r="K122" s="15">
        <v>6197</v>
      </c>
      <c r="L122" s="13" t="s">
        <v>102</v>
      </c>
      <c r="M122" s="13" t="s">
        <v>103</v>
      </c>
      <c r="N122" s="138" t="s">
        <v>311</v>
      </c>
      <c r="O122" s="138" t="s">
        <v>311</v>
      </c>
      <c r="P122" s="28">
        <v>33</v>
      </c>
      <c r="Q122" s="13" t="s">
        <v>54</v>
      </c>
      <c r="R122" s="13" t="s">
        <v>28</v>
      </c>
      <c r="S122" s="13"/>
      <c r="T122" s="13"/>
      <c r="U122" s="13" t="s">
        <v>911</v>
      </c>
      <c r="V122" s="13" t="s">
        <v>911</v>
      </c>
      <c r="W122" s="59">
        <f>+J122/$W$2</f>
        <v>3.5907968654386703E-5</v>
      </c>
      <c r="AC122" s="56"/>
    </row>
    <row r="123" spans="1:29">
      <c r="A123" s="13" t="s">
        <v>1779</v>
      </c>
      <c r="B123" s="13" t="s">
        <v>404</v>
      </c>
      <c r="C123" s="138">
        <v>46262</v>
      </c>
      <c r="D123" s="138" t="s">
        <v>424</v>
      </c>
      <c r="E123" s="28">
        <v>0.99729500999999998</v>
      </c>
      <c r="F123" s="13"/>
      <c r="G123" s="18">
        <v>7500000</v>
      </c>
      <c r="H123" s="18">
        <v>7479712.6100000003</v>
      </c>
      <c r="I123" s="18">
        <v>7500000</v>
      </c>
      <c r="J123" s="18">
        <v>7479712.6100000003</v>
      </c>
      <c r="K123" s="15">
        <v>888</v>
      </c>
      <c r="L123" s="13" t="s">
        <v>102</v>
      </c>
      <c r="M123" s="13" t="s">
        <v>103</v>
      </c>
      <c r="N123" s="138" t="s">
        <v>386</v>
      </c>
      <c r="O123" s="138" t="s">
        <v>386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1828</v>
      </c>
      <c r="V123" s="13" t="s">
        <v>1828</v>
      </c>
      <c r="W123" s="59">
        <f>+J123/$W$2</f>
        <v>1.2241352963005618E-4</v>
      </c>
    </row>
    <row r="124" spans="1:29">
      <c r="A124" s="13" t="s">
        <v>1779</v>
      </c>
      <c r="B124" s="13" t="s">
        <v>404</v>
      </c>
      <c r="C124" s="138">
        <v>46262</v>
      </c>
      <c r="D124" s="138" t="s">
        <v>424</v>
      </c>
      <c r="E124" s="28">
        <v>0.99729500999999998</v>
      </c>
      <c r="F124" s="13"/>
      <c r="G124" s="18">
        <v>5350000</v>
      </c>
      <c r="H124" s="18">
        <v>5335528.33</v>
      </c>
      <c r="I124" s="18">
        <v>5350000</v>
      </c>
      <c r="J124" s="18">
        <v>5335528.33</v>
      </c>
      <c r="K124" s="15">
        <v>796</v>
      </c>
      <c r="L124" s="13" t="s">
        <v>102</v>
      </c>
      <c r="M124" s="13" t="s">
        <v>103</v>
      </c>
      <c r="N124" s="138" t="s">
        <v>386</v>
      </c>
      <c r="O124" s="138" t="s">
        <v>386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1831</v>
      </c>
      <c r="V124" s="13" t="s">
        <v>1831</v>
      </c>
      <c r="W124" s="59">
        <f>+J124/$W$2</f>
        <v>8.7321651161201389E-5</v>
      </c>
    </row>
    <row r="125" spans="1:29">
      <c r="A125" s="13" t="s">
        <v>409</v>
      </c>
      <c r="B125" s="13" t="s">
        <v>404</v>
      </c>
      <c r="C125" s="138">
        <v>46262</v>
      </c>
      <c r="D125" s="138" t="s">
        <v>424</v>
      </c>
      <c r="E125" s="28">
        <v>0.99713154999999998</v>
      </c>
      <c r="F125" s="13"/>
      <c r="G125" s="18">
        <v>16600000</v>
      </c>
      <c r="H125" s="18">
        <v>16552383.65</v>
      </c>
      <c r="I125" s="18">
        <v>16600000</v>
      </c>
      <c r="J125" s="18">
        <v>16552383.65</v>
      </c>
      <c r="K125" s="15">
        <v>29088025</v>
      </c>
      <c r="L125" s="13" t="s">
        <v>102</v>
      </c>
      <c r="M125" s="13" t="s">
        <v>103</v>
      </c>
      <c r="N125" s="138" t="s">
        <v>148</v>
      </c>
      <c r="O125" s="138" t="s">
        <v>148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446</v>
      </c>
      <c r="V125" s="13" t="s">
        <v>446</v>
      </c>
      <c r="W125" s="59">
        <f>+J125/$W$2</f>
        <v>2.7089753470987065E-4</v>
      </c>
    </row>
    <row r="126" spans="1:29">
      <c r="A126" s="13" t="s">
        <v>1234</v>
      </c>
      <c r="B126" s="13" t="s">
        <v>404</v>
      </c>
      <c r="C126" s="138">
        <v>46262</v>
      </c>
      <c r="D126" s="138" t="s">
        <v>424</v>
      </c>
      <c r="E126" s="28">
        <v>0.99729502000000003</v>
      </c>
      <c r="F126" s="13"/>
      <c r="G126" s="18">
        <v>9000000</v>
      </c>
      <c r="H126" s="18">
        <v>8975655.1799999997</v>
      </c>
      <c r="I126" s="18">
        <v>9000000</v>
      </c>
      <c r="J126" s="18">
        <v>8975655.1799999997</v>
      </c>
      <c r="K126" s="15">
        <v>5743952</v>
      </c>
      <c r="L126" s="13" t="s">
        <v>102</v>
      </c>
      <c r="M126" s="13" t="s">
        <v>103</v>
      </c>
      <c r="N126" s="138" t="s">
        <v>374</v>
      </c>
      <c r="O126" s="138" t="s">
        <v>374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1227</v>
      </c>
      <c r="V126" s="13" t="s">
        <v>1227</v>
      </c>
      <c r="W126" s="59">
        <f>+J126/$W$2</f>
        <v>1.4689623634163895E-4</v>
      </c>
    </row>
    <row r="127" spans="1:29">
      <c r="A127" s="13" t="s">
        <v>1351</v>
      </c>
      <c r="B127" s="13" t="s">
        <v>404</v>
      </c>
      <c r="C127" s="138">
        <v>46262</v>
      </c>
      <c r="D127" s="138" t="s">
        <v>424</v>
      </c>
      <c r="E127" s="28">
        <v>0.99754032000000004</v>
      </c>
      <c r="F127" s="13"/>
      <c r="G127" s="18">
        <v>5628483</v>
      </c>
      <c r="H127" s="18">
        <v>5614638.7300000004</v>
      </c>
      <c r="I127" s="18">
        <v>5628483</v>
      </c>
      <c r="J127" s="18">
        <v>5614638.7300000004</v>
      </c>
      <c r="K127" s="15">
        <v>68199745</v>
      </c>
      <c r="L127" s="13" t="s">
        <v>102</v>
      </c>
      <c r="M127" s="13" t="s">
        <v>103</v>
      </c>
      <c r="N127" s="138" t="s">
        <v>601</v>
      </c>
      <c r="O127" s="138" t="s">
        <v>601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1344</v>
      </c>
      <c r="V127" s="13" t="s">
        <v>1344</v>
      </c>
      <c r="W127" s="59">
        <f>+J127/$W$2</f>
        <v>9.1889592605205183E-5</v>
      </c>
      <c r="AC127" s="56"/>
    </row>
    <row r="128" spans="1:29">
      <c r="A128" s="13" t="s">
        <v>1042</v>
      </c>
      <c r="B128" s="13" t="s">
        <v>404</v>
      </c>
      <c r="C128" s="138">
        <v>46265</v>
      </c>
      <c r="D128" s="138" t="s">
        <v>424</v>
      </c>
      <c r="E128" s="28">
        <v>0.99509270000000005</v>
      </c>
      <c r="F128" s="13"/>
      <c r="G128" s="18">
        <v>1606134</v>
      </c>
      <c r="H128" s="18">
        <v>1598252.22</v>
      </c>
      <c r="I128" s="18">
        <v>1606134</v>
      </c>
      <c r="J128" s="18">
        <v>1598252.22</v>
      </c>
      <c r="K128" s="15">
        <v>67237112</v>
      </c>
      <c r="L128" s="13" t="s">
        <v>102</v>
      </c>
      <c r="M128" s="13" t="s">
        <v>103</v>
      </c>
      <c r="N128" s="138" t="s">
        <v>344</v>
      </c>
      <c r="O128" s="138" t="s">
        <v>344</v>
      </c>
      <c r="P128" s="28">
        <v>30</v>
      </c>
      <c r="Q128" s="13" t="s">
        <v>54</v>
      </c>
      <c r="R128" s="13" t="s">
        <v>28</v>
      </c>
      <c r="S128" s="13"/>
      <c r="T128" s="13"/>
      <c r="U128" s="13" t="s">
        <v>1043</v>
      </c>
      <c r="V128" s="13" t="s">
        <v>1043</v>
      </c>
      <c r="W128" s="59">
        <f>+J128/$W$2</f>
        <v>2.6157114008324585E-5</v>
      </c>
    </row>
    <row r="129" spans="1:29">
      <c r="A129" s="13" t="s">
        <v>674</v>
      </c>
      <c r="B129" s="13" t="s">
        <v>404</v>
      </c>
      <c r="C129" s="138">
        <v>46265</v>
      </c>
      <c r="D129" s="138" t="s">
        <v>424</v>
      </c>
      <c r="E129" s="28">
        <v>0.99460462000000005</v>
      </c>
      <c r="F129" s="13"/>
      <c r="G129" s="18">
        <v>10000000</v>
      </c>
      <c r="H129" s="18">
        <v>9946046.2400000002</v>
      </c>
      <c r="I129" s="18">
        <v>10000000</v>
      </c>
      <c r="J129" s="18">
        <v>9946046.2400000002</v>
      </c>
      <c r="K129" s="15">
        <v>3222</v>
      </c>
      <c r="L129" s="13" t="s">
        <v>102</v>
      </c>
      <c r="M129" s="13" t="s">
        <v>103</v>
      </c>
      <c r="N129" s="138" t="s">
        <v>311</v>
      </c>
      <c r="O129" s="138" t="s">
        <v>311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904</v>
      </c>
      <c r="V129" s="13" t="s">
        <v>904</v>
      </c>
      <c r="W129" s="59">
        <f>+J129/$W$2</f>
        <v>1.6277772818094262E-4</v>
      </c>
    </row>
    <row r="130" spans="1:29">
      <c r="A130" s="13" t="s">
        <v>537</v>
      </c>
      <c r="B130" s="13" t="s">
        <v>404</v>
      </c>
      <c r="C130" s="138">
        <v>46265</v>
      </c>
      <c r="D130" s="138" t="s">
        <v>424</v>
      </c>
      <c r="E130" s="28">
        <v>0.99607031999999995</v>
      </c>
      <c r="F130" s="13"/>
      <c r="G130" s="18">
        <v>10000000</v>
      </c>
      <c r="H130" s="18">
        <v>9960703.1899999995</v>
      </c>
      <c r="I130" s="18">
        <v>10000000</v>
      </c>
      <c r="J130" s="18">
        <v>9960703.1899999995</v>
      </c>
      <c r="K130" s="15">
        <v>4537</v>
      </c>
      <c r="L130" s="13" t="s">
        <v>102</v>
      </c>
      <c r="M130" s="13" t="s">
        <v>103</v>
      </c>
      <c r="N130" s="138" t="s">
        <v>339</v>
      </c>
      <c r="O130" s="138" t="s">
        <v>339</v>
      </c>
      <c r="P130" s="28">
        <v>24</v>
      </c>
      <c r="Q130" s="13" t="s">
        <v>54</v>
      </c>
      <c r="R130" s="13" t="s">
        <v>28</v>
      </c>
      <c r="S130" s="13"/>
      <c r="T130" s="13"/>
      <c r="U130" s="13" t="s">
        <v>1554</v>
      </c>
      <c r="V130" s="13" t="s">
        <v>1554</v>
      </c>
      <c r="W130" s="59">
        <f>+J130/$W$2</f>
        <v>1.6301760490838697E-4</v>
      </c>
    </row>
    <row r="131" spans="1:29">
      <c r="A131" s="13" t="s">
        <v>157</v>
      </c>
      <c r="B131" s="13" t="s">
        <v>404</v>
      </c>
      <c r="C131" s="138">
        <v>46265</v>
      </c>
      <c r="D131" s="138" t="s">
        <v>424</v>
      </c>
      <c r="E131" s="28">
        <v>0.99541835000000001</v>
      </c>
      <c r="F131" s="13"/>
      <c r="G131" s="18">
        <v>35000000</v>
      </c>
      <c r="H131" s="18">
        <v>34839642.340000004</v>
      </c>
      <c r="I131" s="18">
        <v>35000000</v>
      </c>
      <c r="J131" s="18">
        <v>34839642.340000004</v>
      </c>
      <c r="K131" s="15">
        <v>3329632</v>
      </c>
      <c r="L131" s="13" t="s">
        <v>102</v>
      </c>
      <c r="M131" s="13" t="s">
        <v>103</v>
      </c>
      <c r="N131" s="138" t="s">
        <v>303</v>
      </c>
      <c r="O131" s="138" t="s">
        <v>303</v>
      </c>
      <c r="P131" s="28">
        <v>28</v>
      </c>
      <c r="Q131" s="13" t="s">
        <v>54</v>
      </c>
      <c r="R131" s="13" t="s">
        <v>28</v>
      </c>
      <c r="S131" s="13"/>
      <c r="T131" s="13"/>
      <c r="U131" s="13" t="s">
        <v>682</v>
      </c>
      <c r="V131" s="13" t="s">
        <v>682</v>
      </c>
      <c r="W131" s="59">
        <f>+J131/$W$2</f>
        <v>5.7018816260216579E-4</v>
      </c>
    </row>
    <row r="132" spans="1:29">
      <c r="A132" s="13" t="s">
        <v>284</v>
      </c>
      <c r="B132" s="13" t="s">
        <v>404</v>
      </c>
      <c r="C132" s="138">
        <v>46265</v>
      </c>
      <c r="D132" s="138" t="s">
        <v>424</v>
      </c>
      <c r="E132" s="28">
        <v>0.99590725999999996</v>
      </c>
      <c r="F132" s="13"/>
      <c r="G132" s="18">
        <v>629302.72</v>
      </c>
      <c r="H132" s="18">
        <v>626727.15</v>
      </c>
      <c r="I132" s="18">
        <v>629302.72</v>
      </c>
      <c r="J132" s="18">
        <v>626727.15</v>
      </c>
      <c r="K132" s="15">
        <v>608</v>
      </c>
      <c r="L132" s="13" t="s">
        <v>102</v>
      </c>
      <c r="M132" s="13" t="s">
        <v>103</v>
      </c>
      <c r="N132" s="138" t="s">
        <v>173</v>
      </c>
      <c r="O132" s="138" t="s">
        <v>173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1990</v>
      </c>
      <c r="V132" s="13" t="s">
        <v>1990</v>
      </c>
      <c r="W132" s="59">
        <f>+J132/$W$2</f>
        <v>1.0257062877511502E-5</v>
      </c>
    </row>
    <row r="133" spans="1:29">
      <c r="A133" s="13" t="s">
        <v>1054</v>
      </c>
      <c r="B133" s="13" t="s">
        <v>404</v>
      </c>
      <c r="C133" s="138">
        <v>46265</v>
      </c>
      <c r="D133" s="138" t="s">
        <v>424</v>
      </c>
      <c r="E133" s="28">
        <v>0.99509270999999999</v>
      </c>
      <c r="F133" s="13"/>
      <c r="G133" s="18">
        <v>2700000</v>
      </c>
      <c r="H133" s="18">
        <v>2686750.31</v>
      </c>
      <c r="I133" s="18">
        <v>2700000</v>
      </c>
      <c r="J133" s="18">
        <v>2686750.31</v>
      </c>
      <c r="K133" s="15">
        <v>6274</v>
      </c>
      <c r="L133" s="13" t="s">
        <v>102</v>
      </c>
      <c r="M133" s="13" t="s">
        <v>103</v>
      </c>
      <c r="N133" s="138" t="s">
        <v>162</v>
      </c>
      <c r="O133" s="138" t="s">
        <v>162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1053</v>
      </c>
      <c r="V133" s="13" t="s">
        <v>1053</v>
      </c>
      <c r="W133" s="59">
        <f>+J133/$W$2</f>
        <v>4.3971554233518552E-5</v>
      </c>
    </row>
    <row r="134" spans="1:29">
      <c r="A134" s="13" t="s">
        <v>405</v>
      </c>
      <c r="B134" s="13" t="s">
        <v>404</v>
      </c>
      <c r="C134" s="138">
        <v>46265</v>
      </c>
      <c r="D134" s="138" t="s">
        <v>424</v>
      </c>
      <c r="E134" s="28">
        <v>0.99509270000000005</v>
      </c>
      <c r="F134" s="13"/>
      <c r="G134" s="18">
        <v>7500000</v>
      </c>
      <c r="H134" s="18">
        <v>7463195.2300000004</v>
      </c>
      <c r="I134" s="18">
        <v>7500000</v>
      </c>
      <c r="J134" s="18">
        <v>7463195.2300000004</v>
      </c>
      <c r="K134" s="15">
        <v>511</v>
      </c>
      <c r="L134" s="13" t="s">
        <v>102</v>
      </c>
      <c r="M134" s="13" t="s">
        <v>103</v>
      </c>
      <c r="N134" s="138" t="s">
        <v>326</v>
      </c>
      <c r="O134" s="138" t="s">
        <v>326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762</v>
      </c>
      <c r="V134" s="13" t="s">
        <v>762</v>
      </c>
      <c r="W134" s="59">
        <f>+J134/$W$2</f>
        <v>1.221432049676704E-4</v>
      </c>
    </row>
    <row r="135" spans="1:29">
      <c r="A135" s="13" t="s">
        <v>516</v>
      </c>
      <c r="B135" s="13" t="s">
        <v>404</v>
      </c>
      <c r="C135" s="138">
        <v>46265</v>
      </c>
      <c r="D135" s="138" t="s">
        <v>424</v>
      </c>
      <c r="E135" s="28">
        <v>0.99509270000000005</v>
      </c>
      <c r="F135" s="13"/>
      <c r="G135" s="18">
        <v>5000000</v>
      </c>
      <c r="H135" s="18">
        <v>4975463.51</v>
      </c>
      <c r="I135" s="18">
        <v>5000000</v>
      </c>
      <c r="J135" s="18">
        <v>4975463.51</v>
      </c>
      <c r="K135" s="15">
        <v>3495447</v>
      </c>
      <c r="L135" s="13" t="s">
        <v>102</v>
      </c>
      <c r="M135" s="13" t="s">
        <v>103</v>
      </c>
      <c r="N135" s="138" t="s">
        <v>316</v>
      </c>
      <c r="O135" s="138" t="s">
        <v>316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486</v>
      </c>
      <c r="V135" s="13" t="s">
        <v>486</v>
      </c>
      <c r="W135" s="59">
        <f>+J135/$W$2</f>
        <v>8.1428803693655322E-5</v>
      </c>
      <c r="AC135" s="56"/>
    </row>
    <row r="136" spans="1:29">
      <c r="A136" s="13" t="s">
        <v>516</v>
      </c>
      <c r="B136" s="13" t="s">
        <v>404</v>
      </c>
      <c r="C136" s="138">
        <v>46265</v>
      </c>
      <c r="D136" s="138" t="s">
        <v>424</v>
      </c>
      <c r="E136" s="28">
        <v>0.99460462000000005</v>
      </c>
      <c r="F136" s="13"/>
      <c r="G136" s="18">
        <v>5600000</v>
      </c>
      <c r="H136" s="18">
        <v>5569785.8700000001</v>
      </c>
      <c r="I136" s="18">
        <v>5600000</v>
      </c>
      <c r="J136" s="18">
        <v>5569785.8700000001</v>
      </c>
      <c r="K136" s="15">
        <v>3501252</v>
      </c>
      <c r="L136" s="13" t="s">
        <v>102</v>
      </c>
      <c r="M136" s="13" t="s">
        <v>103</v>
      </c>
      <c r="N136" s="138" t="s">
        <v>313</v>
      </c>
      <c r="O136" s="138" t="s">
        <v>313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640</v>
      </c>
      <c r="V136" s="13" t="s">
        <v>640</v>
      </c>
      <c r="W136" s="59">
        <f>+J136/$W$2</f>
        <v>9.1155527381995663E-5</v>
      </c>
    </row>
    <row r="137" spans="1:29">
      <c r="A137" s="13" t="s">
        <v>285</v>
      </c>
      <c r="B137" s="13" t="s">
        <v>404</v>
      </c>
      <c r="C137" s="138">
        <v>46265</v>
      </c>
      <c r="D137" s="138" t="s">
        <v>424</v>
      </c>
      <c r="E137" s="28">
        <v>0.99525549999999996</v>
      </c>
      <c r="F137" s="13"/>
      <c r="G137" s="18">
        <v>10000000</v>
      </c>
      <c r="H137" s="18">
        <v>9952555.0199999996</v>
      </c>
      <c r="I137" s="18">
        <v>10000000</v>
      </c>
      <c r="J137" s="18">
        <v>9952555.0199999996</v>
      </c>
      <c r="K137" s="15">
        <v>2157</v>
      </c>
      <c r="L137" s="13" t="s">
        <v>102</v>
      </c>
      <c r="M137" s="13" t="s">
        <v>103</v>
      </c>
      <c r="N137" s="138" t="s">
        <v>331</v>
      </c>
      <c r="O137" s="138" t="s">
        <v>331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667</v>
      </c>
      <c r="V137" s="13" t="s">
        <v>667</v>
      </c>
      <c r="W137" s="59">
        <f>+J137/$W$2</f>
        <v>1.6288425135568602E-4</v>
      </c>
    </row>
    <row r="138" spans="1:29">
      <c r="A138" s="13" t="s">
        <v>285</v>
      </c>
      <c r="B138" s="13" t="s">
        <v>404</v>
      </c>
      <c r="C138" s="138">
        <v>46265</v>
      </c>
      <c r="D138" s="138" t="s">
        <v>424</v>
      </c>
      <c r="E138" s="28">
        <v>0.99525549999999996</v>
      </c>
      <c r="F138" s="13"/>
      <c r="G138" s="18">
        <v>10000000</v>
      </c>
      <c r="H138" s="18">
        <v>9952554.9600000009</v>
      </c>
      <c r="I138" s="18">
        <v>10000000</v>
      </c>
      <c r="J138" s="18">
        <v>9952554.9600000009</v>
      </c>
      <c r="K138" s="15">
        <v>66412480</v>
      </c>
      <c r="L138" s="13" t="s">
        <v>102</v>
      </c>
      <c r="M138" s="13" t="s">
        <v>103</v>
      </c>
      <c r="N138" s="138" t="s">
        <v>289</v>
      </c>
      <c r="O138" s="138" t="s">
        <v>289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612</v>
      </c>
      <c r="V138" s="13" t="s">
        <v>612</v>
      </c>
      <c r="W138" s="59">
        <f>+J138/$W$2</f>
        <v>1.6288425037372159E-4</v>
      </c>
    </row>
    <row r="139" spans="1:29">
      <c r="A139" s="13" t="s">
        <v>146</v>
      </c>
      <c r="B139" s="13" t="s">
        <v>404</v>
      </c>
      <c r="C139" s="138">
        <v>46265</v>
      </c>
      <c r="D139" s="138" t="s">
        <v>424</v>
      </c>
      <c r="E139" s="28">
        <v>0.99558128000000001</v>
      </c>
      <c r="F139" s="13"/>
      <c r="G139" s="18">
        <v>200000000</v>
      </c>
      <c r="H139" s="18">
        <v>199116255.62</v>
      </c>
      <c r="I139" s="18">
        <v>200000000</v>
      </c>
      <c r="J139" s="18">
        <v>199116255.62</v>
      </c>
      <c r="K139" s="15">
        <v>90003876</v>
      </c>
      <c r="L139" s="13" t="s">
        <v>102</v>
      </c>
      <c r="M139" s="13" t="s">
        <v>103</v>
      </c>
      <c r="N139" s="138" t="s">
        <v>382</v>
      </c>
      <c r="O139" s="138" t="s">
        <v>382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1121</v>
      </c>
      <c r="V139" s="13" t="s">
        <v>1121</v>
      </c>
      <c r="W139" s="59">
        <f>+J139/$W$2</f>
        <v>3.2587513622618597E-3</v>
      </c>
    </row>
    <row r="140" spans="1:29">
      <c r="A140" s="13" t="s">
        <v>285</v>
      </c>
      <c r="B140" s="13" t="s">
        <v>404</v>
      </c>
      <c r="C140" s="138">
        <v>46265</v>
      </c>
      <c r="D140" s="138" t="s">
        <v>424</v>
      </c>
      <c r="E140" s="28">
        <v>0.99574423000000001</v>
      </c>
      <c r="F140" s="13"/>
      <c r="G140" s="18">
        <v>27000000</v>
      </c>
      <c r="H140" s="18">
        <v>26885094.280000001</v>
      </c>
      <c r="I140" s="18">
        <v>27000000</v>
      </c>
      <c r="J140" s="18">
        <v>26885094.280000001</v>
      </c>
      <c r="K140" s="15">
        <v>1416</v>
      </c>
      <c r="L140" s="13" t="s">
        <v>102</v>
      </c>
      <c r="M140" s="13" t="s">
        <v>103</v>
      </c>
      <c r="N140" s="138" t="s">
        <v>330</v>
      </c>
      <c r="O140" s="138" t="s">
        <v>330</v>
      </c>
      <c r="P140" s="28">
        <v>26</v>
      </c>
      <c r="Q140" s="13" t="s">
        <v>54</v>
      </c>
      <c r="R140" s="13" t="s">
        <v>28</v>
      </c>
      <c r="S140" s="13"/>
      <c r="T140" s="13"/>
      <c r="U140" s="13" t="s">
        <v>935</v>
      </c>
      <c r="V140" s="13" t="s">
        <v>935</v>
      </c>
      <c r="W140" s="59">
        <f>+J140/$W$2</f>
        <v>4.4000344088776879E-4</v>
      </c>
    </row>
    <row r="141" spans="1:29">
      <c r="A141" s="13" t="s">
        <v>285</v>
      </c>
      <c r="B141" s="13" t="s">
        <v>404</v>
      </c>
      <c r="C141" s="138">
        <v>46265</v>
      </c>
      <c r="D141" s="138" t="s">
        <v>424</v>
      </c>
      <c r="E141" s="28">
        <v>0.99574423999999995</v>
      </c>
      <c r="F141" s="13"/>
      <c r="G141" s="18">
        <v>10000000</v>
      </c>
      <c r="H141" s="18">
        <v>9957442.4299999997</v>
      </c>
      <c r="I141" s="18">
        <v>10000000</v>
      </c>
      <c r="J141" s="18">
        <v>9957442.4299999997</v>
      </c>
      <c r="K141" s="15">
        <v>68035342</v>
      </c>
      <c r="L141" s="13" t="s">
        <v>102</v>
      </c>
      <c r="M141" s="13" t="s">
        <v>103</v>
      </c>
      <c r="N141" s="138" t="s">
        <v>420</v>
      </c>
      <c r="O141" s="138" t="s">
        <v>420</v>
      </c>
      <c r="P141" s="28">
        <v>26</v>
      </c>
      <c r="Q141" s="13" t="s">
        <v>54</v>
      </c>
      <c r="R141" s="13" t="s">
        <v>28</v>
      </c>
      <c r="S141" s="13"/>
      <c r="T141" s="13"/>
      <c r="U141" s="13" t="s">
        <v>1293</v>
      </c>
      <c r="V141" s="13" t="s">
        <v>1293</v>
      </c>
      <c r="W141" s="59">
        <f>+J141/$W$2</f>
        <v>1.6296423906912426E-4</v>
      </c>
    </row>
    <row r="142" spans="1:29">
      <c r="A142" s="13" t="s">
        <v>405</v>
      </c>
      <c r="B142" s="13" t="s">
        <v>404</v>
      </c>
      <c r="C142" s="138">
        <v>46265</v>
      </c>
      <c r="D142" s="138" t="s">
        <v>424</v>
      </c>
      <c r="E142" s="28">
        <v>0.99509270000000005</v>
      </c>
      <c r="F142" s="13"/>
      <c r="G142" s="18">
        <v>10000000</v>
      </c>
      <c r="H142" s="18">
        <v>9950926.9600000009</v>
      </c>
      <c r="I142" s="18">
        <v>10000000</v>
      </c>
      <c r="J142" s="18">
        <v>9950926.9600000009</v>
      </c>
      <c r="K142" s="15">
        <v>671</v>
      </c>
      <c r="L142" s="13" t="s">
        <v>102</v>
      </c>
      <c r="M142" s="13" t="s">
        <v>103</v>
      </c>
      <c r="N142" s="138" t="s">
        <v>312</v>
      </c>
      <c r="O142" s="138" t="s">
        <v>312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1084</v>
      </c>
      <c r="V142" s="13" t="s">
        <v>1084</v>
      </c>
      <c r="W142" s="59">
        <f>+J142/$W$2</f>
        <v>1.6285760640534621E-4</v>
      </c>
    </row>
    <row r="143" spans="1:29">
      <c r="A143" s="13" t="s">
        <v>406</v>
      </c>
      <c r="B143" s="13" t="s">
        <v>404</v>
      </c>
      <c r="C143" s="138">
        <v>46265</v>
      </c>
      <c r="D143" s="138" t="s">
        <v>424</v>
      </c>
      <c r="E143" s="28">
        <v>0.99460464999999998</v>
      </c>
      <c r="F143" s="13"/>
      <c r="G143" s="18">
        <v>700000000</v>
      </c>
      <c r="H143" s="18">
        <v>696223253.03999996</v>
      </c>
      <c r="I143" s="18">
        <v>700000000</v>
      </c>
      <c r="J143" s="18">
        <v>696223253.03999996</v>
      </c>
      <c r="K143" s="15">
        <v>68387365</v>
      </c>
      <c r="L143" s="13" t="s">
        <v>102</v>
      </c>
      <c r="M143" s="13" t="s">
        <v>103</v>
      </c>
      <c r="N143" s="138" t="s">
        <v>161</v>
      </c>
      <c r="O143" s="138" t="s">
        <v>161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1681</v>
      </c>
      <c r="V143" s="13" t="s">
        <v>1681</v>
      </c>
      <c r="W143" s="59">
        <f>+J143/$W$2</f>
        <v>1.1394441238451023E-2</v>
      </c>
    </row>
    <row r="144" spans="1:29">
      <c r="A144" s="13" t="s">
        <v>307</v>
      </c>
      <c r="B144" s="13" t="s">
        <v>404</v>
      </c>
      <c r="C144" s="138">
        <v>46265</v>
      </c>
      <c r="D144" s="138" t="s">
        <v>424</v>
      </c>
      <c r="E144" s="28">
        <v>0.99427949000000004</v>
      </c>
      <c r="F144" s="13"/>
      <c r="G144" s="18">
        <v>10000000</v>
      </c>
      <c r="H144" s="18">
        <v>9942794.9299999997</v>
      </c>
      <c r="I144" s="18">
        <v>10000000</v>
      </c>
      <c r="J144" s="18">
        <v>9942794.9299999997</v>
      </c>
      <c r="K144" s="15">
        <v>255</v>
      </c>
      <c r="L144" s="13" t="s">
        <v>102</v>
      </c>
      <c r="M144" s="13" t="s">
        <v>103</v>
      </c>
      <c r="N144" s="138" t="s">
        <v>303</v>
      </c>
      <c r="O144" s="138" t="s">
        <v>303</v>
      </c>
      <c r="P144" s="28">
        <v>35</v>
      </c>
      <c r="Q144" s="13" t="s">
        <v>54</v>
      </c>
      <c r="R144" s="13" t="s">
        <v>28</v>
      </c>
      <c r="S144" s="13"/>
      <c r="T144" s="13"/>
      <c r="U144" s="13" t="s">
        <v>688</v>
      </c>
      <c r="V144" s="13" t="s">
        <v>688</v>
      </c>
      <c r="W144" s="59">
        <f>+J144/$W$2</f>
        <v>1.6272451700107864E-4</v>
      </c>
    </row>
    <row r="145" spans="1:29">
      <c r="A145" s="13" t="s">
        <v>917</v>
      </c>
      <c r="B145" s="13" t="s">
        <v>404</v>
      </c>
      <c r="C145" s="138">
        <v>46265</v>
      </c>
      <c r="D145" s="138" t="s">
        <v>424</v>
      </c>
      <c r="E145" s="28">
        <v>0.99460462000000005</v>
      </c>
      <c r="F145" s="13"/>
      <c r="G145" s="18">
        <v>2200000</v>
      </c>
      <c r="H145" s="18">
        <v>2188130.16</v>
      </c>
      <c r="I145" s="18">
        <v>2200000</v>
      </c>
      <c r="J145" s="18">
        <v>2188130.16</v>
      </c>
      <c r="K145" s="15">
        <v>6198</v>
      </c>
      <c r="L145" s="13" t="s">
        <v>102</v>
      </c>
      <c r="M145" s="13" t="s">
        <v>103</v>
      </c>
      <c r="N145" s="138" t="s">
        <v>311</v>
      </c>
      <c r="O145" s="138" t="s">
        <v>311</v>
      </c>
      <c r="P145" s="28">
        <v>33</v>
      </c>
      <c r="Q145" s="13" t="s">
        <v>54</v>
      </c>
      <c r="R145" s="13" t="s">
        <v>28</v>
      </c>
      <c r="S145" s="13"/>
      <c r="T145" s="13"/>
      <c r="U145" s="13" t="s">
        <v>912</v>
      </c>
      <c r="V145" s="13" t="s">
        <v>912</v>
      </c>
      <c r="W145" s="59">
        <f>+J145/$W$2</f>
        <v>3.5811099990321632E-5</v>
      </c>
    </row>
    <row r="146" spans="1:29">
      <c r="A146" s="13" t="s">
        <v>1779</v>
      </c>
      <c r="B146" s="13" t="s">
        <v>404</v>
      </c>
      <c r="C146" s="138">
        <v>46265</v>
      </c>
      <c r="D146" s="138" t="s">
        <v>424</v>
      </c>
      <c r="E146" s="28">
        <v>0.99460462999999999</v>
      </c>
      <c r="F146" s="13"/>
      <c r="G146" s="18">
        <v>7500000</v>
      </c>
      <c r="H146" s="18">
        <v>7459534.7000000002</v>
      </c>
      <c r="I146" s="18">
        <v>7500000</v>
      </c>
      <c r="J146" s="18">
        <v>7459534.7000000002</v>
      </c>
      <c r="K146" s="15">
        <v>889</v>
      </c>
      <c r="L146" s="13" t="s">
        <v>102</v>
      </c>
      <c r="M146" s="13" t="s">
        <v>103</v>
      </c>
      <c r="N146" s="138" t="s">
        <v>481</v>
      </c>
      <c r="O146" s="138" t="s">
        <v>481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1772</v>
      </c>
      <c r="V146" s="13" t="s">
        <v>1772</v>
      </c>
      <c r="W146" s="59">
        <f>+J146/$W$2</f>
        <v>1.2208329646302843E-4</v>
      </c>
    </row>
    <row r="147" spans="1:29">
      <c r="A147" s="13" t="s">
        <v>1668</v>
      </c>
      <c r="B147" s="13" t="s">
        <v>404</v>
      </c>
      <c r="C147" s="138">
        <v>46265</v>
      </c>
      <c r="D147" s="138" t="s">
        <v>424</v>
      </c>
      <c r="E147" s="28">
        <v>0.99509272000000004</v>
      </c>
      <c r="F147" s="13"/>
      <c r="G147" s="18">
        <v>2870567.11</v>
      </c>
      <c r="H147" s="18">
        <v>2856480.42</v>
      </c>
      <c r="I147" s="18">
        <v>2870567.11</v>
      </c>
      <c r="J147" s="18">
        <v>2856480.42</v>
      </c>
      <c r="K147" s="15">
        <v>99</v>
      </c>
      <c r="L147" s="13" t="s">
        <v>102</v>
      </c>
      <c r="M147" s="13" t="s">
        <v>103</v>
      </c>
      <c r="N147" s="138" t="s">
        <v>383</v>
      </c>
      <c r="O147" s="138" t="s">
        <v>383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1645</v>
      </c>
      <c r="V147" s="13" t="s">
        <v>1645</v>
      </c>
      <c r="W147" s="59">
        <f>+J147/$W$2</f>
        <v>4.6749369763732846E-5</v>
      </c>
    </row>
    <row r="148" spans="1:29">
      <c r="A148" s="13" t="s">
        <v>2683</v>
      </c>
      <c r="B148" s="13" t="s">
        <v>404</v>
      </c>
      <c r="C148" s="138">
        <v>46266</v>
      </c>
      <c r="D148" s="138" t="s">
        <v>424</v>
      </c>
      <c r="E148" s="28">
        <v>0.99333245000000003</v>
      </c>
      <c r="F148" s="13"/>
      <c r="G148" s="18">
        <v>10053554.939999999</v>
      </c>
      <c r="H148" s="18">
        <v>9986522.4100000001</v>
      </c>
      <c r="I148" s="18">
        <v>10053554.939999999</v>
      </c>
      <c r="J148" s="18">
        <v>9986522.4100000001</v>
      </c>
      <c r="K148" s="15">
        <v>93</v>
      </c>
      <c r="L148" s="13" t="s">
        <v>102</v>
      </c>
      <c r="M148" s="13" t="s">
        <v>103</v>
      </c>
      <c r="N148" s="138" t="s">
        <v>424</v>
      </c>
      <c r="O148" s="138" t="s">
        <v>424</v>
      </c>
      <c r="P148" s="28">
        <v>35</v>
      </c>
      <c r="Q148" s="13" t="s">
        <v>54</v>
      </c>
      <c r="R148" s="13" t="s">
        <v>28</v>
      </c>
      <c r="S148" s="13"/>
      <c r="T148" s="13"/>
      <c r="U148" s="13" t="s">
        <v>2675</v>
      </c>
      <c r="V148" s="13" t="s">
        <v>2675</v>
      </c>
      <c r="W148" s="59">
        <f>+J148/$W$2</f>
        <v>1.6344016417199685E-4</v>
      </c>
    </row>
    <row r="149" spans="1:29">
      <c r="A149" s="13" t="s">
        <v>523</v>
      </c>
      <c r="B149" s="13" t="s">
        <v>404</v>
      </c>
      <c r="C149" s="138">
        <v>46266</v>
      </c>
      <c r="D149" s="138" t="s">
        <v>424</v>
      </c>
      <c r="E149" s="28">
        <v>0.99371103999999999</v>
      </c>
      <c r="F149" s="13"/>
      <c r="G149" s="18">
        <v>21395750</v>
      </c>
      <c r="H149" s="18">
        <v>21261192.960000001</v>
      </c>
      <c r="I149" s="18">
        <v>21395750</v>
      </c>
      <c r="J149" s="18">
        <v>21261192.960000001</v>
      </c>
      <c r="K149" s="15">
        <v>3233102</v>
      </c>
      <c r="L149" s="13" t="s">
        <v>102</v>
      </c>
      <c r="M149" s="13" t="s">
        <v>103</v>
      </c>
      <c r="N149" s="138" t="s">
        <v>350</v>
      </c>
      <c r="O149" s="138" t="s">
        <v>350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528</v>
      </c>
      <c r="V149" s="13" t="s">
        <v>528</v>
      </c>
      <c r="W149" s="59">
        <f>+J149/$W$2</f>
        <v>3.4796225604974168E-4</v>
      </c>
    </row>
    <row r="150" spans="1:29">
      <c r="A150" s="13" t="s">
        <v>518</v>
      </c>
      <c r="B150" s="13" t="s">
        <v>404</v>
      </c>
      <c r="C150" s="138">
        <v>46266</v>
      </c>
      <c r="D150" s="138" t="s">
        <v>424</v>
      </c>
      <c r="E150" s="28">
        <v>0.99276507000000003</v>
      </c>
      <c r="F150" s="13"/>
      <c r="G150" s="18">
        <v>4500000</v>
      </c>
      <c r="H150" s="18">
        <v>4467442.82</v>
      </c>
      <c r="I150" s="18">
        <v>4500000</v>
      </c>
      <c r="J150" s="18">
        <v>4467442.82</v>
      </c>
      <c r="K150" s="15">
        <v>556</v>
      </c>
      <c r="L150" s="13" t="s">
        <v>102</v>
      </c>
      <c r="M150" s="13" t="s">
        <v>103</v>
      </c>
      <c r="N150" s="138" t="s">
        <v>289</v>
      </c>
      <c r="O150" s="138" t="s">
        <v>289</v>
      </c>
      <c r="P150" s="28">
        <v>38</v>
      </c>
      <c r="Q150" s="13" t="s">
        <v>54</v>
      </c>
      <c r="R150" s="13" t="s">
        <v>28</v>
      </c>
      <c r="S150" s="13"/>
      <c r="T150" s="13"/>
      <c r="U150" s="13" t="s">
        <v>615</v>
      </c>
      <c r="V150" s="13" t="s">
        <v>615</v>
      </c>
      <c r="W150" s="59">
        <f>+J150/$W$2</f>
        <v>7.3114499517736383E-5</v>
      </c>
    </row>
    <row r="151" spans="1:29">
      <c r="A151" s="13" t="s">
        <v>538</v>
      </c>
      <c r="B151" s="13" t="s">
        <v>404</v>
      </c>
      <c r="C151" s="138">
        <v>46266</v>
      </c>
      <c r="D151" s="138" t="s">
        <v>424</v>
      </c>
      <c r="E151" s="28">
        <v>0.99371103999999999</v>
      </c>
      <c r="F151" s="13"/>
      <c r="G151" s="18">
        <v>10000000</v>
      </c>
      <c r="H151" s="18">
        <v>9937110.4000000004</v>
      </c>
      <c r="I151" s="18">
        <v>10000000</v>
      </c>
      <c r="J151" s="18">
        <v>9937110.4000000004</v>
      </c>
      <c r="K151" s="15">
        <v>29692614</v>
      </c>
      <c r="L151" s="13" t="s">
        <v>102</v>
      </c>
      <c r="M151" s="13" t="s">
        <v>103</v>
      </c>
      <c r="N151" s="138" t="s">
        <v>346</v>
      </c>
      <c r="O151" s="138" t="s">
        <v>346</v>
      </c>
      <c r="P151" s="28">
        <v>33</v>
      </c>
      <c r="Q151" s="13" t="s">
        <v>54</v>
      </c>
      <c r="R151" s="13" t="s">
        <v>28</v>
      </c>
      <c r="S151" s="13"/>
      <c r="T151" s="13"/>
      <c r="U151" s="13" t="s">
        <v>1519</v>
      </c>
      <c r="V151" s="13" t="s">
        <v>1519</v>
      </c>
      <c r="W151" s="59">
        <f>+J151/$W$2</f>
        <v>1.6263148356278082E-4</v>
      </c>
    </row>
    <row r="152" spans="1:29">
      <c r="A152" s="13" t="s">
        <v>843</v>
      </c>
      <c r="B152" s="13" t="s">
        <v>404</v>
      </c>
      <c r="C152" s="138">
        <v>46266</v>
      </c>
      <c r="D152" s="138" t="s">
        <v>424</v>
      </c>
      <c r="E152" s="28">
        <v>0.99371105999999998</v>
      </c>
      <c r="F152" s="13"/>
      <c r="G152" s="18">
        <v>3000000</v>
      </c>
      <c r="H152" s="18">
        <v>2981133.17</v>
      </c>
      <c r="I152" s="18">
        <v>3000000</v>
      </c>
      <c r="J152" s="18">
        <v>2981133.17</v>
      </c>
      <c r="K152" s="15">
        <v>90015797</v>
      </c>
      <c r="L152" s="13" t="s">
        <v>102</v>
      </c>
      <c r="M152" s="13" t="s">
        <v>103</v>
      </c>
      <c r="N152" s="138" t="s">
        <v>282</v>
      </c>
      <c r="O152" s="138" t="s">
        <v>282</v>
      </c>
      <c r="P152" s="28">
        <v>33</v>
      </c>
      <c r="Q152" s="13" t="s">
        <v>54</v>
      </c>
      <c r="R152" s="13" t="s">
        <v>28</v>
      </c>
      <c r="S152" s="13"/>
      <c r="T152" s="13"/>
      <c r="U152" s="13" t="s">
        <v>840</v>
      </c>
      <c r="V152" s="13" t="s">
        <v>840</v>
      </c>
      <c r="W152" s="59">
        <f>+J152/$W$2</f>
        <v>4.8789445887137939E-5</v>
      </c>
      <c r="AC152" s="56"/>
    </row>
    <row r="153" spans="1:29">
      <c r="A153" s="13" t="s">
        <v>537</v>
      </c>
      <c r="B153" s="13" t="s">
        <v>404</v>
      </c>
      <c r="C153" s="138">
        <v>46266</v>
      </c>
      <c r="D153" s="138" t="s">
        <v>424</v>
      </c>
      <c r="E153" s="28">
        <v>0.99541835999999995</v>
      </c>
      <c r="F153" s="13"/>
      <c r="G153" s="18">
        <v>10000000</v>
      </c>
      <c r="H153" s="18">
        <v>9954183.6300000008</v>
      </c>
      <c r="I153" s="18">
        <v>10000000</v>
      </c>
      <c r="J153" s="18">
        <v>9954183.6300000008</v>
      </c>
      <c r="K153" s="15">
        <v>4538</v>
      </c>
      <c r="L153" s="13" t="s">
        <v>102</v>
      </c>
      <c r="M153" s="13" t="s">
        <v>103</v>
      </c>
      <c r="N153" s="138" t="s">
        <v>339</v>
      </c>
      <c r="O153" s="138" t="s">
        <v>339</v>
      </c>
      <c r="P153" s="28">
        <v>24</v>
      </c>
      <c r="Q153" s="13" t="s">
        <v>54</v>
      </c>
      <c r="R153" s="13" t="s">
        <v>28</v>
      </c>
      <c r="S153" s="13"/>
      <c r="T153" s="13"/>
      <c r="U153" s="13" t="s">
        <v>1553</v>
      </c>
      <c r="V153" s="13" t="s">
        <v>1553</v>
      </c>
      <c r="W153" s="59">
        <f>+J153/$W$2</f>
        <v>1.629109053073665E-4</v>
      </c>
    </row>
    <row r="154" spans="1:29">
      <c r="A154" s="13" t="s">
        <v>465</v>
      </c>
      <c r="B154" s="13" t="s">
        <v>404</v>
      </c>
      <c r="C154" s="138">
        <v>46266</v>
      </c>
      <c r="D154" s="138" t="s">
        <v>424</v>
      </c>
      <c r="E154" s="28">
        <v>0.99427949999999998</v>
      </c>
      <c r="F154" s="13"/>
      <c r="G154" s="18">
        <v>25000000</v>
      </c>
      <c r="H154" s="18">
        <v>24856987.379999999</v>
      </c>
      <c r="I154" s="18">
        <v>25000000</v>
      </c>
      <c r="J154" s="18">
        <v>24856987.379999999</v>
      </c>
      <c r="K154" s="15">
        <v>718978</v>
      </c>
      <c r="L154" s="13" t="s">
        <v>102</v>
      </c>
      <c r="M154" s="13" t="s">
        <v>103</v>
      </c>
      <c r="N154" s="138" t="s">
        <v>316</v>
      </c>
      <c r="O154" s="138" t="s">
        <v>316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473</v>
      </c>
      <c r="V154" s="13" t="s">
        <v>473</v>
      </c>
      <c r="W154" s="59">
        <f>+J154/$W$2</f>
        <v>4.0681129340283066E-4</v>
      </c>
      <c r="AC154" s="56"/>
    </row>
    <row r="155" spans="1:29">
      <c r="A155" s="13" t="s">
        <v>284</v>
      </c>
      <c r="B155" s="13" t="s">
        <v>404</v>
      </c>
      <c r="C155" s="138">
        <v>46266</v>
      </c>
      <c r="D155" s="138" t="s">
        <v>424</v>
      </c>
      <c r="E155" s="28">
        <v>0.99522838000000002</v>
      </c>
      <c r="F155" s="13"/>
      <c r="G155" s="18">
        <v>1800000</v>
      </c>
      <c r="H155" s="18">
        <v>1791411.09</v>
      </c>
      <c r="I155" s="18">
        <v>1800000</v>
      </c>
      <c r="J155" s="18">
        <v>1791411.09</v>
      </c>
      <c r="K155" s="15">
        <v>1236</v>
      </c>
      <c r="L155" s="13" t="s">
        <v>102</v>
      </c>
      <c r="M155" s="13" t="s">
        <v>103</v>
      </c>
      <c r="N155" s="138" t="s">
        <v>173</v>
      </c>
      <c r="O155" s="138" t="s">
        <v>173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1991</v>
      </c>
      <c r="V155" s="13" t="s">
        <v>1991</v>
      </c>
      <c r="W155" s="59">
        <f>+J155/$W$2</f>
        <v>2.9318366357036575E-5</v>
      </c>
    </row>
    <row r="156" spans="1:29">
      <c r="A156" s="13" t="s">
        <v>284</v>
      </c>
      <c r="B156" s="13" t="s">
        <v>404</v>
      </c>
      <c r="C156" s="138">
        <v>46266</v>
      </c>
      <c r="D156" s="138" t="s">
        <v>424</v>
      </c>
      <c r="E156" s="28">
        <v>0.99522836000000003</v>
      </c>
      <c r="F156" s="13"/>
      <c r="G156" s="18">
        <v>408136.6</v>
      </c>
      <c r="H156" s="18">
        <v>406189.12</v>
      </c>
      <c r="I156" s="18">
        <v>408136.6</v>
      </c>
      <c r="J156" s="18">
        <v>406189.12</v>
      </c>
      <c r="K156" s="15">
        <v>2226</v>
      </c>
      <c r="L156" s="13" t="s">
        <v>102</v>
      </c>
      <c r="M156" s="13" t="s">
        <v>103</v>
      </c>
      <c r="N156" s="138" t="s">
        <v>173</v>
      </c>
      <c r="O156" s="138" t="s">
        <v>173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1992</v>
      </c>
      <c r="V156" s="13" t="s">
        <v>1992</v>
      </c>
      <c r="W156" s="59">
        <f>+J156/$W$2</f>
        <v>6.6477211718066851E-6</v>
      </c>
    </row>
    <row r="157" spans="1:29">
      <c r="A157" s="13" t="s">
        <v>1424</v>
      </c>
      <c r="B157" s="13" t="s">
        <v>404</v>
      </c>
      <c r="C157" s="138">
        <v>46266</v>
      </c>
      <c r="D157" s="138" t="s">
        <v>424</v>
      </c>
      <c r="E157" s="28">
        <v>0.99371105999999998</v>
      </c>
      <c r="F157" s="13"/>
      <c r="G157" s="18">
        <v>20000000</v>
      </c>
      <c r="H157" s="18">
        <v>19874221.23</v>
      </c>
      <c r="I157" s="18">
        <v>20000000</v>
      </c>
      <c r="J157" s="18">
        <v>19874221.23</v>
      </c>
      <c r="K157" s="15">
        <v>156669</v>
      </c>
      <c r="L157" s="13" t="s">
        <v>102</v>
      </c>
      <c r="M157" s="13" t="s">
        <v>103</v>
      </c>
      <c r="N157" s="138" t="s">
        <v>421</v>
      </c>
      <c r="O157" s="138" t="s">
        <v>421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1354</v>
      </c>
      <c r="V157" s="13" t="s">
        <v>1354</v>
      </c>
      <c r="W157" s="59">
        <f>+J157/$W$2</f>
        <v>3.2526297416297342E-4</v>
      </c>
    </row>
    <row r="158" spans="1:29">
      <c r="A158" s="13" t="s">
        <v>271</v>
      </c>
      <c r="B158" s="13" t="s">
        <v>404</v>
      </c>
      <c r="C158" s="138">
        <v>46266</v>
      </c>
      <c r="D158" s="138" t="s">
        <v>424</v>
      </c>
      <c r="E158" s="28">
        <v>0.99276505999999998</v>
      </c>
      <c r="F158" s="13"/>
      <c r="G158" s="18">
        <v>5450000</v>
      </c>
      <c r="H158" s="18">
        <v>5410569.5499999998</v>
      </c>
      <c r="I158" s="18">
        <v>5450000</v>
      </c>
      <c r="J158" s="18">
        <v>5410569.5499999998</v>
      </c>
      <c r="K158" s="15">
        <v>28518</v>
      </c>
      <c r="L158" s="13" t="s">
        <v>102</v>
      </c>
      <c r="M158" s="13" t="s">
        <v>103</v>
      </c>
      <c r="N158" s="138" t="s">
        <v>277</v>
      </c>
      <c r="O158" s="138" t="s">
        <v>277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436</v>
      </c>
      <c r="V158" s="13" t="s">
        <v>436</v>
      </c>
      <c r="W158" s="59">
        <f>+J158/$W$2</f>
        <v>8.8549781316317805E-5</v>
      </c>
    </row>
    <row r="159" spans="1:29">
      <c r="A159" s="13" t="s">
        <v>467</v>
      </c>
      <c r="B159" s="13" t="s">
        <v>404</v>
      </c>
      <c r="C159" s="138">
        <v>46266</v>
      </c>
      <c r="D159" s="138" t="s">
        <v>424</v>
      </c>
      <c r="E159" s="28">
        <v>0.99238716999999999</v>
      </c>
      <c r="F159" s="13"/>
      <c r="G159" s="18">
        <v>9972860.4499999993</v>
      </c>
      <c r="H159" s="18">
        <v>9896938.7599999998</v>
      </c>
      <c r="I159" s="18">
        <v>9972860.4499999993</v>
      </c>
      <c r="J159" s="18">
        <v>9896938.7599999998</v>
      </c>
      <c r="K159" s="15">
        <v>1179204</v>
      </c>
      <c r="L159" s="13" t="s">
        <v>102</v>
      </c>
      <c r="M159" s="13" t="s">
        <v>103</v>
      </c>
      <c r="N159" s="138" t="s">
        <v>306</v>
      </c>
      <c r="O159" s="138" t="s">
        <v>306</v>
      </c>
      <c r="P159" s="28">
        <v>40</v>
      </c>
      <c r="Q159" s="13" t="s">
        <v>54</v>
      </c>
      <c r="R159" s="13" t="s">
        <v>28</v>
      </c>
      <c r="S159" s="13"/>
      <c r="T159" s="13"/>
      <c r="U159" s="13" t="s">
        <v>461</v>
      </c>
      <c r="V159" s="13" t="s">
        <v>461</v>
      </c>
      <c r="W159" s="59">
        <f>+J159/$W$2</f>
        <v>1.6197403153222372E-4</v>
      </c>
    </row>
    <row r="160" spans="1:29">
      <c r="A160" s="13" t="s">
        <v>285</v>
      </c>
      <c r="B160" s="13" t="s">
        <v>404</v>
      </c>
      <c r="C160" s="138">
        <v>46266</v>
      </c>
      <c r="D160" s="138" t="s">
        <v>424</v>
      </c>
      <c r="E160" s="28">
        <v>0.99446911999999998</v>
      </c>
      <c r="F160" s="13"/>
      <c r="G160" s="18">
        <v>10000000</v>
      </c>
      <c r="H160" s="18">
        <v>9944691.2200000007</v>
      </c>
      <c r="I160" s="18">
        <v>10000000</v>
      </c>
      <c r="J160" s="18">
        <v>9944691.2200000007</v>
      </c>
      <c r="K160" s="15">
        <v>2158</v>
      </c>
      <c r="L160" s="13" t="s">
        <v>102</v>
      </c>
      <c r="M160" s="13" t="s">
        <v>103</v>
      </c>
      <c r="N160" s="138" t="s">
        <v>331</v>
      </c>
      <c r="O160" s="138" t="s">
        <v>331</v>
      </c>
      <c r="P160" s="28">
        <v>29</v>
      </c>
      <c r="Q160" s="13" t="s">
        <v>54</v>
      </c>
      <c r="R160" s="13" t="s">
        <v>28</v>
      </c>
      <c r="S160" s="13"/>
      <c r="T160" s="13"/>
      <c r="U160" s="13" t="s">
        <v>666</v>
      </c>
      <c r="V160" s="13" t="s">
        <v>666</v>
      </c>
      <c r="W160" s="59">
        <f>+J160/$W$2</f>
        <v>1.6275555182343156E-4</v>
      </c>
    </row>
    <row r="161" spans="1:29">
      <c r="A161" s="13" t="s">
        <v>285</v>
      </c>
      <c r="B161" s="13" t="s">
        <v>404</v>
      </c>
      <c r="C161" s="138">
        <v>46266</v>
      </c>
      <c r="D161" s="138" t="s">
        <v>424</v>
      </c>
      <c r="E161" s="28">
        <v>0.99446913000000003</v>
      </c>
      <c r="F161" s="13"/>
      <c r="G161" s="18">
        <v>10000000</v>
      </c>
      <c r="H161" s="18">
        <v>9944691.3000000007</v>
      </c>
      <c r="I161" s="18">
        <v>10000000</v>
      </c>
      <c r="J161" s="18">
        <v>9944691.3000000007</v>
      </c>
      <c r="K161" s="15">
        <v>66412510</v>
      </c>
      <c r="L161" s="13" t="s">
        <v>102</v>
      </c>
      <c r="M161" s="13" t="s">
        <v>103</v>
      </c>
      <c r="N161" s="138" t="s">
        <v>289</v>
      </c>
      <c r="O161" s="138" t="s">
        <v>289</v>
      </c>
      <c r="P161" s="28">
        <v>29</v>
      </c>
      <c r="Q161" s="13" t="s">
        <v>54</v>
      </c>
      <c r="R161" s="13" t="s">
        <v>28</v>
      </c>
      <c r="S161" s="13"/>
      <c r="T161" s="13"/>
      <c r="U161" s="13" t="s">
        <v>613</v>
      </c>
      <c r="V161" s="13" t="s">
        <v>613</v>
      </c>
      <c r="W161" s="59">
        <f>+J161/$W$2</f>
        <v>1.6275555313271747E-4</v>
      </c>
    </row>
    <row r="162" spans="1:29">
      <c r="A162" s="13" t="s">
        <v>178</v>
      </c>
      <c r="B162" s="13" t="s">
        <v>404</v>
      </c>
      <c r="C162" s="138">
        <v>46266</v>
      </c>
      <c r="D162" s="138" t="s">
        <v>424</v>
      </c>
      <c r="E162" s="28">
        <v>0.99617904999999995</v>
      </c>
      <c r="F162" s="13"/>
      <c r="G162" s="18">
        <v>2500000</v>
      </c>
      <c r="H162" s="18">
        <v>2490447.63</v>
      </c>
      <c r="I162" s="18">
        <v>2500000</v>
      </c>
      <c r="J162" s="18">
        <v>2490447.63</v>
      </c>
      <c r="K162" s="15">
        <v>6138</v>
      </c>
      <c r="L162" s="13" t="s">
        <v>102</v>
      </c>
      <c r="M162" s="13" t="s">
        <v>103</v>
      </c>
      <c r="N162" s="138" t="s">
        <v>282</v>
      </c>
      <c r="O162" s="138" t="s">
        <v>282</v>
      </c>
      <c r="P162" s="28">
        <v>20</v>
      </c>
      <c r="Q162" s="13" t="s">
        <v>54</v>
      </c>
      <c r="R162" s="13" t="s">
        <v>28</v>
      </c>
      <c r="S162" s="13"/>
      <c r="T162" s="13"/>
      <c r="U162" s="13" t="s">
        <v>830</v>
      </c>
      <c r="V162" s="13" t="s">
        <v>830</v>
      </c>
      <c r="W162" s="59">
        <f>+J162/$W$2</f>
        <v>4.0758850057891216E-5</v>
      </c>
    </row>
    <row r="163" spans="1:29">
      <c r="A163" s="13" t="s">
        <v>466</v>
      </c>
      <c r="B163" s="13" t="s">
        <v>404</v>
      </c>
      <c r="C163" s="138">
        <v>46266</v>
      </c>
      <c r="D163" s="138" t="s">
        <v>424</v>
      </c>
      <c r="E163" s="28">
        <v>0.99446911999999998</v>
      </c>
      <c r="F163" s="13"/>
      <c r="G163" s="18">
        <v>2500000</v>
      </c>
      <c r="H163" s="18">
        <v>2486172.81</v>
      </c>
      <c r="I163" s="18">
        <v>2500000</v>
      </c>
      <c r="J163" s="18">
        <v>2486172.81</v>
      </c>
      <c r="K163" s="15">
        <v>367</v>
      </c>
      <c r="L163" s="13" t="s">
        <v>102</v>
      </c>
      <c r="M163" s="13" t="s">
        <v>103</v>
      </c>
      <c r="N163" s="138" t="s">
        <v>316</v>
      </c>
      <c r="O163" s="138" t="s">
        <v>316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472</v>
      </c>
      <c r="V163" s="13" t="s">
        <v>472</v>
      </c>
      <c r="W163" s="59">
        <f>+J163/$W$2</f>
        <v>4.068888803768826E-5</v>
      </c>
    </row>
    <row r="164" spans="1:29">
      <c r="A164" s="13" t="s">
        <v>466</v>
      </c>
      <c r="B164" s="13" t="s">
        <v>404</v>
      </c>
      <c r="C164" s="138">
        <v>46266</v>
      </c>
      <c r="D164" s="138" t="s">
        <v>424</v>
      </c>
      <c r="E164" s="28">
        <v>0.99465882999999999</v>
      </c>
      <c r="F164" s="13"/>
      <c r="G164" s="18">
        <v>10000000</v>
      </c>
      <c r="H164" s="18">
        <v>9946588.2699999996</v>
      </c>
      <c r="I164" s="18">
        <v>10000000</v>
      </c>
      <c r="J164" s="18">
        <v>9946588.2699999996</v>
      </c>
      <c r="K164" s="15">
        <v>360560</v>
      </c>
      <c r="L164" s="13" t="s">
        <v>102</v>
      </c>
      <c r="M164" s="13" t="s">
        <v>103</v>
      </c>
      <c r="N164" s="138" t="s">
        <v>308</v>
      </c>
      <c r="O164" s="138" t="s">
        <v>308</v>
      </c>
      <c r="P164" s="28">
        <v>28</v>
      </c>
      <c r="Q164" s="13" t="s">
        <v>54</v>
      </c>
      <c r="R164" s="13" t="s">
        <v>28</v>
      </c>
      <c r="S164" s="13"/>
      <c r="T164" s="13"/>
      <c r="U164" s="13" t="s">
        <v>564</v>
      </c>
      <c r="V164" s="13" t="s">
        <v>564</v>
      </c>
      <c r="W164" s="59">
        <f>+J164/$W$2</f>
        <v>1.6278659908400064E-4</v>
      </c>
    </row>
    <row r="165" spans="1:29">
      <c r="A165" s="13" t="s">
        <v>146</v>
      </c>
      <c r="B165" s="13" t="s">
        <v>404</v>
      </c>
      <c r="C165" s="138">
        <v>46266</v>
      </c>
      <c r="D165" s="138" t="s">
        <v>424</v>
      </c>
      <c r="E165" s="28">
        <v>0.99484861000000002</v>
      </c>
      <c r="F165" s="13"/>
      <c r="G165" s="18">
        <v>200000000</v>
      </c>
      <c r="H165" s="18">
        <v>198969722.06</v>
      </c>
      <c r="I165" s="18">
        <v>200000000</v>
      </c>
      <c r="J165" s="18">
        <v>198969722.06</v>
      </c>
      <c r="K165" s="15">
        <v>90003877</v>
      </c>
      <c r="L165" s="13" t="s">
        <v>102</v>
      </c>
      <c r="M165" s="13" t="s">
        <v>103</v>
      </c>
      <c r="N165" s="138" t="s">
        <v>382</v>
      </c>
      <c r="O165" s="138" t="s">
        <v>382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1122</v>
      </c>
      <c r="V165" s="13" t="s">
        <v>1122</v>
      </c>
      <c r="W165" s="59">
        <f>+J165/$W$2</f>
        <v>3.2563531831841133E-3</v>
      </c>
      <c r="AC165" s="56"/>
    </row>
    <row r="166" spans="1:29">
      <c r="A166" s="13" t="s">
        <v>285</v>
      </c>
      <c r="B166" s="13" t="s">
        <v>404</v>
      </c>
      <c r="C166" s="138">
        <v>46266</v>
      </c>
      <c r="D166" s="138" t="s">
        <v>424</v>
      </c>
      <c r="E166" s="28">
        <v>0.99503845000000002</v>
      </c>
      <c r="F166" s="13"/>
      <c r="G166" s="18">
        <v>120000000</v>
      </c>
      <c r="H166" s="18">
        <v>119404614.12</v>
      </c>
      <c r="I166" s="18">
        <v>120000000</v>
      </c>
      <c r="J166" s="18">
        <v>119404614.12</v>
      </c>
      <c r="K166" s="15">
        <v>344</v>
      </c>
      <c r="L166" s="13" t="s">
        <v>102</v>
      </c>
      <c r="M166" s="13" t="s">
        <v>103</v>
      </c>
      <c r="N166" s="138" t="s">
        <v>330</v>
      </c>
      <c r="O166" s="138" t="s">
        <v>330</v>
      </c>
      <c r="P166" s="28">
        <v>26</v>
      </c>
      <c r="Q166" s="13" t="s">
        <v>54</v>
      </c>
      <c r="R166" s="13" t="s">
        <v>28</v>
      </c>
      <c r="S166" s="13"/>
      <c r="T166" s="13"/>
      <c r="U166" s="13" t="s">
        <v>934</v>
      </c>
      <c r="V166" s="13" t="s">
        <v>934</v>
      </c>
      <c r="W166" s="59">
        <f>+J166/$W$2</f>
        <v>1.9541847435424454E-3</v>
      </c>
    </row>
    <row r="167" spans="1:29">
      <c r="A167" s="13" t="s">
        <v>285</v>
      </c>
      <c r="B167" s="13" t="s">
        <v>404</v>
      </c>
      <c r="C167" s="138">
        <v>46266</v>
      </c>
      <c r="D167" s="138" t="s">
        <v>424</v>
      </c>
      <c r="E167" s="28">
        <v>0.99503845999999996</v>
      </c>
      <c r="F167" s="13"/>
      <c r="G167" s="18">
        <v>2500000</v>
      </c>
      <c r="H167" s="18">
        <v>2487596.14</v>
      </c>
      <c r="I167" s="18">
        <v>2500000</v>
      </c>
      <c r="J167" s="18">
        <v>2487596.14</v>
      </c>
      <c r="K167" s="15">
        <v>3838</v>
      </c>
      <c r="L167" s="13" t="s">
        <v>102</v>
      </c>
      <c r="M167" s="13" t="s">
        <v>103</v>
      </c>
      <c r="N167" s="138" t="s">
        <v>420</v>
      </c>
      <c r="O167" s="138" t="s">
        <v>420</v>
      </c>
      <c r="P167" s="28">
        <v>26</v>
      </c>
      <c r="Q167" s="13" t="s">
        <v>54</v>
      </c>
      <c r="R167" s="13" t="s">
        <v>28</v>
      </c>
      <c r="S167" s="13"/>
      <c r="T167" s="13"/>
      <c r="U167" s="13" t="s">
        <v>1287</v>
      </c>
      <c r="V167" s="13" t="s">
        <v>1287</v>
      </c>
      <c r="W167" s="59">
        <f>+J167/$W$2</f>
        <v>4.0712182361710204E-5</v>
      </c>
    </row>
    <row r="168" spans="1:29">
      <c r="A168" s="13" t="s">
        <v>405</v>
      </c>
      <c r="B168" s="13" t="s">
        <v>404</v>
      </c>
      <c r="C168" s="138">
        <v>46266</v>
      </c>
      <c r="D168" s="138" t="s">
        <v>424</v>
      </c>
      <c r="E168" s="28">
        <v>0.99371105000000004</v>
      </c>
      <c r="F168" s="13"/>
      <c r="G168" s="18">
        <v>10000000</v>
      </c>
      <c r="H168" s="18">
        <v>9937110.5199999996</v>
      </c>
      <c r="I168" s="18">
        <v>10000000</v>
      </c>
      <c r="J168" s="18">
        <v>9937110.5199999996</v>
      </c>
      <c r="K168" s="15">
        <v>665</v>
      </c>
      <c r="L168" s="13" t="s">
        <v>102</v>
      </c>
      <c r="M168" s="13" t="s">
        <v>103</v>
      </c>
      <c r="N168" s="138" t="s">
        <v>340</v>
      </c>
      <c r="O168" s="138" t="s">
        <v>340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1073</v>
      </c>
      <c r="V168" s="13" t="s">
        <v>1073</v>
      </c>
      <c r="W168" s="59">
        <f>+J168/$W$2</f>
        <v>1.6263148552670968E-4</v>
      </c>
    </row>
    <row r="169" spans="1:29">
      <c r="A169" s="13" t="s">
        <v>1167</v>
      </c>
      <c r="B169" s="13" t="s">
        <v>404</v>
      </c>
      <c r="C169" s="138">
        <v>46266</v>
      </c>
      <c r="D169" s="138" t="s">
        <v>424</v>
      </c>
      <c r="E169" s="28">
        <v>0.99484859000000003</v>
      </c>
      <c r="F169" s="13"/>
      <c r="G169" s="18">
        <v>52602739.240000002</v>
      </c>
      <c r="H169" s="18">
        <v>52331761.090000004</v>
      </c>
      <c r="I169" s="18">
        <v>52602739.240000002</v>
      </c>
      <c r="J169" s="18">
        <v>52331761.090000004</v>
      </c>
      <c r="K169" s="15">
        <v>287</v>
      </c>
      <c r="L169" s="13" t="s">
        <v>102</v>
      </c>
      <c r="M169" s="13" t="s">
        <v>103</v>
      </c>
      <c r="N169" s="138" t="s">
        <v>324</v>
      </c>
      <c r="O169" s="138" t="s">
        <v>324</v>
      </c>
      <c r="P169" s="28">
        <v>27</v>
      </c>
      <c r="Q169" s="13" t="s">
        <v>54</v>
      </c>
      <c r="R169" s="13" t="s">
        <v>28</v>
      </c>
      <c r="S169" s="13"/>
      <c r="T169" s="13"/>
      <c r="U169" s="13" t="s">
        <v>1155</v>
      </c>
      <c r="V169" s="13" t="s">
        <v>1155</v>
      </c>
      <c r="W169" s="59">
        <f>+J169/$W$2</f>
        <v>8.5646547144325861E-4</v>
      </c>
    </row>
    <row r="170" spans="1:29">
      <c r="A170" s="13" t="s">
        <v>119</v>
      </c>
      <c r="B170" s="13" t="s">
        <v>404</v>
      </c>
      <c r="C170" s="138">
        <v>46266</v>
      </c>
      <c r="D170" s="138" t="s">
        <v>424</v>
      </c>
      <c r="E170" s="28">
        <v>0.98526157000000003</v>
      </c>
      <c r="F170" s="13"/>
      <c r="G170" s="18">
        <v>10000000</v>
      </c>
      <c r="H170" s="18">
        <v>9852615.75</v>
      </c>
      <c r="I170" s="18">
        <v>10000000</v>
      </c>
      <c r="J170" s="18">
        <v>9852615.75</v>
      </c>
      <c r="K170" s="15">
        <v>3937</v>
      </c>
      <c r="L170" s="13" t="s">
        <v>102</v>
      </c>
      <c r="M170" s="13" t="s">
        <v>103</v>
      </c>
      <c r="N170" s="138" t="s">
        <v>132</v>
      </c>
      <c r="O170" s="138" t="s">
        <v>132</v>
      </c>
      <c r="P170" s="28">
        <v>78</v>
      </c>
      <c r="Q170" s="13" t="s">
        <v>54</v>
      </c>
      <c r="R170" s="13" t="s">
        <v>28</v>
      </c>
      <c r="S170" s="13"/>
      <c r="T170" s="13"/>
      <c r="U170" s="13" t="s">
        <v>171</v>
      </c>
      <c r="V170" s="13" t="s">
        <v>171</v>
      </c>
      <c r="W170" s="59">
        <f>+J170/$W$2</f>
        <v>1.6124863787329163E-4</v>
      </c>
    </row>
    <row r="171" spans="1:29">
      <c r="A171" s="13" t="s">
        <v>1025</v>
      </c>
      <c r="B171" s="13" t="s">
        <v>404</v>
      </c>
      <c r="C171" s="138">
        <v>46266</v>
      </c>
      <c r="D171" s="138" t="s">
        <v>424</v>
      </c>
      <c r="E171" s="28">
        <v>0.99390047000000004</v>
      </c>
      <c r="F171" s="13"/>
      <c r="G171" s="18">
        <v>22266654.899999999</v>
      </c>
      <c r="H171" s="18">
        <v>22130838.739999998</v>
      </c>
      <c r="I171" s="18">
        <v>22266654.899999999</v>
      </c>
      <c r="J171" s="18">
        <v>22130838.739999998</v>
      </c>
      <c r="K171" s="15">
        <v>8292016</v>
      </c>
      <c r="L171" s="13" t="s">
        <v>102</v>
      </c>
      <c r="M171" s="13" t="s">
        <v>103</v>
      </c>
      <c r="N171" s="138" t="s">
        <v>338</v>
      </c>
      <c r="O171" s="138" t="s">
        <v>338</v>
      </c>
      <c r="P171" s="28">
        <v>32</v>
      </c>
      <c r="Q171" s="13" t="s">
        <v>54</v>
      </c>
      <c r="R171" s="13" t="s">
        <v>28</v>
      </c>
      <c r="S171" s="13"/>
      <c r="T171" s="13"/>
      <c r="U171" s="13" t="s">
        <v>1014</v>
      </c>
      <c r="V171" s="13" t="s">
        <v>1014</v>
      </c>
      <c r="W171" s="59">
        <f>+J171/$W$2</f>
        <v>3.6219494318739405E-4</v>
      </c>
    </row>
    <row r="172" spans="1:29">
      <c r="A172" s="13" t="s">
        <v>144</v>
      </c>
      <c r="B172" s="13" t="s">
        <v>404</v>
      </c>
      <c r="C172" s="138">
        <v>46266</v>
      </c>
      <c r="D172" s="138" t="s">
        <v>424</v>
      </c>
      <c r="E172" s="28">
        <v>0.99333245000000003</v>
      </c>
      <c r="F172" s="13"/>
      <c r="G172" s="18">
        <v>20000000</v>
      </c>
      <c r="H172" s="18">
        <v>19866649.07</v>
      </c>
      <c r="I172" s="18">
        <v>20000000</v>
      </c>
      <c r="J172" s="18">
        <v>19866649.07</v>
      </c>
      <c r="K172" s="15">
        <v>4269</v>
      </c>
      <c r="L172" s="13" t="s">
        <v>102</v>
      </c>
      <c r="M172" s="13" t="s">
        <v>103</v>
      </c>
      <c r="N172" s="138" t="s">
        <v>412</v>
      </c>
      <c r="O172" s="138" t="s">
        <v>412</v>
      </c>
      <c r="P172" s="28">
        <v>35</v>
      </c>
      <c r="Q172" s="13" t="s">
        <v>54</v>
      </c>
      <c r="R172" s="13" t="s">
        <v>28</v>
      </c>
      <c r="S172" s="13"/>
      <c r="T172" s="13"/>
      <c r="U172" s="13" t="s">
        <v>985</v>
      </c>
      <c r="V172" s="13" t="s">
        <v>985</v>
      </c>
      <c r="W172" s="59">
        <f>+J172/$W$2</f>
        <v>3.2513904763252299E-4</v>
      </c>
    </row>
    <row r="173" spans="1:29">
      <c r="A173" s="13" t="s">
        <v>917</v>
      </c>
      <c r="B173" s="13" t="s">
        <v>404</v>
      </c>
      <c r="C173" s="138">
        <v>46266</v>
      </c>
      <c r="D173" s="138" t="s">
        <v>424</v>
      </c>
      <c r="E173" s="28">
        <v>0.99371103999999999</v>
      </c>
      <c r="F173" s="13"/>
      <c r="G173" s="18">
        <v>2200000</v>
      </c>
      <c r="H173" s="18">
        <v>2186164.29</v>
      </c>
      <c r="I173" s="18">
        <v>2200000</v>
      </c>
      <c r="J173" s="18">
        <v>2186164.29</v>
      </c>
      <c r="K173" s="15">
        <v>6199</v>
      </c>
      <c r="L173" s="13" t="s">
        <v>102</v>
      </c>
      <c r="M173" s="13" t="s">
        <v>103</v>
      </c>
      <c r="N173" s="138" t="s">
        <v>311</v>
      </c>
      <c r="O173" s="138" t="s">
        <v>311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913</v>
      </c>
      <c r="V173" s="13" t="s">
        <v>913</v>
      </c>
      <c r="W173" s="59">
        <f>+J173/$W$2</f>
        <v>3.5778926416543924E-5</v>
      </c>
    </row>
    <row r="174" spans="1:29">
      <c r="A174" s="13" t="s">
        <v>279</v>
      </c>
      <c r="B174" s="13" t="s">
        <v>404</v>
      </c>
      <c r="C174" s="138">
        <v>46266</v>
      </c>
      <c r="D174" s="138" t="s">
        <v>424</v>
      </c>
      <c r="E174" s="28">
        <v>0.99371103999999999</v>
      </c>
      <c r="F174" s="13"/>
      <c r="G174" s="18">
        <v>50000000</v>
      </c>
      <c r="H174" s="18">
        <v>49685552.079999998</v>
      </c>
      <c r="I174" s="18">
        <v>50000000</v>
      </c>
      <c r="J174" s="18">
        <v>49685552.079999998</v>
      </c>
      <c r="K174" s="15">
        <v>29030847</v>
      </c>
      <c r="L174" s="13" t="s">
        <v>102</v>
      </c>
      <c r="M174" s="13" t="s">
        <v>103</v>
      </c>
      <c r="N174" s="138" t="s">
        <v>278</v>
      </c>
      <c r="O174" s="138" t="s">
        <v>278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430</v>
      </c>
      <c r="V174" s="13" t="s">
        <v>430</v>
      </c>
      <c r="W174" s="59">
        <f>+J174/$W$2</f>
        <v>8.1315741912318994E-4</v>
      </c>
    </row>
    <row r="175" spans="1:29">
      <c r="A175" s="13" t="s">
        <v>1806</v>
      </c>
      <c r="B175" s="13" t="s">
        <v>404</v>
      </c>
      <c r="C175" s="138">
        <v>46266</v>
      </c>
      <c r="D175" s="138" t="s">
        <v>424</v>
      </c>
      <c r="E175" s="28">
        <v>0.99427951000000003</v>
      </c>
      <c r="F175" s="13"/>
      <c r="G175" s="18">
        <v>751008.82</v>
      </c>
      <c r="H175" s="18">
        <v>746712.68</v>
      </c>
      <c r="I175" s="18">
        <v>751008.82</v>
      </c>
      <c r="J175" s="18">
        <v>746712.68</v>
      </c>
      <c r="K175" s="15">
        <v>29454561</v>
      </c>
      <c r="L175" s="13" t="s">
        <v>102</v>
      </c>
      <c r="M175" s="13" t="s">
        <v>103</v>
      </c>
      <c r="N175" s="138" t="s">
        <v>384</v>
      </c>
      <c r="O175" s="138" t="s">
        <v>384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1785</v>
      </c>
      <c r="V175" s="13" t="s">
        <v>1785</v>
      </c>
      <c r="W175" s="59">
        <f>+J175/$W$2</f>
        <v>1.2220754933299323E-5</v>
      </c>
    </row>
    <row r="176" spans="1:29">
      <c r="A176" s="13" t="s">
        <v>2026</v>
      </c>
      <c r="B176" s="13" t="s">
        <v>404</v>
      </c>
      <c r="C176" s="138">
        <v>46266</v>
      </c>
      <c r="D176" s="138" t="s">
        <v>424</v>
      </c>
      <c r="E176" s="28">
        <v>0.99427953999999996</v>
      </c>
      <c r="F176" s="13"/>
      <c r="G176" s="18">
        <v>425289.41</v>
      </c>
      <c r="H176" s="18">
        <v>422856.56</v>
      </c>
      <c r="I176" s="18">
        <v>425289.41</v>
      </c>
      <c r="J176" s="18">
        <v>422856.56</v>
      </c>
      <c r="K176" s="15">
        <v>11312857</v>
      </c>
      <c r="L176" s="13" t="s">
        <v>102</v>
      </c>
      <c r="M176" s="13" t="s">
        <v>103</v>
      </c>
      <c r="N176" s="138" t="s">
        <v>173</v>
      </c>
      <c r="O176" s="138" t="s">
        <v>173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2000</v>
      </c>
      <c r="V176" s="13" t="s">
        <v>2000</v>
      </c>
      <c r="W176" s="59">
        <f>+J176/$W$2</f>
        <v>6.9205017272479969E-6</v>
      </c>
    </row>
    <row r="177" spans="1:23">
      <c r="A177" s="13" t="s">
        <v>2515</v>
      </c>
      <c r="B177" s="13" t="s">
        <v>404</v>
      </c>
      <c r="C177" s="138">
        <v>46266</v>
      </c>
      <c r="D177" s="138" t="s">
        <v>424</v>
      </c>
      <c r="E177" s="28">
        <v>0.99333251</v>
      </c>
      <c r="F177" s="13"/>
      <c r="G177" s="18">
        <v>350000</v>
      </c>
      <c r="H177" s="18">
        <v>347666.38</v>
      </c>
      <c r="I177" s="18">
        <v>350000</v>
      </c>
      <c r="J177" s="18">
        <v>347666.38</v>
      </c>
      <c r="K177" s="15">
        <v>88191369</v>
      </c>
      <c r="L177" s="13" t="s">
        <v>102</v>
      </c>
      <c r="M177" s="13" t="s">
        <v>103</v>
      </c>
      <c r="N177" s="138" t="s">
        <v>170</v>
      </c>
      <c r="O177" s="138" t="s">
        <v>170</v>
      </c>
      <c r="P177" s="28">
        <v>35</v>
      </c>
      <c r="Q177" s="13" t="s">
        <v>54</v>
      </c>
      <c r="R177" s="13" t="s">
        <v>28</v>
      </c>
      <c r="S177" s="13"/>
      <c r="T177" s="13"/>
      <c r="U177" s="13" t="s">
        <v>2450</v>
      </c>
      <c r="V177" s="13" t="s">
        <v>2450</v>
      </c>
      <c r="W177" s="59">
        <f>+J177/$W$2</f>
        <v>5.6899336817573754E-6</v>
      </c>
    </row>
    <row r="178" spans="1:23">
      <c r="A178" s="13" t="s">
        <v>523</v>
      </c>
      <c r="B178" s="13" t="s">
        <v>404</v>
      </c>
      <c r="C178" s="138">
        <v>46266</v>
      </c>
      <c r="D178" s="138" t="s">
        <v>424</v>
      </c>
      <c r="E178" s="28">
        <v>0.99371103999999999</v>
      </c>
      <c r="F178" s="13"/>
      <c r="G178" s="18">
        <v>21395750</v>
      </c>
      <c r="H178" s="18">
        <v>21261192.960000001</v>
      </c>
      <c r="I178" s="18">
        <v>21395750</v>
      </c>
      <c r="J178" s="18">
        <v>21261192.960000001</v>
      </c>
      <c r="K178" s="15">
        <v>3233103</v>
      </c>
      <c r="L178" s="13" t="s">
        <v>102</v>
      </c>
      <c r="M178" s="13" t="s">
        <v>103</v>
      </c>
      <c r="N178" s="138" t="s">
        <v>350</v>
      </c>
      <c r="O178" s="138" t="s">
        <v>350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529</v>
      </c>
      <c r="V178" s="13" t="s">
        <v>529</v>
      </c>
      <c r="W178" s="59">
        <f>+J178/$W$2</f>
        <v>3.4796225604974168E-4</v>
      </c>
    </row>
    <row r="179" spans="1:23">
      <c r="A179" s="13" t="s">
        <v>960</v>
      </c>
      <c r="B179" s="13" t="s">
        <v>404</v>
      </c>
      <c r="C179" s="138">
        <v>46266</v>
      </c>
      <c r="D179" s="138" t="s">
        <v>424</v>
      </c>
      <c r="E179" s="28">
        <v>0.99390045999999999</v>
      </c>
      <c r="F179" s="13"/>
      <c r="G179" s="18">
        <v>1000000</v>
      </c>
      <c r="H179" s="18">
        <v>993900.46</v>
      </c>
      <c r="I179" s="18">
        <v>1000000</v>
      </c>
      <c r="J179" s="18">
        <v>993900.46</v>
      </c>
      <c r="K179" s="15">
        <v>67381500</v>
      </c>
      <c r="L179" s="13" t="s">
        <v>102</v>
      </c>
      <c r="M179" s="13" t="s">
        <v>103</v>
      </c>
      <c r="N179" s="138" t="s">
        <v>330</v>
      </c>
      <c r="O179" s="138" t="s">
        <v>330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971</v>
      </c>
      <c r="V179" s="13" t="s">
        <v>971</v>
      </c>
      <c r="W179" s="59">
        <f>+J179/$W$2</f>
        <v>1.6266248418003917E-5</v>
      </c>
    </row>
    <row r="180" spans="1:23">
      <c r="A180" s="13" t="s">
        <v>1030</v>
      </c>
      <c r="B180" s="13" t="s">
        <v>404</v>
      </c>
      <c r="C180" s="138">
        <v>46266</v>
      </c>
      <c r="D180" s="138" t="s">
        <v>424</v>
      </c>
      <c r="E180" s="28">
        <v>0.99427951999999997</v>
      </c>
      <c r="F180" s="13"/>
      <c r="G180" s="18">
        <v>2500000</v>
      </c>
      <c r="H180" s="18">
        <v>2485698.81</v>
      </c>
      <c r="I180" s="18">
        <v>2500000</v>
      </c>
      <c r="J180" s="18">
        <v>2485698.81</v>
      </c>
      <c r="K180" s="15">
        <v>344</v>
      </c>
      <c r="L180" s="13" t="s">
        <v>102</v>
      </c>
      <c r="M180" s="13" t="s">
        <v>103</v>
      </c>
      <c r="N180" s="138" t="s">
        <v>343</v>
      </c>
      <c r="O180" s="138" t="s">
        <v>343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1472</v>
      </c>
      <c r="V180" s="13" t="s">
        <v>1472</v>
      </c>
      <c r="W180" s="59">
        <f>+J180/$W$2</f>
        <v>4.0681130518640389E-5</v>
      </c>
    </row>
    <row r="181" spans="1:23">
      <c r="A181" s="13" t="s">
        <v>1151</v>
      </c>
      <c r="B181" s="13" t="s">
        <v>404</v>
      </c>
      <c r="C181" s="138">
        <v>46266</v>
      </c>
      <c r="D181" s="138" t="s">
        <v>424</v>
      </c>
      <c r="E181" s="28">
        <v>0.99371103999999999</v>
      </c>
      <c r="F181" s="13"/>
      <c r="G181" s="18">
        <v>2000000</v>
      </c>
      <c r="H181" s="18">
        <v>1987422.08</v>
      </c>
      <c r="I181" s="18">
        <v>2000000</v>
      </c>
      <c r="J181" s="18">
        <v>1987422.08</v>
      </c>
      <c r="K181" s="15">
        <v>13669238</v>
      </c>
      <c r="L181" s="13" t="s">
        <v>102</v>
      </c>
      <c r="M181" s="13" t="s">
        <v>103</v>
      </c>
      <c r="N181" s="138" t="s">
        <v>481</v>
      </c>
      <c r="O181" s="138" t="s">
        <v>481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1773</v>
      </c>
      <c r="V181" s="13" t="s">
        <v>1773</v>
      </c>
      <c r="W181" s="59">
        <f>+J181/$W$2</f>
        <v>3.2526296712556163E-5</v>
      </c>
    </row>
    <row r="182" spans="1:23">
      <c r="A182" s="13" t="s">
        <v>1350</v>
      </c>
      <c r="B182" s="13" t="s">
        <v>404</v>
      </c>
      <c r="C182" s="138">
        <v>46266</v>
      </c>
      <c r="D182" s="138" t="s">
        <v>424</v>
      </c>
      <c r="E182" s="28">
        <v>0.99427949000000004</v>
      </c>
      <c r="F182" s="13"/>
      <c r="G182" s="18">
        <v>1064203.17</v>
      </c>
      <c r="H182" s="18">
        <v>1058115.3899999999</v>
      </c>
      <c r="I182" s="18">
        <v>1064203.17</v>
      </c>
      <c r="J182" s="18">
        <v>1058115.3899999999</v>
      </c>
      <c r="K182" s="15">
        <v>1247</v>
      </c>
      <c r="L182" s="13" t="s">
        <v>102</v>
      </c>
      <c r="M182" s="13" t="s">
        <v>103</v>
      </c>
      <c r="N182" s="138" t="s">
        <v>601</v>
      </c>
      <c r="O182" s="138" t="s">
        <v>601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1342</v>
      </c>
      <c r="V182" s="13" t="s">
        <v>1342</v>
      </c>
      <c r="W182" s="59">
        <f>+J182/$W$2</f>
        <v>1.7317194710477444E-5</v>
      </c>
    </row>
    <row r="183" spans="1:23">
      <c r="A183" s="13" t="s">
        <v>2278</v>
      </c>
      <c r="B183" s="13" t="s">
        <v>404</v>
      </c>
      <c r="C183" s="138">
        <v>46266</v>
      </c>
      <c r="D183" s="138" t="s">
        <v>424</v>
      </c>
      <c r="E183" s="28">
        <v>0.99371103999999999</v>
      </c>
      <c r="F183" s="13"/>
      <c r="G183" s="18">
        <v>224380.5</v>
      </c>
      <c r="H183" s="18">
        <v>222969.38</v>
      </c>
      <c r="I183" s="18">
        <v>224380.5</v>
      </c>
      <c r="J183" s="18">
        <v>222969.38</v>
      </c>
      <c r="K183" s="15">
        <v>9894</v>
      </c>
      <c r="L183" s="13" t="s">
        <v>102</v>
      </c>
      <c r="M183" s="13" t="s">
        <v>103</v>
      </c>
      <c r="N183" s="138" t="s">
        <v>422</v>
      </c>
      <c r="O183" s="138" t="s">
        <v>422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2265</v>
      </c>
      <c r="V183" s="13" t="s">
        <v>2265</v>
      </c>
      <c r="W183" s="59">
        <f>+J183/$W$2</f>
        <v>3.6491333595804098E-6</v>
      </c>
    </row>
    <row r="184" spans="1:23">
      <c r="A184" s="13" t="s">
        <v>1669</v>
      </c>
      <c r="B184" s="13" t="s">
        <v>404</v>
      </c>
      <c r="C184" s="138">
        <v>46266</v>
      </c>
      <c r="D184" s="138" t="s">
        <v>424</v>
      </c>
      <c r="E184" s="28">
        <v>0.99427949999999998</v>
      </c>
      <c r="F184" s="13"/>
      <c r="G184" s="18">
        <v>1768326.86</v>
      </c>
      <c r="H184" s="18">
        <v>1758211.15</v>
      </c>
      <c r="I184" s="18">
        <v>1768326.86</v>
      </c>
      <c r="J184" s="18">
        <v>1758211.15</v>
      </c>
      <c r="K184" s="15">
        <v>11347809</v>
      </c>
      <c r="L184" s="13" t="s">
        <v>102</v>
      </c>
      <c r="M184" s="13" t="s">
        <v>103</v>
      </c>
      <c r="N184" s="138" t="s">
        <v>383</v>
      </c>
      <c r="O184" s="138" t="s">
        <v>383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1652</v>
      </c>
      <c r="V184" s="13" t="s">
        <v>1652</v>
      </c>
      <c r="W184" s="59">
        <f>+J184/$W$2</f>
        <v>2.87750136841715E-5</v>
      </c>
    </row>
    <row r="185" spans="1:23">
      <c r="A185" s="13" t="s">
        <v>1349</v>
      </c>
      <c r="B185" s="13" t="s">
        <v>404</v>
      </c>
      <c r="C185" s="138">
        <v>46267</v>
      </c>
      <c r="D185" s="138" t="s">
        <v>424</v>
      </c>
      <c r="E185" s="28">
        <v>0.99346760999999995</v>
      </c>
      <c r="F185" s="13"/>
      <c r="G185" s="18">
        <v>2200000</v>
      </c>
      <c r="H185" s="18">
        <v>2185628.7400000002</v>
      </c>
      <c r="I185" s="18">
        <v>2200000</v>
      </c>
      <c r="J185" s="18">
        <v>2185628.7400000002</v>
      </c>
      <c r="K185" s="15">
        <v>9791</v>
      </c>
      <c r="L185" s="13" t="s">
        <v>102</v>
      </c>
      <c r="M185" s="13" t="s">
        <v>103</v>
      </c>
      <c r="N185" s="138" t="s">
        <v>601</v>
      </c>
      <c r="O185" s="138" t="s">
        <v>601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1341</v>
      </c>
      <c r="V185" s="13" t="s">
        <v>1341</v>
      </c>
      <c r="W185" s="59">
        <f>+J185/$W$2</f>
        <v>3.5770161565645016E-5</v>
      </c>
    </row>
    <row r="186" spans="1:23">
      <c r="A186" s="13" t="s">
        <v>523</v>
      </c>
      <c r="B186" s="13" t="s">
        <v>404</v>
      </c>
      <c r="C186" s="138">
        <v>46267</v>
      </c>
      <c r="D186" s="138" t="s">
        <v>424</v>
      </c>
      <c r="E186" s="28">
        <v>0.99303514999999998</v>
      </c>
      <c r="F186" s="13"/>
      <c r="G186" s="18">
        <v>15000000</v>
      </c>
      <c r="H186" s="18">
        <v>14895527.32</v>
      </c>
      <c r="I186" s="18">
        <v>15000000</v>
      </c>
      <c r="J186" s="18">
        <v>14895527.32</v>
      </c>
      <c r="K186" s="15">
        <v>179</v>
      </c>
      <c r="L186" s="13" t="s">
        <v>102</v>
      </c>
      <c r="M186" s="13" t="s">
        <v>103</v>
      </c>
      <c r="N186" s="138" t="s">
        <v>316</v>
      </c>
      <c r="O186" s="138" t="s">
        <v>316</v>
      </c>
      <c r="P186" s="28">
        <v>32</v>
      </c>
      <c r="Q186" s="13" t="s">
        <v>54</v>
      </c>
      <c r="R186" s="13" t="s">
        <v>28</v>
      </c>
      <c r="S186" s="13"/>
      <c r="T186" s="13"/>
      <c r="U186" s="13" t="s">
        <v>477</v>
      </c>
      <c r="V186" s="13" t="s">
        <v>477</v>
      </c>
      <c r="W186" s="59">
        <f>+J186/$W$2</f>
        <v>2.4378130150406023E-4</v>
      </c>
    </row>
    <row r="187" spans="1:23">
      <c r="A187" s="13" t="s">
        <v>523</v>
      </c>
      <c r="B187" s="13" t="s">
        <v>404</v>
      </c>
      <c r="C187" s="138">
        <v>46267</v>
      </c>
      <c r="D187" s="138" t="s">
        <v>424</v>
      </c>
      <c r="E187" s="28">
        <v>0.99346760999999995</v>
      </c>
      <c r="F187" s="13"/>
      <c r="G187" s="18">
        <v>6000000</v>
      </c>
      <c r="H187" s="18">
        <v>5960805.6600000001</v>
      </c>
      <c r="I187" s="18">
        <v>6000000</v>
      </c>
      <c r="J187" s="18">
        <v>5960805.6600000001</v>
      </c>
      <c r="K187" s="15">
        <v>10926495</v>
      </c>
      <c r="L187" s="13" t="s">
        <v>102</v>
      </c>
      <c r="M187" s="13" t="s">
        <v>103</v>
      </c>
      <c r="N187" s="138" t="s">
        <v>350</v>
      </c>
      <c r="O187" s="138" t="s">
        <v>350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525</v>
      </c>
      <c r="V187" s="13" t="s">
        <v>525</v>
      </c>
      <c r="W187" s="59">
        <f>+J187/$W$2</f>
        <v>9.7554986177392252E-5</v>
      </c>
    </row>
    <row r="188" spans="1:23">
      <c r="A188" s="13" t="s">
        <v>517</v>
      </c>
      <c r="B188" s="13" t="s">
        <v>404</v>
      </c>
      <c r="C188" s="138">
        <v>46267</v>
      </c>
      <c r="D188" s="138" t="s">
        <v>424</v>
      </c>
      <c r="E188" s="28">
        <v>0.99325140000000001</v>
      </c>
      <c r="F188" s="13"/>
      <c r="G188" s="18">
        <v>10000000</v>
      </c>
      <c r="H188" s="18">
        <v>9932514.0399999991</v>
      </c>
      <c r="I188" s="18">
        <v>10000000</v>
      </c>
      <c r="J188" s="18">
        <v>9932514.0399999991</v>
      </c>
      <c r="K188" s="15">
        <v>14004246</v>
      </c>
      <c r="L188" s="13" t="s">
        <v>102</v>
      </c>
      <c r="M188" s="13" t="s">
        <v>103</v>
      </c>
      <c r="N188" s="138" t="s">
        <v>341</v>
      </c>
      <c r="O188" s="138" t="s">
        <v>341</v>
      </c>
      <c r="P188" s="28">
        <v>31</v>
      </c>
      <c r="Q188" s="13" t="s">
        <v>54</v>
      </c>
      <c r="R188" s="13" t="s">
        <v>28</v>
      </c>
      <c r="S188" s="13"/>
      <c r="T188" s="13"/>
      <c r="U188" s="13" t="s">
        <v>1962</v>
      </c>
      <c r="V188" s="13" t="s">
        <v>1962</v>
      </c>
      <c r="W188" s="59">
        <f>+J188/$W$2</f>
        <v>1.6255625919516295E-4</v>
      </c>
    </row>
    <row r="189" spans="1:23">
      <c r="A189" s="13" t="s">
        <v>539</v>
      </c>
      <c r="B189" s="13" t="s">
        <v>404</v>
      </c>
      <c r="C189" s="138">
        <v>46267</v>
      </c>
      <c r="D189" s="138" t="s">
        <v>424</v>
      </c>
      <c r="E189" s="28">
        <v>0.99238716999999999</v>
      </c>
      <c r="F189" s="13"/>
      <c r="G189" s="18">
        <v>19999999</v>
      </c>
      <c r="H189" s="18">
        <v>19847742.350000001</v>
      </c>
      <c r="I189" s="18">
        <v>19999999</v>
      </c>
      <c r="J189" s="18">
        <v>19847742.350000001</v>
      </c>
      <c r="K189" s="15">
        <v>43</v>
      </c>
      <c r="L189" s="13" t="s">
        <v>102</v>
      </c>
      <c r="M189" s="13" t="s">
        <v>103</v>
      </c>
      <c r="N189" s="138" t="s">
        <v>350</v>
      </c>
      <c r="O189" s="138" t="s">
        <v>350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534</v>
      </c>
      <c r="V189" s="13" t="s">
        <v>534</v>
      </c>
      <c r="W189" s="59">
        <f>+J189/$W$2</f>
        <v>3.2482961885502788E-4</v>
      </c>
    </row>
    <row r="190" spans="1:23">
      <c r="A190" s="13" t="s">
        <v>695</v>
      </c>
      <c r="B190" s="13" t="s">
        <v>404</v>
      </c>
      <c r="C190" s="138">
        <v>46267</v>
      </c>
      <c r="D190" s="138" t="s">
        <v>424</v>
      </c>
      <c r="E190" s="28">
        <v>0.99346763000000005</v>
      </c>
      <c r="F190" s="13"/>
      <c r="G190" s="18">
        <v>50000000</v>
      </c>
      <c r="H190" s="18">
        <v>49673381.350000001</v>
      </c>
      <c r="I190" s="18">
        <v>50000000</v>
      </c>
      <c r="J190" s="18">
        <v>49673381.350000001</v>
      </c>
      <c r="K190" s="15">
        <v>5491</v>
      </c>
      <c r="L190" s="13" t="s">
        <v>102</v>
      </c>
      <c r="M190" s="13" t="s">
        <v>103</v>
      </c>
      <c r="N190" s="138" t="s">
        <v>317</v>
      </c>
      <c r="O190" s="138" t="s">
        <v>317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692</v>
      </c>
      <c r="V190" s="13" t="s">
        <v>692</v>
      </c>
      <c r="W190" s="59">
        <f>+J190/$W$2</f>
        <v>8.1295823205609831E-4</v>
      </c>
    </row>
    <row r="191" spans="1:23">
      <c r="A191" s="13" t="s">
        <v>695</v>
      </c>
      <c r="B191" s="13" t="s">
        <v>404</v>
      </c>
      <c r="C191" s="138">
        <v>46267</v>
      </c>
      <c r="D191" s="138" t="s">
        <v>424</v>
      </c>
      <c r="E191" s="28">
        <v>0.99346763000000005</v>
      </c>
      <c r="F191" s="13"/>
      <c r="G191" s="18">
        <v>50000000</v>
      </c>
      <c r="H191" s="18">
        <v>49673381.350000001</v>
      </c>
      <c r="I191" s="18">
        <v>50000000</v>
      </c>
      <c r="J191" s="18">
        <v>49673381.350000001</v>
      </c>
      <c r="K191" s="15">
        <v>5490</v>
      </c>
      <c r="L191" s="13" t="s">
        <v>102</v>
      </c>
      <c r="M191" s="13" t="s">
        <v>103</v>
      </c>
      <c r="N191" s="138" t="s">
        <v>317</v>
      </c>
      <c r="O191" s="138" t="s">
        <v>317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693</v>
      </c>
      <c r="V191" s="13" t="s">
        <v>693</v>
      </c>
      <c r="W191" s="59">
        <f>+J191/$W$2</f>
        <v>8.1295823205609831E-4</v>
      </c>
    </row>
    <row r="192" spans="1:23">
      <c r="A192" s="13" t="s">
        <v>772</v>
      </c>
      <c r="B192" s="13" t="s">
        <v>404</v>
      </c>
      <c r="C192" s="138">
        <v>46267</v>
      </c>
      <c r="D192" s="138" t="s">
        <v>424</v>
      </c>
      <c r="E192" s="28">
        <v>0.99281907000000003</v>
      </c>
      <c r="F192" s="13"/>
      <c r="G192" s="18">
        <v>1000000</v>
      </c>
      <c r="H192" s="18">
        <v>992819.07</v>
      </c>
      <c r="I192" s="18">
        <v>1000000</v>
      </c>
      <c r="J192" s="18">
        <v>992819.07</v>
      </c>
      <c r="K192" s="15">
        <v>458</v>
      </c>
      <c r="L192" s="13" t="s">
        <v>102</v>
      </c>
      <c r="M192" s="13" t="s">
        <v>103</v>
      </c>
      <c r="N192" s="138" t="s">
        <v>419</v>
      </c>
      <c r="O192" s="138" t="s">
        <v>419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1255</v>
      </c>
      <c r="V192" s="13" t="s">
        <v>1255</v>
      </c>
      <c r="W192" s="59">
        <f>+J192/$W$2</f>
        <v>1.624855030930524E-5</v>
      </c>
    </row>
    <row r="193" spans="1:30">
      <c r="A193" s="13" t="s">
        <v>772</v>
      </c>
      <c r="B193" s="13" t="s">
        <v>404</v>
      </c>
      <c r="C193" s="138">
        <v>46267</v>
      </c>
      <c r="D193" s="138" t="s">
        <v>424</v>
      </c>
      <c r="E193" s="28">
        <v>0.99281907000000003</v>
      </c>
      <c r="F193" s="13"/>
      <c r="G193" s="18">
        <v>2000000</v>
      </c>
      <c r="H193" s="18">
        <v>1985638.14</v>
      </c>
      <c r="I193" s="18">
        <v>2000000</v>
      </c>
      <c r="J193" s="18">
        <v>1985638.14</v>
      </c>
      <c r="K193" s="15">
        <v>457</v>
      </c>
      <c r="L193" s="13" t="s">
        <v>102</v>
      </c>
      <c r="M193" s="13" t="s">
        <v>103</v>
      </c>
      <c r="N193" s="138" t="s">
        <v>419</v>
      </c>
      <c r="O193" s="138" t="s">
        <v>419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1256</v>
      </c>
      <c r="V193" s="13" t="s">
        <v>1256</v>
      </c>
      <c r="W193" s="59">
        <f>+J193/$W$2</f>
        <v>3.249710061861048E-5</v>
      </c>
    </row>
    <row r="194" spans="1:30">
      <c r="A194" s="13" t="s">
        <v>772</v>
      </c>
      <c r="B194" s="13" t="s">
        <v>404</v>
      </c>
      <c r="C194" s="138">
        <v>46267</v>
      </c>
      <c r="D194" s="138" t="s">
        <v>424</v>
      </c>
      <c r="E194" s="28">
        <v>0.99281907000000003</v>
      </c>
      <c r="F194" s="13"/>
      <c r="G194" s="18">
        <v>2000000</v>
      </c>
      <c r="H194" s="18">
        <v>1985638.14</v>
      </c>
      <c r="I194" s="18">
        <v>2000000</v>
      </c>
      <c r="J194" s="18">
        <v>1985638.14</v>
      </c>
      <c r="K194" s="15">
        <v>456</v>
      </c>
      <c r="L194" s="13" t="s">
        <v>102</v>
      </c>
      <c r="M194" s="13" t="s">
        <v>103</v>
      </c>
      <c r="N194" s="138" t="s">
        <v>419</v>
      </c>
      <c r="O194" s="138" t="s">
        <v>419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1257</v>
      </c>
      <c r="V194" s="13" t="s">
        <v>1257</v>
      </c>
      <c r="W194" s="59">
        <f>+J194/$W$2</f>
        <v>3.249710061861048E-5</v>
      </c>
      <c r="AA194" s="13"/>
      <c r="AB194" s="13"/>
      <c r="AC194" s="23"/>
      <c r="AD194" s="16"/>
    </row>
    <row r="195" spans="1:30">
      <c r="A195" s="13" t="s">
        <v>1232</v>
      </c>
      <c r="B195" s="13" t="s">
        <v>404</v>
      </c>
      <c r="C195" s="138">
        <v>46267</v>
      </c>
      <c r="D195" s="138" t="s">
        <v>424</v>
      </c>
      <c r="E195" s="28">
        <v>0.99174008999999996</v>
      </c>
      <c r="F195" s="13"/>
      <c r="G195" s="18">
        <v>750000000</v>
      </c>
      <c r="H195" s="18">
        <v>743805069.38</v>
      </c>
      <c r="I195" s="18">
        <v>750000000</v>
      </c>
      <c r="J195" s="18">
        <v>743805069.38</v>
      </c>
      <c r="K195" s="15">
        <v>156378</v>
      </c>
      <c r="L195" s="13" t="s">
        <v>102</v>
      </c>
      <c r="M195" s="13" t="s">
        <v>103</v>
      </c>
      <c r="N195" s="138" t="s">
        <v>383</v>
      </c>
      <c r="O195" s="138" t="s">
        <v>383</v>
      </c>
      <c r="P195" s="28">
        <v>38</v>
      </c>
      <c r="Q195" s="13" t="s">
        <v>54</v>
      </c>
      <c r="R195" s="13" t="s">
        <v>28</v>
      </c>
      <c r="S195" s="13"/>
      <c r="T195" s="13"/>
      <c r="U195" s="13" t="s">
        <v>1666</v>
      </c>
      <c r="V195" s="13" t="s">
        <v>1666</v>
      </c>
      <c r="W195" s="59">
        <f>+J195/$W$2</f>
        <v>1.217316876290179E-2</v>
      </c>
    </row>
    <row r="196" spans="1:30">
      <c r="A196" s="13" t="s">
        <v>798</v>
      </c>
      <c r="B196" s="13" t="s">
        <v>404</v>
      </c>
      <c r="C196" s="138">
        <v>46267</v>
      </c>
      <c r="D196" s="138" t="s">
        <v>424</v>
      </c>
      <c r="E196" s="28">
        <v>0.99281905999999998</v>
      </c>
      <c r="F196" s="13"/>
      <c r="G196" s="18">
        <v>3812810.4</v>
      </c>
      <c r="H196" s="18">
        <v>3785430.85</v>
      </c>
      <c r="I196" s="18">
        <v>3812810.4</v>
      </c>
      <c r="J196" s="18">
        <v>3785430.85</v>
      </c>
      <c r="K196" s="15">
        <v>286</v>
      </c>
      <c r="L196" s="13" t="s">
        <v>102</v>
      </c>
      <c r="M196" s="13" t="s">
        <v>103</v>
      </c>
      <c r="N196" s="138" t="s">
        <v>391</v>
      </c>
      <c r="O196" s="138" t="s">
        <v>391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800</v>
      </c>
      <c r="V196" s="13" t="s">
        <v>800</v>
      </c>
      <c r="W196" s="59">
        <f>+J196/$W$2</f>
        <v>6.1952641188309471E-5</v>
      </c>
    </row>
    <row r="197" spans="1:30">
      <c r="A197" s="13" t="s">
        <v>537</v>
      </c>
      <c r="B197" s="13" t="s">
        <v>404</v>
      </c>
      <c r="C197" s="138">
        <v>46267</v>
      </c>
      <c r="D197" s="138" t="s">
        <v>424</v>
      </c>
      <c r="E197" s="28">
        <v>0.99476726000000004</v>
      </c>
      <c r="F197" s="13"/>
      <c r="G197" s="18">
        <v>10000000</v>
      </c>
      <c r="H197" s="18">
        <v>9947672.5800000001</v>
      </c>
      <c r="I197" s="18">
        <v>10000000</v>
      </c>
      <c r="J197" s="18">
        <v>9947672.5800000001</v>
      </c>
      <c r="K197" s="15">
        <v>4539</v>
      </c>
      <c r="L197" s="13" t="s">
        <v>102</v>
      </c>
      <c r="M197" s="13" t="s">
        <v>103</v>
      </c>
      <c r="N197" s="138" t="s">
        <v>339</v>
      </c>
      <c r="O197" s="138" t="s">
        <v>339</v>
      </c>
      <c r="P197" s="28">
        <v>24</v>
      </c>
      <c r="Q197" s="13" t="s">
        <v>54</v>
      </c>
      <c r="R197" s="13" t="s">
        <v>28</v>
      </c>
      <c r="S197" s="13"/>
      <c r="T197" s="13"/>
      <c r="U197" s="13" t="s">
        <v>1552</v>
      </c>
      <c r="V197" s="13" t="s">
        <v>1552</v>
      </c>
      <c r="W197" s="59">
        <f>+J197/$W$2</f>
        <v>1.6280434498163523E-4</v>
      </c>
    </row>
    <row r="198" spans="1:30">
      <c r="A198" s="13" t="s">
        <v>465</v>
      </c>
      <c r="B198" s="13" t="s">
        <v>404</v>
      </c>
      <c r="C198" s="138">
        <v>46267</v>
      </c>
      <c r="D198" s="138" t="s">
        <v>424</v>
      </c>
      <c r="E198" s="28">
        <v>0.99346760999999995</v>
      </c>
      <c r="F198" s="13"/>
      <c r="G198" s="18">
        <v>25000000</v>
      </c>
      <c r="H198" s="18">
        <v>24836690.34</v>
      </c>
      <c r="I198" s="18">
        <v>25000000</v>
      </c>
      <c r="J198" s="18">
        <v>24836690.34</v>
      </c>
      <c r="K198" s="15">
        <v>718979</v>
      </c>
      <c r="L198" s="13" t="s">
        <v>102</v>
      </c>
      <c r="M198" s="13" t="s">
        <v>103</v>
      </c>
      <c r="N198" s="138" t="s">
        <v>316</v>
      </c>
      <c r="O198" s="138" t="s">
        <v>316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476</v>
      </c>
      <c r="V198" s="13" t="s">
        <v>476</v>
      </c>
      <c r="W198" s="59">
        <f>+J198/$W$2</f>
        <v>4.0647911054541436E-4</v>
      </c>
      <c r="AC198" s="56"/>
    </row>
    <row r="199" spans="1:30">
      <c r="A199" s="13" t="s">
        <v>284</v>
      </c>
      <c r="B199" s="13" t="s">
        <v>404</v>
      </c>
      <c r="C199" s="138">
        <v>46267</v>
      </c>
      <c r="D199" s="138" t="s">
        <v>424</v>
      </c>
      <c r="E199" s="28">
        <v>0.99455042000000005</v>
      </c>
      <c r="F199" s="13"/>
      <c r="G199" s="18">
        <v>1369282.92</v>
      </c>
      <c r="H199" s="18">
        <v>1361820.9</v>
      </c>
      <c r="I199" s="18">
        <v>1369282.92</v>
      </c>
      <c r="J199" s="18">
        <v>1361820.9</v>
      </c>
      <c r="K199" s="15">
        <v>10237004</v>
      </c>
      <c r="L199" s="13" t="s">
        <v>102</v>
      </c>
      <c r="M199" s="13" t="s">
        <v>103</v>
      </c>
      <c r="N199" s="138" t="s">
        <v>173</v>
      </c>
      <c r="O199" s="138" t="s">
        <v>173</v>
      </c>
      <c r="P199" s="28">
        <v>25</v>
      </c>
      <c r="Q199" s="13" t="s">
        <v>54</v>
      </c>
      <c r="R199" s="13" t="s">
        <v>28</v>
      </c>
      <c r="S199" s="13"/>
      <c r="T199" s="13"/>
      <c r="U199" s="13" t="s">
        <v>1995</v>
      </c>
      <c r="V199" s="13" t="s">
        <v>1995</v>
      </c>
      <c r="W199" s="59">
        <f>+J199/$W$2</f>
        <v>2.2287661543319611E-5</v>
      </c>
    </row>
    <row r="200" spans="1:30">
      <c r="A200" s="13" t="s">
        <v>1094</v>
      </c>
      <c r="B200" s="13" t="s">
        <v>404</v>
      </c>
      <c r="C200" s="138">
        <v>46267</v>
      </c>
      <c r="D200" s="138" t="s">
        <v>424</v>
      </c>
      <c r="E200" s="28">
        <v>0.99346762</v>
      </c>
      <c r="F200" s="13"/>
      <c r="G200" s="18">
        <v>5721178</v>
      </c>
      <c r="H200" s="18">
        <v>5683805.0899999999</v>
      </c>
      <c r="I200" s="18">
        <v>5721178</v>
      </c>
      <c r="J200" s="18">
        <v>5683805.0899999999</v>
      </c>
      <c r="K200" s="15">
        <v>90044687</v>
      </c>
      <c r="L200" s="13" t="s">
        <v>102</v>
      </c>
      <c r="M200" s="13" t="s">
        <v>103</v>
      </c>
      <c r="N200" s="138" t="s">
        <v>388</v>
      </c>
      <c r="O200" s="138" t="s">
        <v>388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1874</v>
      </c>
      <c r="V200" s="13" t="s">
        <v>1874</v>
      </c>
      <c r="W200" s="59">
        <f>+J200/$W$2</f>
        <v>9.3021574367170649E-5</v>
      </c>
    </row>
    <row r="201" spans="1:30">
      <c r="A201" s="13" t="s">
        <v>405</v>
      </c>
      <c r="B201" s="13" t="s">
        <v>404</v>
      </c>
      <c r="C201" s="138">
        <v>46267</v>
      </c>
      <c r="D201" s="138" t="s">
        <v>424</v>
      </c>
      <c r="E201" s="28">
        <v>0.99346762</v>
      </c>
      <c r="F201" s="13"/>
      <c r="G201" s="18">
        <v>10000000</v>
      </c>
      <c r="H201" s="18">
        <v>9934676.2300000004</v>
      </c>
      <c r="I201" s="18">
        <v>10000000</v>
      </c>
      <c r="J201" s="18">
        <v>9934676.2300000004</v>
      </c>
      <c r="K201" s="15">
        <v>503</v>
      </c>
      <c r="L201" s="13" t="s">
        <v>102</v>
      </c>
      <c r="M201" s="13" t="s">
        <v>103</v>
      </c>
      <c r="N201" s="138" t="s">
        <v>321</v>
      </c>
      <c r="O201" s="138" t="s">
        <v>321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746</v>
      </c>
      <c r="V201" s="13" t="s">
        <v>746</v>
      </c>
      <c r="W201" s="59">
        <f>+J201/$W$2</f>
        <v>1.625916457565767E-4</v>
      </c>
    </row>
    <row r="202" spans="1:30">
      <c r="A202" s="13" t="s">
        <v>405</v>
      </c>
      <c r="B202" s="13" t="s">
        <v>404</v>
      </c>
      <c r="C202" s="138">
        <v>46267</v>
      </c>
      <c r="D202" s="138" t="s">
        <v>424</v>
      </c>
      <c r="E202" s="28">
        <v>0.99346762</v>
      </c>
      <c r="F202" s="13"/>
      <c r="G202" s="18">
        <v>10000000</v>
      </c>
      <c r="H202" s="18">
        <v>9934676.1699999999</v>
      </c>
      <c r="I202" s="18">
        <v>10000000</v>
      </c>
      <c r="J202" s="18">
        <v>9934676.1699999999</v>
      </c>
      <c r="K202" s="15">
        <v>493</v>
      </c>
      <c r="L202" s="13" t="s">
        <v>102</v>
      </c>
      <c r="M202" s="13" t="s">
        <v>103</v>
      </c>
      <c r="N202" s="138" t="s">
        <v>322</v>
      </c>
      <c r="O202" s="138" t="s">
        <v>322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724</v>
      </c>
      <c r="V202" s="13" t="s">
        <v>724</v>
      </c>
      <c r="W202" s="59">
        <f>+J202/$W$2</f>
        <v>1.6259164477461227E-4</v>
      </c>
    </row>
    <row r="203" spans="1:30">
      <c r="A203" s="13" t="s">
        <v>410</v>
      </c>
      <c r="B203" s="13" t="s">
        <v>404</v>
      </c>
      <c r="C203" s="138">
        <v>46267</v>
      </c>
      <c r="D203" s="138" t="s">
        <v>424</v>
      </c>
      <c r="E203" s="28">
        <v>0.99174002999999999</v>
      </c>
      <c r="F203" s="13"/>
      <c r="G203" s="18">
        <v>15000000</v>
      </c>
      <c r="H203" s="18">
        <v>14876100.43</v>
      </c>
      <c r="I203" s="18">
        <v>15000000</v>
      </c>
      <c r="J203" s="18">
        <v>14876100.43</v>
      </c>
      <c r="K203" s="15">
        <v>70219552</v>
      </c>
      <c r="L203" s="13" t="s">
        <v>102</v>
      </c>
      <c r="M203" s="13" t="s">
        <v>103</v>
      </c>
      <c r="N203" s="138" t="s">
        <v>355</v>
      </c>
      <c r="O203" s="138" t="s">
        <v>355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1187</v>
      </c>
      <c r="V203" s="13" t="s">
        <v>1187</v>
      </c>
      <c r="W203" s="59">
        <f>+J203/$W$2</f>
        <v>2.4346335958588339E-4</v>
      </c>
    </row>
    <row r="204" spans="1:30">
      <c r="A204" s="13" t="s">
        <v>410</v>
      </c>
      <c r="B204" s="13" t="s">
        <v>404</v>
      </c>
      <c r="C204" s="138">
        <v>46267</v>
      </c>
      <c r="D204" s="138" t="s">
        <v>424</v>
      </c>
      <c r="E204" s="28">
        <v>0.99174002999999999</v>
      </c>
      <c r="F204" s="13"/>
      <c r="G204" s="18">
        <v>25000000</v>
      </c>
      <c r="H204" s="18">
        <v>24793500.719999999</v>
      </c>
      <c r="I204" s="18">
        <v>25000000</v>
      </c>
      <c r="J204" s="18">
        <v>24793500.719999999</v>
      </c>
      <c r="K204" s="15">
        <v>70219551</v>
      </c>
      <c r="L204" s="13" t="s">
        <v>102</v>
      </c>
      <c r="M204" s="13" t="s">
        <v>103</v>
      </c>
      <c r="N204" s="138" t="s">
        <v>355</v>
      </c>
      <c r="O204" s="138" t="s">
        <v>355</v>
      </c>
      <c r="P204" s="28">
        <v>38</v>
      </c>
      <c r="Q204" s="13" t="s">
        <v>54</v>
      </c>
      <c r="R204" s="13" t="s">
        <v>28</v>
      </c>
      <c r="S204" s="13"/>
      <c r="T204" s="13"/>
      <c r="U204" s="13" t="s">
        <v>1188</v>
      </c>
      <c r="V204" s="13" t="s">
        <v>1188</v>
      </c>
      <c r="W204" s="59">
        <f>+J204/$W$2</f>
        <v>4.0577226603102587E-4</v>
      </c>
    </row>
    <row r="205" spans="1:30">
      <c r="A205" s="13" t="s">
        <v>417</v>
      </c>
      <c r="B205" s="13" t="s">
        <v>404</v>
      </c>
      <c r="C205" s="138">
        <v>46267</v>
      </c>
      <c r="D205" s="138" t="s">
        <v>424</v>
      </c>
      <c r="E205" s="28">
        <v>0.99130907999999995</v>
      </c>
      <c r="F205" s="13"/>
      <c r="G205" s="18">
        <v>2000000</v>
      </c>
      <c r="H205" s="18">
        <v>1982618.15</v>
      </c>
      <c r="I205" s="18">
        <v>2000000</v>
      </c>
      <c r="J205" s="18">
        <v>1982618.15</v>
      </c>
      <c r="K205" s="15">
        <v>39</v>
      </c>
      <c r="L205" s="13" t="s">
        <v>102</v>
      </c>
      <c r="M205" s="13" t="s">
        <v>103</v>
      </c>
      <c r="N205" s="138" t="s">
        <v>310</v>
      </c>
      <c r="O205" s="138" t="s">
        <v>310</v>
      </c>
      <c r="P205" s="28">
        <v>40</v>
      </c>
      <c r="Q205" s="13" t="s">
        <v>54</v>
      </c>
      <c r="R205" s="13" t="s">
        <v>28</v>
      </c>
      <c r="S205" s="13"/>
      <c r="T205" s="13"/>
      <c r="U205" s="13" t="s">
        <v>414</v>
      </c>
      <c r="V205" s="13" t="s">
        <v>414</v>
      </c>
      <c r="W205" s="59">
        <f>+J205/$W$2</f>
        <v>3.244767523897046E-5</v>
      </c>
    </row>
    <row r="206" spans="1:30">
      <c r="A206" s="13" t="s">
        <v>467</v>
      </c>
      <c r="B206" s="13" t="s">
        <v>404</v>
      </c>
      <c r="C206" s="138">
        <v>46267</v>
      </c>
      <c r="D206" s="138" t="s">
        <v>424</v>
      </c>
      <c r="E206" s="28">
        <v>0.99130909</v>
      </c>
      <c r="F206" s="13"/>
      <c r="G206" s="18">
        <v>9972570.8200000003</v>
      </c>
      <c r="H206" s="18">
        <v>9885900.1199999992</v>
      </c>
      <c r="I206" s="18">
        <v>9972570.8200000003</v>
      </c>
      <c r="J206" s="18">
        <v>9885900.1199999992</v>
      </c>
      <c r="K206" s="15">
        <v>1179207</v>
      </c>
      <c r="L206" s="13" t="s">
        <v>102</v>
      </c>
      <c r="M206" s="13" t="s">
        <v>103</v>
      </c>
      <c r="N206" s="138" t="s">
        <v>306</v>
      </c>
      <c r="O206" s="138" t="s">
        <v>306</v>
      </c>
      <c r="P206" s="28">
        <v>40</v>
      </c>
      <c r="Q206" s="13" t="s">
        <v>54</v>
      </c>
      <c r="R206" s="13" t="s">
        <v>28</v>
      </c>
      <c r="S206" s="13"/>
      <c r="T206" s="13"/>
      <c r="U206" s="13" t="s">
        <v>458</v>
      </c>
      <c r="V206" s="13" t="s">
        <v>458</v>
      </c>
      <c r="W206" s="59">
        <f>+J206/$W$2</f>
        <v>1.617933723337795E-4</v>
      </c>
    </row>
    <row r="207" spans="1:30">
      <c r="A207" s="13" t="s">
        <v>467</v>
      </c>
      <c r="B207" s="13" t="s">
        <v>404</v>
      </c>
      <c r="C207" s="138">
        <v>46267</v>
      </c>
      <c r="D207" s="138" t="s">
        <v>424</v>
      </c>
      <c r="E207" s="28">
        <v>0.99130909</v>
      </c>
      <c r="F207" s="13"/>
      <c r="G207" s="18">
        <v>9972350.7799999993</v>
      </c>
      <c r="H207" s="18">
        <v>9885682</v>
      </c>
      <c r="I207" s="18">
        <v>9972350.7799999993</v>
      </c>
      <c r="J207" s="18">
        <v>9885682</v>
      </c>
      <c r="K207" s="15">
        <v>1179206</v>
      </c>
      <c r="L207" s="13" t="s">
        <v>102</v>
      </c>
      <c r="M207" s="13" t="s">
        <v>103</v>
      </c>
      <c r="N207" s="138" t="s">
        <v>306</v>
      </c>
      <c r="O207" s="138" t="s">
        <v>306</v>
      </c>
      <c r="P207" s="28">
        <v>40</v>
      </c>
      <c r="Q207" s="13" t="s">
        <v>54</v>
      </c>
      <c r="R207" s="13" t="s">
        <v>28</v>
      </c>
      <c r="S207" s="13"/>
      <c r="T207" s="13"/>
      <c r="U207" s="13" t="s">
        <v>459</v>
      </c>
      <c r="V207" s="13" t="s">
        <v>459</v>
      </c>
      <c r="W207" s="59">
        <f>+J207/$W$2</f>
        <v>1.6178980256573158E-4</v>
      </c>
    </row>
    <row r="208" spans="1:30">
      <c r="A208" s="13" t="s">
        <v>467</v>
      </c>
      <c r="B208" s="13" t="s">
        <v>404</v>
      </c>
      <c r="C208" s="138">
        <v>46267</v>
      </c>
      <c r="D208" s="138" t="s">
        <v>424</v>
      </c>
      <c r="E208" s="28">
        <v>0.99130909</v>
      </c>
      <c r="F208" s="13"/>
      <c r="G208" s="18">
        <v>9973200</v>
      </c>
      <c r="H208" s="18">
        <v>9886523.8399999999</v>
      </c>
      <c r="I208" s="18">
        <v>9973200</v>
      </c>
      <c r="J208" s="18">
        <v>9886523.8399999999</v>
      </c>
      <c r="K208" s="15">
        <v>1179205</v>
      </c>
      <c r="L208" s="13" t="s">
        <v>102</v>
      </c>
      <c r="M208" s="13" t="s">
        <v>103</v>
      </c>
      <c r="N208" s="138" t="s">
        <v>306</v>
      </c>
      <c r="O208" s="138" t="s">
        <v>306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460</v>
      </c>
      <c r="V208" s="13" t="s">
        <v>460</v>
      </c>
      <c r="W208" s="59">
        <f>+J208/$W$2</f>
        <v>1.618035801814178E-4</v>
      </c>
    </row>
    <row r="209" spans="1:29">
      <c r="A209" s="13" t="s">
        <v>515</v>
      </c>
      <c r="B209" s="13" t="s">
        <v>404</v>
      </c>
      <c r="C209" s="138">
        <v>46267</v>
      </c>
      <c r="D209" s="138" t="s">
        <v>424</v>
      </c>
      <c r="E209" s="28">
        <v>0.99346760999999995</v>
      </c>
      <c r="F209" s="13"/>
      <c r="G209" s="18">
        <v>10000000</v>
      </c>
      <c r="H209" s="18">
        <v>9934676.1400000006</v>
      </c>
      <c r="I209" s="18">
        <v>10000000</v>
      </c>
      <c r="J209" s="18">
        <v>9934676.1400000006</v>
      </c>
      <c r="K209" s="15">
        <v>3463103</v>
      </c>
      <c r="L209" s="13" t="s">
        <v>102</v>
      </c>
      <c r="M209" s="13" t="s">
        <v>103</v>
      </c>
      <c r="N209" s="138" t="s">
        <v>316</v>
      </c>
      <c r="O209" s="138" t="s">
        <v>316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485</v>
      </c>
      <c r="V209" s="13" t="s">
        <v>485</v>
      </c>
      <c r="W209" s="59">
        <f>+J209/$W$2</f>
        <v>1.6259164428363004E-4</v>
      </c>
    </row>
    <row r="210" spans="1:29">
      <c r="A210" s="13" t="s">
        <v>517</v>
      </c>
      <c r="B210" s="13" t="s">
        <v>404</v>
      </c>
      <c r="C210" s="138">
        <v>46267</v>
      </c>
      <c r="D210" s="138" t="s">
        <v>424</v>
      </c>
      <c r="E210" s="28">
        <v>0.99325140000000001</v>
      </c>
      <c r="F210" s="13"/>
      <c r="G210" s="18">
        <v>10000000</v>
      </c>
      <c r="H210" s="18">
        <v>9932514.0399999991</v>
      </c>
      <c r="I210" s="18">
        <v>10000000</v>
      </c>
      <c r="J210" s="18">
        <v>9932514.0399999991</v>
      </c>
      <c r="K210" s="15">
        <v>14004249</v>
      </c>
      <c r="L210" s="13" t="s">
        <v>102</v>
      </c>
      <c r="M210" s="13" t="s">
        <v>103</v>
      </c>
      <c r="N210" s="138" t="s">
        <v>341</v>
      </c>
      <c r="O210" s="138" t="s">
        <v>341</v>
      </c>
      <c r="P210" s="28">
        <v>31</v>
      </c>
      <c r="Q210" s="13" t="s">
        <v>54</v>
      </c>
      <c r="R210" s="13" t="s">
        <v>28</v>
      </c>
      <c r="S210" s="13"/>
      <c r="T210" s="13"/>
      <c r="U210" s="13" t="s">
        <v>1961</v>
      </c>
      <c r="V210" s="13" t="s">
        <v>1961</v>
      </c>
      <c r="W210" s="59">
        <f>+J210/$W$2</f>
        <v>1.6255625919516295E-4</v>
      </c>
    </row>
    <row r="211" spans="1:29">
      <c r="A211" s="13" t="s">
        <v>466</v>
      </c>
      <c r="B211" s="13" t="s">
        <v>404</v>
      </c>
      <c r="C211" s="138">
        <v>46267</v>
      </c>
      <c r="D211" s="138" t="s">
        <v>424</v>
      </c>
      <c r="E211" s="28">
        <v>0.99390045000000005</v>
      </c>
      <c r="F211" s="13"/>
      <c r="G211" s="18">
        <v>10000000</v>
      </c>
      <c r="H211" s="18">
        <v>9939004.5099999998</v>
      </c>
      <c r="I211" s="18">
        <v>10000000</v>
      </c>
      <c r="J211" s="18">
        <v>9939004.5099999998</v>
      </c>
      <c r="K211" s="15">
        <v>360561</v>
      </c>
      <c r="L211" s="13" t="s">
        <v>102</v>
      </c>
      <c r="M211" s="13" t="s">
        <v>103</v>
      </c>
      <c r="N211" s="138" t="s">
        <v>308</v>
      </c>
      <c r="O211" s="138" t="s">
        <v>308</v>
      </c>
      <c r="P211" s="28">
        <v>28</v>
      </c>
      <c r="Q211" s="13" t="s">
        <v>54</v>
      </c>
      <c r="R211" s="13" t="s">
        <v>28</v>
      </c>
      <c r="S211" s="13"/>
      <c r="T211" s="13"/>
      <c r="U211" s="13" t="s">
        <v>563</v>
      </c>
      <c r="V211" s="13" t="s">
        <v>563</v>
      </c>
      <c r="W211" s="59">
        <f>+J211/$W$2</f>
        <v>1.6266248270709253E-4</v>
      </c>
    </row>
    <row r="212" spans="1:29">
      <c r="A212" s="13" t="s">
        <v>146</v>
      </c>
      <c r="B212" s="13" t="s">
        <v>404</v>
      </c>
      <c r="C212" s="138">
        <v>46267</v>
      </c>
      <c r="D212" s="138" t="s">
        <v>424</v>
      </c>
      <c r="E212" s="28">
        <v>0.99411702000000002</v>
      </c>
      <c r="F212" s="13"/>
      <c r="G212" s="18">
        <v>200000000</v>
      </c>
      <c r="H212" s="18">
        <v>198823403.58000001</v>
      </c>
      <c r="I212" s="18">
        <v>200000000</v>
      </c>
      <c r="J212" s="18">
        <v>198823403.58000001</v>
      </c>
      <c r="K212" s="15">
        <v>90003878</v>
      </c>
      <c r="L212" s="13" t="s">
        <v>102</v>
      </c>
      <c r="M212" s="13" t="s">
        <v>103</v>
      </c>
      <c r="N212" s="138" t="s">
        <v>382</v>
      </c>
      <c r="O212" s="138" t="s">
        <v>382</v>
      </c>
      <c r="P212" s="28">
        <v>27</v>
      </c>
      <c r="Q212" s="13" t="s">
        <v>54</v>
      </c>
      <c r="R212" s="13" t="s">
        <v>28</v>
      </c>
      <c r="S212" s="13"/>
      <c r="T212" s="13"/>
      <c r="U212" s="13" t="s">
        <v>1123</v>
      </c>
      <c r="V212" s="13" t="s">
        <v>1123</v>
      </c>
      <c r="W212" s="59">
        <f>+J212/$W$2</f>
        <v>3.2539585241215499E-3</v>
      </c>
    </row>
    <row r="213" spans="1:29">
      <c r="A213" s="13" t="s">
        <v>285</v>
      </c>
      <c r="B213" s="13" t="s">
        <v>404</v>
      </c>
      <c r="C213" s="138">
        <v>46267</v>
      </c>
      <c r="D213" s="138" t="s">
        <v>424</v>
      </c>
      <c r="E213" s="28">
        <v>0.99411700999999997</v>
      </c>
      <c r="F213" s="13"/>
      <c r="G213" s="18">
        <v>6250000</v>
      </c>
      <c r="H213" s="18">
        <v>6213231.3099999996</v>
      </c>
      <c r="I213" s="18">
        <v>6250000</v>
      </c>
      <c r="J213" s="18">
        <v>6213231.3099999996</v>
      </c>
      <c r="K213" s="15">
        <v>1382</v>
      </c>
      <c r="L213" s="13" t="s">
        <v>102</v>
      </c>
      <c r="M213" s="13" t="s">
        <v>103</v>
      </c>
      <c r="N213" s="138" t="s">
        <v>390</v>
      </c>
      <c r="O213" s="138" t="s">
        <v>390</v>
      </c>
      <c r="P213" s="28">
        <v>27</v>
      </c>
      <c r="Q213" s="13" t="s">
        <v>54</v>
      </c>
      <c r="R213" s="13" t="s">
        <v>28</v>
      </c>
      <c r="S213" s="13"/>
      <c r="T213" s="13"/>
      <c r="U213" s="13" t="s">
        <v>1099</v>
      </c>
      <c r="V213" s="13" t="s">
        <v>1099</v>
      </c>
      <c r="W213" s="59">
        <f>+J213/$W$2</f>
        <v>1.0168620302980834E-4</v>
      </c>
    </row>
    <row r="214" spans="1:29">
      <c r="A214" s="13" t="s">
        <v>285</v>
      </c>
      <c r="B214" s="13" t="s">
        <v>404</v>
      </c>
      <c r="C214" s="138">
        <v>46267</v>
      </c>
      <c r="D214" s="138" t="s">
        <v>424</v>
      </c>
      <c r="E214" s="28">
        <v>0.99411700999999997</v>
      </c>
      <c r="F214" s="13"/>
      <c r="G214" s="18">
        <v>6250000</v>
      </c>
      <c r="H214" s="18">
        <v>6213231.3099999996</v>
      </c>
      <c r="I214" s="18">
        <v>6250000</v>
      </c>
      <c r="J214" s="18">
        <v>6213231.3099999996</v>
      </c>
      <c r="K214" s="15">
        <v>1379</v>
      </c>
      <c r="L214" s="13" t="s">
        <v>102</v>
      </c>
      <c r="M214" s="13" t="s">
        <v>103</v>
      </c>
      <c r="N214" s="138" t="s">
        <v>390</v>
      </c>
      <c r="O214" s="138" t="s">
        <v>390</v>
      </c>
      <c r="P214" s="28">
        <v>27</v>
      </c>
      <c r="Q214" s="13" t="s">
        <v>54</v>
      </c>
      <c r="R214" s="13" t="s">
        <v>28</v>
      </c>
      <c r="S214" s="13"/>
      <c r="T214" s="13"/>
      <c r="U214" s="13" t="s">
        <v>1100</v>
      </c>
      <c r="V214" s="13" t="s">
        <v>1100</v>
      </c>
      <c r="W214" s="59">
        <f>+J214/$W$2</f>
        <v>1.0168620302980834E-4</v>
      </c>
    </row>
    <row r="215" spans="1:29">
      <c r="A215" s="13" t="s">
        <v>285</v>
      </c>
      <c r="B215" s="13" t="s">
        <v>404</v>
      </c>
      <c r="C215" s="138">
        <v>46267</v>
      </c>
      <c r="D215" s="138" t="s">
        <v>424</v>
      </c>
      <c r="E215" s="28">
        <v>0.99411700999999997</v>
      </c>
      <c r="F215" s="13"/>
      <c r="G215" s="18">
        <v>6250000</v>
      </c>
      <c r="H215" s="18">
        <v>6213231.3099999996</v>
      </c>
      <c r="I215" s="18">
        <v>6250000</v>
      </c>
      <c r="J215" s="18">
        <v>6213231.3099999996</v>
      </c>
      <c r="K215" s="15">
        <v>1381</v>
      </c>
      <c r="L215" s="13" t="s">
        <v>102</v>
      </c>
      <c r="M215" s="13" t="s">
        <v>103</v>
      </c>
      <c r="N215" s="138" t="s">
        <v>390</v>
      </c>
      <c r="O215" s="138" t="s">
        <v>390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1101</v>
      </c>
      <c r="V215" s="13" t="s">
        <v>1101</v>
      </c>
      <c r="W215" s="59">
        <f>+J215/$W$2</f>
        <v>1.0168620302980834E-4</v>
      </c>
    </row>
    <row r="216" spans="1:29">
      <c r="A216" s="13" t="s">
        <v>285</v>
      </c>
      <c r="B216" s="13" t="s">
        <v>404</v>
      </c>
      <c r="C216" s="138">
        <v>46267</v>
      </c>
      <c r="D216" s="138" t="s">
        <v>424</v>
      </c>
      <c r="E216" s="28">
        <v>0.99411700999999997</v>
      </c>
      <c r="F216" s="13"/>
      <c r="G216" s="18">
        <v>6250000</v>
      </c>
      <c r="H216" s="18">
        <v>6213231.3099999996</v>
      </c>
      <c r="I216" s="18">
        <v>6250000</v>
      </c>
      <c r="J216" s="18">
        <v>6213231.3099999996</v>
      </c>
      <c r="K216" s="15">
        <v>1380</v>
      </c>
      <c r="L216" s="13" t="s">
        <v>102</v>
      </c>
      <c r="M216" s="13" t="s">
        <v>103</v>
      </c>
      <c r="N216" s="138" t="s">
        <v>390</v>
      </c>
      <c r="O216" s="138" t="s">
        <v>390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1102</v>
      </c>
      <c r="V216" s="13" t="s">
        <v>1102</v>
      </c>
      <c r="W216" s="59">
        <f>+J216/$W$2</f>
        <v>1.0168620302980834E-4</v>
      </c>
    </row>
    <row r="217" spans="1:29">
      <c r="A217" s="13" t="s">
        <v>285</v>
      </c>
      <c r="B217" s="13" t="s">
        <v>404</v>
      </c>
      <c r="C217" s="138">
        <v>46267</v>
      </c>
      <c r="D217" s="138" t="s">
        <v>424</v>
      </c>
      <c r="E217" s="28">
        <v>0.99433366999999995</v>
      </c>
      <c r="F217" s="13"/>
      <c r="G217" s="18">
        <v>10000000</v>
      </c>
      <c r="H217" s="18">
        <v>9943336.7400000002</v>
      </c>
      <c r="I217" s="18">
        <v>10000000</v>
      </c>
      <c r="J217" s="18">
        <v>9943336.7400000002</v>
      </c>
      <c r="K217" s="15">
        <v>68035343</v>
      </c>
      <c r="L217" s="13" t="s">
        <v>102</v>
      </c>
      <c r="M217" s="13" t="s">
        <v>103</v>
      </c>
      <c r="N217" s="138" t="s">
        <v>420</v>
      </c>
      <c r="O217" s="138" t="s">
        <v>420</v>
      </c>
      <c r="P217" s="28">
        <v>26</v>
      </c>
      <c r="Q217" s="13" t="s">
        <v>54</v>
      </c>
      <c r="R217" s="13" t="s">
        <v>28</v>
      </c>
      <c r="S217" s="13"/>
      <c r="T217" s="13"/>
      <c r="U217" s="13" t="s">
        <v>1292</v>
      </c>
      <c r="V217" s="13" t="s">
        <v>1292</v>
      </c>
      <c r="W217" s="59">
        <f>+J217/$W$2</f>
        <v>1.6273338430360042E-4</v>
      </c>
    </row>
    <row r="218" spans="1:29">
      <c r="A218" s="13" t="s">
        <v>285</v>
      </c>
      <c r="B218" s="13" t="s">
        <v>404</v>
      </c>
      <c r="C218" s="138">
        <v>46267</v>
      </c>
      <c r="D218" s="138" t="s">
        <v>424</v>
      </c>
      <c r="E218" s="28">
        <v>0.99433366999999995</v>
      </c>
      <c r="F218" s="13"/>
      <c r="G218" s="18">
        <v>25000000</v>
      </c>
      <c r="H218" s="18">
        <v>24858341.850000001</v>
      </c>
      <c r="I218" s="18">
        <v>25000000</v>
      </c>
      <c r="J218" s="18">
        <v>24858341.850000001</v>
      </c>
      <c r="K218" s="15">
        <v>2844</v>
      </c>
      <c r="L218" s="13" t="s">
        <v>102</v>
      </c>
      <c r="M218" s="13" t="s">
        <v>103</v>
      </c>
      <c r="N218" s="138" t="s">
        <v>420</v>
      </c>
      <c r="O218" s="138" t="s">
        <v>420</v>
      </c>
      <c r="P218" s="28">
        <v>26</v>
      </c>
      <c r="Q218" s="13" t="s">
        <v>54</v>
      </c>
      <c r="R218" s="13" t="s">
        <v>28</v>
      </c>
      <c r="S218" s="13"/>
      <c r="T218" s="13"/>
      <c r="U218" s="13" t="s">
        <v>1310</v>
      </c>
      <c r="V218" s="13" t="s">
        <v>1310</v>
      </c>
      <c r="W218" s="59">
        <f>+J218/$W$2</f>
        <v>4.0683346075900105E-4</v>
      </c>
      <c r="AC218" s="56"/>
    </row>
    <row r="219" spans="1:29">
      <c r="A219" s="13" t="s">
        <v>285</v>
      </c>
      <c r="B219" s="13" t="s">
        <v>404</v>
      </c>
      <c r="C219" s="138">
        <v>46267</v>
      </c>
      <c r="D219" s="138" t="s">
        <v>424</v>
      </c>
      <c r="E219" s="28">
        <v>0.99433368</v>
      </c>
      <c r="F219" s="13"/>
      <c r="G219" s="18">
        <v>12500000</v>
      </c>
      <c r="H219" s="18">
        <v>12429170.939999999</v>
      </c>
      <c r="I219" s="18">
        <v>12500000</v>
      </c>
      <c r="J219" s="18">
        <v>12429170.939999999</v>
      </c>
      <c r="K219" s="15">
        <v>189</v>
      </c>
      <c r="L219" s="13" t="s">
        <v>102</v>
      </c>
      <c r="M219" s="13" t="s">
        <v>103</v>
      </c>
      <c r="N219" s="138" t="s">
        <v>420</v>
      </c>
      <c r="O219" s="138" t="s">
        <v>420</v>
      </c>
      <c r="P219" s="28">
        <v>26</v>
      </c>
      <c r="Q219" s="13" t="s">
        <v>54</v>
      </c>
      <c r="R219" s="13" t="s">
        <v>28</v>
      </c>
      <c r="S219" s="13"/>
      <c r="T219" s="13"/>
      <c r="U219" s="13" t="s">
        <v>1311</v>
      </c>
      <c r="V219" s="13" t="s">
        <v>1311</v>
      </c>
      <c r="W219" s="59">
        <f>+J219/$W$2</f>
        <v>2.0341673062499162E-4</v>
      </c>
    </row>
    <row r="220" spans="1:29">
      <c r="A220" s="13" t="s">
        <v>405</v>
      </c>
      <c r="B220" s="13" t="s">
        <v>404</v>
      </c>
      <c r="C220" s="138">
        <v>46267</v>
      </c>
      <c r="D220" s="138" t="s">
        <v>424</v>
      </c>
      <c r="E220" s="28">
        <v>0.99346763000000005</v>
      </c>
      <c r="F220" s="13"/>
      <c r="G220" s="18">
        <v>10000000</v>
      </c>
      <c r="H220" s="18">
        <v>9934676.3100000005</v>
      </c>
      <c r="I220" s="18">
        <v>10000000</v>
      </c>
      <c r="J220" s="18">
        <v>9934676.3100000005</v>
      </c>
      <c r="K220" s="15">
        <v>578</v>
      </c>
      <c r="L220" s="13" t="s">
        <v>102</v>
      </c>
      <c r="M220" s="13" t="s">
        <v>103</v>
      </c>
      <c r="N220" s="138" t="s">
        <v>164</v>
      </c>
      <c r="O220" s="138" t="s">
        <v>164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873</v>
      </c>
      <c r="V220" s="13" t="s">
        <v>873</v>
      </c>
      <c r="W220" s="59">
        <f>+J220/$W$2</f>
        <v>1.6259164706586263E-4</v>
      </c>
      <c r="AC220" s="56"/>
    </row>
    <row r="221" spans="1:29">
      <c r="A221" s="13" t="s">
        <v>427</v>
      </c>
      <c r="B221" s="13" t="s">
        <v>404</v>
      </c>
      <c r="C221" s="138">
        <v>46267</v>
      </c>
      <c r="D221" s="138" t="s">
        <v>424</v>
      </c>
      <c r="E221" s="28">
        <v>0.99281905999999998</v>
      </c>
      <c r="F221" s="13"/>
      <c r="G221" s="18">
        <v>50000000</v>
      </c>
      <c r="H221" s="18">
        <v>49640953.219999999</v>
      </c>
      <c r="I221" s="18">
        <v>50000000</v>
      </c>
      <c r="J221" s="18">
        <v>49640953.219999999</v>
      </c>
      <c r="K221" s="15">
        <v>2834</v>
      </c>
      <c r="L221" s="13" t="s">
        <v>102</v>
      </c>
      <c r="M221" s="13" t="s">
        <v>103</v>
      </c>
      <c r="N221" s="138" t="s">
        <v>311</v>
      </c>
      <c r="O221" s="138" t="s">
        <v>311</v>
      </c>
      <c r="P221" s="28">
        <v>33</v>
      </c>
      <c r="Q221" s="13" t="s">
        <v>54</v>
      </c>
      <c r="R221" s="13" t="s">
        <v>28</v>
      </c>
      <c r="S221" s="13"/>
      <c r="T221" s="13"/>
      <c r="U221" s="13" t="s">
        <v>907</v>
      </c>
      <c r="V221" s="13" t="s">
        <v>907</v>
      </c>
      <c r="W221" s="59">
        <f>+J221/$W$2</f>
        <v>8.1242751088276134E-4</v>
      </c>
    </row>
    <row r="222" spans="1:29">
      <c r="A222" s="13" t="s">
        <v>307</v>
      </c>
      <c r="B222" s="13" t="s">
        <v>404</v>
      </c>
      <c r="C222" s="138">
        <v>46267</v>
      </c>
      <c r="D222" s="138" t="s">
        <v>424</v>
      </c>
      <c r="E222" s="28">
        <v>0.99238718999999997</v>
      </c>
      <c r="F222" s="13"/>
      <c r="G222" s="18">
        <v>10000000</v>
      </c>
      <c r="H222" s="18">
        <v>9923871.8499999996</v>
      </c>
      <c r="I222" s="18">
        <v>10000000</v>
      </c>
      <c r="J222" s="18">
        <v>9923871.8499999996</v>
      </c>
      <c r="K222" s="15">
        <v>162</v>
      </c>
      <c r="L222" s="13" t="s">
        <v>102</v>
      </c>
      <c r="M222" s="13" t="s">
        <v>103</v>
      </c>
      <c r="N222" s="138" t="s">
        <v>352</v>
      </c>
      <c r="O222" s="138" t="s">
        <v>352</v>
      </c>
      <c r="P222" s="28">
        <v>35</v>
      </c>
      <c r="Q222" s="13" t="s">
        <v>54</v>
      </c>
      <c r="R222" s="13" t="s">
        <v>28</v>
      </c>
      <c r="S222" s="13"/>
      <c r="T222" s="13"/>
      <c r="U222" s="13" t="s">
        <v>631</v>
      </c>
      <c r="V222" s="13" t="s">
        <v>631</v>
      </c>
      <c r="W222" s="59">
        <f>+J222/$W$2</f>
        <v>1.6241482047461383E-4</v>
      </c>
    </row>
    <row r="223" spans="1:29">
      <c r="A223" s="13" t="s">
        <v>218</v>
      </c>
      <c r="B223" s="13" t="s">
        <v>404</v>
      </c>
      <c r="C223" s="138">
        <v>46267</v>
      </c>
      <c r="D223" s="138" t="s">
        <v>424</v>
      </c>
      <c r="E223" s="28">
        <v>0.99281909000000002</v>
      </c>
      <c r="F223" s="13"/>
      <c r="G223" s="18">
        <v>2500000</v>
      </c>
      <c r="H223" s="18">
        <v>2482047.7200000002</v>
      </c>
      <c r="I223" s="18">
        <v>2500000</v>
      </c>
      <c r="J223" s="18">
        <v>2482047.7200000002</v>
      </c>
      <c r="K223" s="15">
        <v>1199</v>
      </c>
      <c r="L223" s="13" t="s">
        <v>102</v>
      </c>
      <c r="M223" s="13" t="s">
        <v>103</v>
      </c>
      <c r="N223" s="138" t="s">
        <v>156</v>
      </c>
      <c r="O223" s="138" t="s">
        <v>156</v>
      </c>
      <c r="P223" s="28">
        <v>33</v>
      </c>
      <c r="Q223" s="13" t="s">
        <v>54</v>
      </c>
      <c r="R223" s="13" t="s">
        <v>28</v>
      </c>
      <c r="S223" s="13"/>
      <c r="T223" s="13"/>
      <c r="U223" s="13" t="s">
        <v>768</v>
      </c>
      <c r="V223" s="13" t="s">
        <v>768</v>
      </c>
      <c r="W223" s="59">
        <f>+J223/$W$2</f>
        <v>4.062137650973643E-5</v>
      </c>
    </row>
    <row r="224" spans="1:29">
      <c r="A224" s="13" t="s">
        <v>917</v>
      </c>
      <c r="B224" s="13" t="s">
        <v>404</v>
      </c>
      <c r="C224" s="138">
        <v>46267</v>
      </c>
      <c r="D224" s="138" t="s">
        <v>424</v>
      </c>
      <c r="E224" s="28">
        <v>0.99281905999999998</v>
      </c>
      <c r="F224" s="13"/>
      <c r="G224" s="18">
        <v>2200000</v>
      </c>
      <c r="H224" s="18">
        <v>2184201.94</v>
      </c>
      <c r="I224" s="18">
        <v>2200000</v>
      </c>
      <c r="J224" s="18">
        <v>2184201.94</v>
      </c>
      <c r="K224" s="15">
        <v>6200</v>
      </c>
      <c r="L224" s="13" t="s">
        <v>102</v>
      </c>
      <c r="M224" s="13" t="s">
        <v>103</v>
      </c>
      <c r="N224" s="138" t="s">
        <v>311</v>
      </c>
      <c r="O224" s="138" t="s">
        <v>311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914</v>
      </c>
      <c r="V224" s="13" t="s">
        <v>914</v>
      </c>
      <c r="W224" s="59">
        <f>+J224/$W$2</f>
        <v>3.5746810451346495E-5</v>
      </c>
    </row>
    <row r="225" spans="1:29">
      <c r="A225" s="13" t="s">
        <v>2027</v>
      </c>
      <c r="B225" s="13" t="s">
        <v>404</v>
      </c>
      <c r="C225" s="138">
        <v>46267</v>
      </c>
      <c r="D225" s="138" t="s">
        <v>424</v>
      </c>
      <c r="E225" s="28">
        <v>0.99346762</v>
      </c>
      <c r="F225" s="13"/>
      <c r="G225" s="18">
        <v>4957748.6399999997</v>
      </c>
      <c r="H225" s="18">
        <v>4925362.72</v>
      </c>
      <c r="I225" s="18">
        <v>4957748.6399999997</v>
      </c>
      <c r="J225" s="18">
        <v>4925362.72</v>
      </c>
      <c r="K225" s="15">
        <v>68735076</v>
      </c>
      <c r="L225" s="13" t="s">
        <v>102</v>
      </c>
      <c r="M225" s="13" t="s">
        <v>103</v>
      </c>
      <c r="N225" s="138" t="s">
        <v>173</v>
      </c>
      <c r="O225" s="138" t="s">
        <v>173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2011</v>
      </c>
      <c r="V225" s="13" t="s">
        <v>2011</v>
      </c>
      <c r="W225" s="59">
        <f>+J225/$W$2</f>
        <v>8.0608850460030441E-5</v>
      </c>
    </row>
    <row r="226" spans="1:29">
      <c r="A226" s="13" t="s">
        <v>2515</v>
      </c>
      <c r="B226" s="13" t="s">
        <v>404</v>
      </c>
      <c r="C226" s="138">
        <v>46267</v>
      </c>
      <c r="D226" s="138" t="s">
        <v>424</v>
      </c>
      <c r="E226" s="28">
        <v>0.99238720999999996</v>
      </c>
      <c r="F226" s="13"/>
      <c r="G226" s="18">
        <v>624000</v>
      </c>
      <c r="H226" s="18">
        <v>619249.62</v>
      </c>
      <c r="I226" s="18">
        <v>624000</v>
      </c>
      <c r="J226" s="18">
        <v>619249.62</v>
      </c>
      <c r="K226" s="15">
        <v>88186692</v>
      </c>
      <c r="L226" s="13" t="s">
        <v>102</v>
      </c>
      <c r="M226" s="13" t="s">
        <v>103</v>
      </c>
      <c r="N226" s="138" t="s">
        <v>170</v>
      </c>
      <c r="O226" s="138" t="s">
        <v>170</v>
      </c>
      <c r="P226" s="28">
        <v>35</v>
      </c>
      <c r="Q226" s="13" t="s">
        <v>54</v>
      </c>
      <c r="R226" s="13" t="s">
        <v>28</v>
      </c>
      <c r="S226" s="13"/>
      <c r="T226" s="13"/>
      <c r="U226" s="13" t="s">
        <v>2451</v>
      </c>
      <c r="V226" s="13" t="s">
        <v>2451</v>
      </c>
      <c r="W226" s="59">
        <f>+J226/$W$2</f>
        <v>1.0134685068638089E-5</v>
      </c>
    </row>
    <row r="227" spans="1:29">
      <c r="A227" s="13" t="s">
        <v>448</v>
      </c>
      <c r="B227" s="13" t="s">
        <v>404</v>
      </c>
      <c r="C227" s="138">
        <v>46267</v>
      </c>
      <c r="D227" s="138" t="s">
        <v>424</v>
      </c>
      <c r="E227" s="28">
        <v>0.99217137</v>
      </c>
      <c r="F227" s="13"/>
      <c r="G227" s="18">
        <v>5000000</v>
      </c>
      <c r="H227" s="18">
        <v>4960856.8600000003</v>
      </c>
      <c r="I227" s="18">
        <v>5000000</v>
      </c>
      <c r="J227" s="18">
        <v>4960856.8600000003</v>
      </c>
      <c r="K227" s="15">
        <v>67542727</v>
      </c>
      <c r="L227" s="13" t="s">
        <v>102</v>
      </c>
      <c r="M227" s="13" t="s">
        <v>103</v>
      </c>
      <c r="N227" s="138" t="s">
        <v>353</v>
      </c>
      <c r="O227" s="138" t="s">
        <v>353</v>
      </c>
      <c r="P227" s="28">
        <v>36</v>
      </c>
      <c r="Q227" s="13" t="s">
        <v>54</v>
      </c>
      <c r="R227" s="13" t="s">
        <v>28</v>
      </c>
      <c r="S227" s="13"/>
      <c r="T227" s="13"/>
      <c r="U227" s="13" t="s">
        <v>992</v>
      </c>
      <c r="V227" s="13" t="s">
        <v>992</v>
      </c>
      <c r="W227" s="59">
        <f>+J227/$W$2</f>
        <v>8.1189750179730156E-5</v>
      </c>
    </row>
    <row r="228" spans="1:29">
      <c r="A228" s="13" t="s">
        <v>174</v>
      </c>
      <c r="B228" s="13" t="s">
        <v>404</v>
      </c>
      <c r="C228" s="138">
        <v>46267</v>
      </c>
      <c r="D228" s="138" t="s">
        <v>424</v>
      </c>
      <c r="E228" s="28">
        <v>0.99281911</v>
      </c>
      <c r="F228" s="13"/>
      <c r="G228" s="18">
        <v>145500000</v>
      </c>
      <c r="H228" s="18">
        <v>144455180.22999999</v>
      </c>
      <c r="I228" s="18">
        <v>145500000</v>
      </c>
      <c r="J228" s="18">
        <v>144455180.22999999</v>
      </c>
      <c r="K228" s="15">
        <v>70390800</v>
      </c>
      <c r="L228" s="13" t="s">
        <v>102</v>
      </c>
      <c r="M228" s="13" t="s">
        <v>103</v>
      </c>
      <c r="N228" s="138" t="s">
        <v>346</v>
      </c>
      <c r="O228" s="138" t="s">
        <v>346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1492</v>
      </c>
      <c r="V228" s="13" t="s">
        <v>1492</v>
      </c>
      <c r="W228" s="59">
        <f>+J228/$W$2</f>
        <v>2.3641641607537924E-3</v>
      </c>
    </row>
    <row r="229" spans="1:29">
      <c r="A229" s="13" t="s">
        <v>981</v>
      </c>
      <c r="B229" s="13" t="s">
        <v>404</v>
      </c>
      <c r="C229" s="138">
        <v>46267</v>
      </c>
      <c r="D229" s="138" t="s">
        <v>424</v>
      </c>
      <c r="E229" s="28">
        <v>0.99174004000000004</v>
      </c>
      <c r="F229" s="13"/>
      <c r="G229" s="18">
        <v>40000000</v>
      </c>
      <c r="H229" s="18">
        <v>39669601.590000004</v>
      </c>
      <c r="I229" s="18">
        <v>40000000</v>
      </c>
      <c r="J229" s="18">
        <v>39669601.590000004</v>
      </c>
      <c r="K229" s="15">
        <v>70379073</v>
      </c>
      <c r="L229" s="13" t="s">
        <v>102</v>
      </c>
      <c r="M229" s="13" t="s">
        <v>103</v>
      </c>
      <c r="N229" s="138" t="s">
        <v>340</v>
      </c>
      <c r="O229" s="138" t="s">
        <v>340</v>
      </c>
      <c r="P229" s="28">
        <v>38</v>
      </c>
      <c r="Q229" s="13" t="s">
        <v>54</v>
      </c>
      <c r="R229" s="13" t="s">
        <v>28</v>
      </c>
      <c r="S229" s="13"/>
      <c r="T229" s="13"/>
      <c r="U229" s="13" t="s">
        <v>1071</v>
      </c>
      <c r="V229" s="13" t="s">
        <v>1071</v>
      </c>
      <c r="W229" s="59">
        <f>+J229/$W$2</f>
        <v>6.4923563281798189E-4</v>
      </c>
    </row>
    <row r="230" spans="1:29">
      <c r="A230" s="13" t="s">
        <v>957</v>
      </c>
      <c r="B230" s="13" t="s">
        <v>404</v>
      </c>
      <c r="C230" s="138">
        <v>46267</v>
      </c>
      <c r="D230" s="138" t="s">
        <v>424</v>
      </c>
      <c r="E230" s="28">
        <v>0.99303516000000003</v>
      </c>
      <c r="F230" s="13"/>
      <c r="G230" s="18">
        <v>13000000</v>
      </c>
      <c r="H230" s="18">
        <v>12909457.08</v>
      </c>
      <c r="I230" s="18">
        <v>13000000</v>
      </c>
      <c r="J230" s="18">
        <v>12909457.08</v>
      </c>
      <c r="K230" s="15">
        <v>546</v>
      </c>
      <c r="L230" s="13" t="s">
        <v>102</v>
      </c>
      <c r="M230" s="13" t="s">
        <v>103</v>
      </c>
      <c r="N230" s="138" t="s">
        <v>330</v>
      </c>
      <c r="O230" s="138" t="s">
        <v>330</v>
      </c>
      <c r="P230" s="28">
        <v>32</v>
      </c>
      <c r="Q230" s="13" t="s">
        <v>54</v>
      </c>
      <c r="R230" s="13" t="s">
        <v>28</v>
      </c>
      <c r="S230" s="13"/>
      <c r="T230" s="13"/>
      <c r="U230" s="13" t="s">
        <v>959</v>
      </c>
      <c r="V230" s="13" t="s">
        <v>959</v>
      </c>
      <c r="W230" s="59">
        <f>+J230/$W$2</f>
        <v>2.1127712910489998E-4</v>
      </c>
      <c r="AC230" s="56"/>
    </row>
    <row r="231" spans="1:29">
      <c r="A231" s="13" t="s">
        <v>960</v>
      </c>
      <c r="B231" s="13" t="s">
        <v>404</v>
      </c>
      <c r="C231" s="138">
        <v>46267</v>
      </c>
      <c r="D231" s="138" t="s">
        <v>424</v>
      </c>
      <c r="E231" s="28">
        <v>0.99303516000000003</v>
      </c>
      <c r="F231" s="13"/>
      <c r="G231" s="18">
        <v>1000000</v>
      </c>
      <c r="H231" s="18">
        <v>993035.16</v>
      </c>
      <c r="I231" s="18">
        <v>1000000</v>
      </c>
      <c r="J231" s="18">
        <v>993035.16</v>
      </c>
      <c r="K231" s="15">
        <v>67277956</v>
      </c>
      <c r="L231" s="13" t="s">
        <v>102</v>
      </c>
      <c r="M231" s="13" t="s">
        <v>103</v>
      </c>
      <c r="N231" s="138" t="s">
        <v>330</v>
      </c>
      <c r="O231" s="138" t="s">
        <v>330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966</v>
      </c>
      <c r="V231" s="13" t="s">
        <v>966</v>
      </c>
      <c r="W231" s="59">
        <f>+J231/$W$2</f>
        <v>1.6252086854223076E-5</v>
      </c>
      <c r="AC231" s="56"/>
    </row>
    <row r="232" spans="1:29">
      <c r="A232" s="13" t="s">
        <v>1909</v>
      </c>
      <c r="B232" s="13" t="s">
        <v>404</v>
      </c>
      <c r="C232" s="138">
        <v>46267</v>
      </c>
      <c r="D232" s="138" t="s">
        <v>424</v>
      </c>
      <c r="E232" s="28">
        <v>0.99368403000000005</v>
      </c>
      <c r="F232" s="13"/>
      <c r="G232" s="18">
        <v>7169405.0599999996</v>
      </c>
      <c r="H232" s="18">
        <v>7124123.29</v>
      </c>
      <c r="I232" s="18">
        <v>7169405.0599999996</v>
      </c>
      <c r="J232" s="18">
        <v>7124123.29</v>
      </c>
      <c r="K232" s="15">
        <v>274</v>
      </c>
      <c r="L232" s="13" t="s">
        <v>102</v>
      </c>
      <c r="M232" s="13" t="s">
        <v>103</v>
      </c>
      <c r="N232" s="138" t="s">
        <v>291</v>
      </c>
      <c r="O232" s="138" t="s">
        <v>291</v>
      </c>
      <c r="P232" s="28">
        <v>29</v>
      </c>
      <c r="Q232" s="13" t="s">
        <v>54</v>
      </c>
      <c r="R232" s="13" t="s">
        <v>28</v>
      </c>
      <c r="S232" s="13"/>
      <c r="T232" s="13"/>
      <c r="U232" s="13" t="s">
        <v>1910</v>
      </c>
      <c r="V232" s="13" t="s">
        <v>1910</v>
      </c>
      <c r="W232" s="59">
        <f>+J232/$W$2</f>
        <v>1.1659392852643148E-4</v>
      </c>
    </row>
    <row r="233" spans="1:29">
      <c r="A233" s="13" t="s">
        <v>1456</v>
      </c>
      <c r="B233" s="13" t="s">
        <v>404</v>
      </c>
      <c r="C233" s="138">
        <v>46267</v>
      </c>
      <c r="D233" s="138" t="s">
        <v>424</v>
      </c>
      <c r="E233" s="28">
        <v>0.99346763999999999</v>
      </c>
      <c r="F233" s="13"/>
      <c r="G233" s="18">
        <v>830000</v>
      </c>
      <c r="H233" s="18">
        <v>824578.14</v>
      </c>
      <c r="I233" s="18">
        <v>830000</v>
      </c>
      <c r="J233" s="18">
        <v>824578.14</v>
      </c>
      <c r="K233" s="15">
        <v>63</v>
      </c>
      <c r="L233" s="13" t="s">
        <v>102</v>
      </c>
      <c r="M233" s="13" t="s">
        <v>103</v>
      </c>
      <c r="N233" s="138" t="s">
        <v>343</v>
      </c>
      <c r="O233" s="138" t="s">
        <v>343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1459</v>
      </c>
      <c r="V233" s="13" t="s">
        <v>1459</v>
      </c>
      <c r="W233" s="59">
        <f>+J233/$W$2</f>
        <v>1.349510680908188E-5</v>
      </c>
    </row>
    <row r="234" spans="1:29">
      <c r="A234" s="13" t="s">
        <v>1464</v>
      </c>
      <c r="B234" s="13" t="s">
        <v>404</v>
      </c>
      <c r="C234" s="138">
        <v>46267</v>
      </c>
      <c r="D234" s="138" t="s">
        <v>424</v>
      </c>
      <c r="E234" s="28">
        <v>0.99346763999999999</v>
      </c>
      <c r="F234" s="13"/>
      <c r="G234" s="18">
        <v>2500000</v>
      </c>
      <c r="H234" s="18">
        <v>2483669.09</v>
      </c>
      <c r="I234" s="18">
        <v>2500000</v>
      </c>
      <c r="J234" s="18">
        <v>2483669.09</v>
      </c>
      <c r="K234" s="15">
        <v>381</v>
      </c>
      <c r="L234" s="13" t="s">
        <v>102</v>
      </c>
      <c r="M234" s="13" t="s">
        <v>103</v>
      </c>
      <c r="N234" s="138" t="s">
        <v>343</v>
      </c>
      <c r="O234" s="138" t="s">
        <v>343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1467</v>
      </c>
      <c r="V234" s="13" t="s">
        <v>1467</v>
      </c>
      <c r="W234" s="59">
        <f>+J234/$W$2</f>
        <v>4.0647911971041577E-5</v>
      </c>
    </row>
    <row r="235" spans="1:29">
      <c r="A235" s="13" t="s">
        <v>722</v>
      </c>
      <c r="B235" s="13" t="s">
        <v>404</v>
      </c>
      <c r="C235" s="138">
        <v>46268</v>
      </c>
      <c r="D235" s="138" t="s">
        <v>424</v>
      </c>
      <c r="E235" s="28">
        <v>0.99023333999999996</v>
      </c>
      <c r="F235" s="13"/>
      <c r="G235" s="18">
        <v>12166667</v>
      </c>
      <c r="H235" s="18">
        <v>12047839.279999999</v>
      </c>
      <c r="I235" s="18">
        <v>12166667</v>
      </c>
      <c r="J235" s="18">
        <v>12047839.279999999</v>
      </c>
      <c r="K235" s="15">
        <v>90020550</v>
      </c>
      <c r="L235" s="13" t="s">
        <v>102</v>
      </c>
      <c r="M235" s="13" t="s">
        <v>103</v>
      </c>
      <c r="N235" s="138" t="s">
        <v>309</v>
      </c>
      <c r="O235" s="138" t="s">
        <v>309</v>
      </c>
      <c r="P235" s="28">
        <v>40</v>
      </c>
      <c r="Q235" s="13" t="s">
        <v>54</v>
      </c>
      <c r="R235" s="13" t="s">
        <v>28</v>
      </c>
      <c r="S235" s="13"/>
      <c r="T235" s="13"/>
      <c r="U235" s="13" t="s">
        <v>718</v>
      </c>
      <c r="V235" s="13" t="s">
        <v>718</v>
      </c>
      <c r="W235" s="59">
        <f>+J235/$W$2</f>
        <v>1.9717582848152162E-4</v>
      </c>
      <c r="AC235" s="56"/>
    </row>
    <row r="236" spans="1:29">
      <c r="A236" s="13" t="s">
        <v>805</v>
      </c>
      <c r="B236" s="13" t="s">
        <v>404</v>
      </c>
      <c r="C236" s="138">
        <v>46268</v>
      </c>
      <c r="D236" s="138" t="s">
        <v>424</v>
      </c>
      <c r="E236" s="28">
        <v>0.99120142</v>
      </c>
      <c r="F236" s="13"/>
      <c r="G236" s="18">
        <v>2067824.35</v>
      </c>
      <c r="H236" s="18">
        <v>2049630.43</v>
      </c>
      <c r="I236" s="18">
        <v>2067824.35</v>
      </c>
      <c r="J236" s="18">
        <v>2049630.43</v>
      </c>
      <c r="K236" s="15">
        <v>2201</v>
      </c>
      <c r="L236" s="13" t="s">
        <v>102</v>
      </c>
      <c r="M236" s="13" t="s">
        <v>103</v>
      </c>
      <c r="N236" s="138" t="s">
        <v>391</v>
      </c>
      <c r="O236" s="138" t="s">
        <v>391</v>
      </c>
      <c r="P236" s="28">
        <v>36</v>
      </c>
      <c r="Q236" s="13" t="s">
        <v>54</v>
      </c>
      <c r="R236" s="13" t="s">
        <v>28</v>
      </c>
      <c r="S236" s="13"/>
      <c r="T236" s="13"/>
      <c r="U236" s="13" t="s">
        <v>806</v>
      </c>
      <c r="V236" s="13" t="s">
        <v>806</v>
      </c>
      <c r="W236" s="59">
        <f>+J236/$W$2</f>
        <v>3.3544403168381861E-5</v>
      </c>
    </row>
    <row r="237" spans="1:29">
      <c r="A237" s="13" t="s">
        <v>537</v>
      </c>
      <c r="B237" s="13" t="s">
        <v>404</v>
      </c>
      <c r="C237" s="138">
        <v>46268</v>
      </c>
      <c r="D237" s="138" t="s">
        <v>424</v>
      </c>
      <c r="E237" s="28">
        <v>0.99411704999999995</v>
      </c>
      <c r="F237" s="13"/>
      <c r="G237" s="18">
        <v>10000000</v>
      </c>
      <c r="H237" s="18">
        <v>9941170.4499999993</v>
      </c>
      <c r="I237" s="18">
        <v>10000000</v>
      </c>
      <c r="J237" s="18">
        <v>9941170.4499999993</v>
      </c>
      <c r="K237" s="15">
        <v>4540</v>
      </c>
      <c r="L237" s="13" t="s">
        <v>102</v>
      </c>
      <c r="M237" s="13" t="s">
        <v>103</v>
      </c>
      <c r="N237" s="138" t="s">
        <v>339</v>
      </c>
      <c r="O237" s="138" t="s">
        <v>339</v>
      </c>
      <c r="P237" s="28">
        <v>24</v>
      </c>
      <c r="Q237" s="13" t="s">
        <v>54</v>
      </c>
      <c r="R237" s="13" t="s">
        <v>28</v>
      </c>
      <c r="S237" s="13"/>
      <c r="T237" s="13"/>
      <c r="U237" s="13" t="s">
        <v>1545</v>
      </c>
      <c r="V237" s="13" t="s">
        <v>1545</v>
      </c>
      <c r="W237" s="59">
        <f>+J237/$W$2</f>
        <v>1.6269793064128352E-4</v>
      </c>
    </row>
    <row r="238" spans="1:29">
      <c r="A238" s="13" t="s">
        <v>442</v>
      </c>
      <c r="B238" s="13" t="s">
        <v>404</v>
      </c>
      <c r="C238" s="138">
        <v>46268</v>
      </c>
      <c r="D238" s="138" t="s">
        <v>424</v>
      </c>
      <c r="E238" s="28">
        <v>0.99411706</v>
      </c>
      <c r="F238" s="13"/>
      <c r="G238" s="18">
        <v>450232.73</v>
      </c>
      <c r="H238" s="18">
        <v>447584.04</v>
      </c>
      <c r="I238" s="18">
        <v>450232.73</v>
      </c>
      <c r="J238" s="18">
        <v>447584.04</v>
      </c>
      <c r="K238" s="15">
        <v>40014070</v>
      </c>
      <c r="L238" s="13" t="s">
        <v>102</v>
      </c>
      <c r="M238" s="13" t="s">
        <v>103</v>
      </c>
      <c r="N238" s="138" t="s">
        <v>388</v>
      </c>
      <c r="O238" s="138" t="s">
        <v>388</v>
      </c>
      <c r="P238" s="28">
        <v>24</v>
      </c>
      <c r="Q238" s="13" t="s">
        <v>54</v>
      </c>
      <c r="R238" s="13" t="s">
        <v>28</v>
      </c>
      <c r="S238" s="13"/>
      <c r="T238" s="13"/>
      <c r="U238" s="13" t="s">
        <v>1876</v>
      </c>
      <c r="V238" s="13" t="s">
        <v>1876</v>
      </c>
      <c r="W238" s="59">
        <f>+J238/$W$2</f>
        <v>7.325193493293888E-6</v>
      </c>
      <c r="AC238" s="56"/>
    </row>
    <row r="239" spans="1:29">
      <c r="A239" s="13" t="s">
        <v>442</v>
      </c>
      <c r="B239" s="13" t="s">
        <v>404</v>
      </c>
      <c r="C239" s="138">
        <v>46268</v>
      </c>
      <c r="D239" s="138" t="s">
        <v>424</v>
      </c>
      <c r="E239" s="28">
        <v>0.99497066999999995</v>
      </c>
      <c r="F239" s="13"/>
      <c r="G239" s="18">
        <v>248941.88</v>
      </c>
      <c r="H239" s="18">
        <v>247689.87</v>
      </c>
      <c r="I239" s="18">
        <v>248941.88</v>
      </c>
      <c r="J239" s="18">
        <v>247689.87</v>
      </c>
      <c r="K239" s="15">
        <v>40013131</v>
      </c>
      <c r="L239" s="13" t="s">
        <v>102</v>
      </c>
      <c r="M239" s="13" t="s">
        <v>103</v>
      </c>
      <c r="N239" s="138" t="s">
        <v>411</v>
      </c>
      <c r="O239" s="138" t="s">
        <v>411</v>
      </c>
      <c r="P239" s="28">
        <v>20.5</v>
      </c>
      <c r="Q239" s="13" t="s">
        <v>54</v>
      </c>
      <c r="R239" s="13" t="s">
        <v>28</v>
      </c>
      <c r="S239" s="13"/>
      <c r="T239" s="13"/>
      <c r="U239" s="13" t="s">
        <v>1086</v>
      </c>
      <c r="V239" s="13" t="s">
        <v>1086</v>
      </c>
      <c r="W239" s="59">
        <f>+J239/$W$2</f>
        <v>4.0537107267694557E-6</v>
      </c>
    </row>
    <row r="240" spans="1:29">
      <c r="A240" s="13" t="s">
        <v>442</v>
      </c>
      <c r="B240" s="13" t="s">
        <v>404</v>
      </c>
      <c r="C240" s="138">
        <v>46268</v>
      </c>
      <c r="D240" s="138" t="s">
        <v>424</v>
      </c>
      <c r="E240" s="28">
        <v>0.99497064000000002</v>
      </c>
      <c r="F240" s="13"/>
      <c r="G240" s="18">
        <v>1236587.72</v>
      </c>
      <c r="H240" s="18">
        <v>1230368.48</v>
      </c>
      <c r="I240" s="18">
        <v>1236587.72</v>
      </c>
      <c r="J240" s="18">
        <v>1230368.48</v>
      </c>
      <c r="K240" s="15">
        <v>40013042</v>
      </c>
      <c r="L240" s="13" t="s">
        <v>102</v>
      </c>
      <c r="M240" s="13" t="s">
        <v>103</v>
      </c>
      <c r="N240" s="138" t="s">
        <v>411</v>
      </c>
      <c r="O240" s="138" t="s">
        <v>411</v>
      </c>
      <c r="P240" s="28">
        <v>20.5</v>
      </c>
      <c r="Q240" s="13" t="s">
        <v>54</v>
      </c>
      <c r="R240" s="13" t="s">
        <v>28</v>
      </c>
      <c r="S240" s="13"/>
      <c r="T240" s="13"/>
      <c r="U240" s="13" t="s">
        <v>1087</v>
      </c>
      <c r="V240" s="13" t="s">
        <v>1087</v>
      </c>
      <c r="W240" s="59">
        <f>+J240/$W$2</f>
        <v>2.0136301517922516E-5</v>
      </c>
    </row>
    <row r="241" spans="1:29">
      <c r="A241" s="13" t="s">
        <v>129</v>
      </c>
      <c r="B241" s="13" t="s">
        <v>127</v>
      </c>
      <c r="C241" s="138">
        <v>46268</v>
      </c>
      <c r="D241" s="138" t="s">
        <v>424</v>
      </c>
      <c r="E241" s="28">
        <v>0.99754050000000005</v>
      </c>
      <c r="F241" s="13" t="s">
        <v>2681</v>
      </c>
      <c r="G241" s="18">
        <v>40000</v>
      </c>
      <c r="H241" s="18">
        <v>39901.620000000003</v>
      </c>
      <c r="I241" s="18">
        <v>60461301.590000004</v>
      </c>
      <c r="J241" s="18">
        <v>60312597.020000003</v>
      </c>
      <c r="K241" s="15">
        <v>151967</v>
      </c>
      <c r="L241" s="13" t="s">
        <v>102</v>
      </c>
      <c r="M241" s="13" t="s">
        <v>103</v>
      </c>
      <c r="N241" s="138" t="s">
        <v>325</v>
      </c>
      <c r="O241" s="138" t="s">
        <v>325</v>
      </c>
      <c r="P241" s="28">
        <v>10</v>
      </c>
      <c r="Q241" s="13" t="s">
        <v>54</v>
      </c>
      <c r="R241" s="13" t="s">
        <v>28</v>
      </c>
      <c r="S241" s="13"/>
      <c r="T241" s="13"/>
      <c r="U241" s="13" t="s">
        <v>849</v>
      </c>
      <c r="V241" s="13" t="s">
        <v>849</v>
      </c>
      <c r="W241" s="59">
        <f>+J241/$W$2</f>
        <v>9.8708042238181766E-4</v>
      </c>
    </row>
    <row r="242" spans="1:29">
      <c r="A242" s="13" t="s">
        <v>1054</v>
      </c>
      <c r="B242" s="13" t="s">
        <v>404</v>
      </c>
      <c r="C242" s="138">
        <v>46268</v>
      </c>
      <c r="D242" s="138" t="s">
        <v>424</v>
      </c>
      <c r="E242" s="28">
        <v>0.99265709000000002</v>
      </c>
      <c r="F242" s="13"/>
      <c r="G242" s="18">
        <v>2700000</v>
      </c>
      <c r="H242" s="18">
        <v>2680174.13</v>
      </c>
      <c r="I242" s="18">
        <v>2700000</v>
      </c>
      <c r="J242" s="18">
        <v>2680174.13</v>
      </c>
      <c r="K242" s="15">
        <v>6275</v>
      </c>
      <c r="L242" s="13" t="s">
        <v>102</v>
      </c>
      <c r="M242" s="13" t="s">
        <v>103</v>
      </c>
      <c r="N242" s="138" t="s">
        <v>162</v>
      </c>
      <c r="O242" s="138" t="s">
        <v>162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1048</v>
      </c>
      <c r="V242" s="13" t="s">
        <v>1048</v>
      </c>
      <c r="W242" s="59">
        <f>+J242/$W$2</f>
        <v>4.3863927985391543E-5</v>
      </c>
    </row>
    <row r="243" spans="1:29">
      <c r="A243" s="13" t="s">
        <v>126</v>
      </c>
      <c r="B243" s="13" t="s">
        <v>127</v>
      </c>
      <c r="C243" s="138">
        <v>46268</v>
      </c>
      <c r="D243" s="138" t="s">
        <v>424</v>
      </c>
      <c r="E243" s="28">
        <v>0.99827699999999997</v>
      </c>
      <c r="F243" s="13" t="s">
        <v>2681</v>
      </c>
      <c r="G243" s="18">
        <v>70000</v>
      </c>
      <c r="H243" s="18">
        <v>69879.39</v>
      </c>
      <c r="I243" s="18">
        <v>105807277.79000001</v>
      </c>
      <c r="J243" s="18">
        <v>105624971.84999999</v>
      </c>
      <c r="K243" s="15">
        <v>153854</v>
      </c>
      <c r="L243" s="13" t="s">
        <v>102</v>
      </c>
      <c r="M243" s="13" t="s">
        <v>103</v>
      </c>
      <c r="N243" s="138" t="s">
        <v>347</v>
      </c>
      <c r="O243" s="138" t="s">
        <v>347</v>
      </c>
      <c r="P243" s="28">
        <v>7</v>
      </c>
      <c r="Q243" s="13" t="s">
        <v>54</v>
      </c>
      <c r="R243" s="13" t="s">
        <v>28</v>
      </c>
      <c r="S243" s="13"/>
      <c r="T243" s="13"/>
      <c r="U243" s="13" t="s">
        <v>1056</v>
      </c>
      <c r="V243" s="13" t="s">
        <v>1056</v>
      </c>
      <c r="W243" s="59">
        <f>+J243/$W$2</f>
        <v>1.7286660992759484E-3</v>
      </c>
    </row>
    <row r="244" spans="1:29">
      <c r="A244" s="13" t="s">
        <v>634</v>
      </c>
      <c r="B244" s="13" t="s">
        <v>127</v>
      </c>
      <c r="C244" s="138">
        <v>46268</v>
      </c>
      <c r="D244" s="138" t="s">
        <v>424</v>
      </c>
      <c r="E244" s="28">
        <v>0.99827690000000002</v>
      </c>
      <c r="F244" s="13" t="s">
        <v>2681</v>
      </c>
      <c r="G244" s="18">
        <v>100000</v>
      </c>
      <c r="H244" s="18">
        <v>99827.69</v>
      </c>
      <c r="I244" s="18">
        <v>151153253.97999999</v>
      </c>
      <c r="J244" s="18">
        <v>150892801.81</v>
      </c>
      <c r="K244" s="15">
        <v>147170</v>
      </c>
      <c r="L244" s="13" t="s">
        <v>102</v>
      </c>
      <c r="M244" s="13" t="s">
        <v>103</v>
      </c>
      <c r="N244" s="138" t="s">
        <v>352</v>
      </c>
      <c r="O244" s="138" t="s">
        <v>352</v>
      </c>
      <c r="P244" s="28">
        <v>7</v>
      </c>
      <c r="Q244" s="13" t="s">
        <v>54</v>
      </c>
      <c r="R244" s="13" t="s">
        <v>28</v>
      </c>
      <c r="S244" s="13"/>
      <c r="T244" s="13"/>
      <c r="U244" s="13" t="s">
        <v>633</v>
      </c>
      <c r="V244" s="13" t="s">
        <v>633</v>
      </c>
      <c r="W244" s="59">
        <f>+J244/$W$2</f>
        <v>2.4695227515339831E-3</v>
      </c>
    </row>
    <row r="245" spans="1:29">
      <c r="A245" s="13" t="s">
        <v>634</v>
      </c>
      <c r="B245" s="13" t="s">
        <v>127</v>
      </c>
      <c r="C245" s="138">
        <v>46268</v>
      </c>
      <c r="D245" s="138" t="s">
        <v>424</v>
      </c>
      <c r="E245" s="28">
        <v>0.99778599999999995</v>
      </c>
      <c r="F245" s="13" t="s">
        <v>2681</v>
      </c>
      <c r="G245" s="18">
        <v>25000</v>
      </c>
      <c r="H245" s="18">
        <v>24944.65</v>
      </c>
      <c r="I245" s="18">
        <v>37788313.5</v>
      </c>
      <c r="J245" s="18">
        <v>37704650.170000002</v>
      </c>
      <c r="K245" s="15">
        <v>150612</v>
      </c>
      <c r="L245" s="13" t="s">
        <v>102</v>
      </c>
      <c r="M245" s="13" t="s">
        <v>103</v>
      </c>
      <c r="N245" s="138" t="s">
        <v>156</v>
      </c>
      <c r="O245" s="138" t="s">
        <v>156</v>
      </c>
      <c r="P245" s="28">
        <v>9</v>
      </c>
      <c r="Q245" s="13" t="s">
        <v>54</v>
      </c>
      <c r="R245" s="13" t="s">
        <v>28</v>
      </c>
      <c r="S245" s="13"/>
      <c r="T245" s="13"/>
      <c r="U245" s="13" t="s">
        <v>769</v>
      </c>
      <c r="V245" s="13" t="s">
        <v>769</v>
      </c>
      <c r="W245" s="59">
        <f>+J245/$W$2</f>
        <v>6.1707709258848088E-4</v>
      </c>
    </row>
    <row r="246" spans="1:29">
      <c r="A246" s="13" t="s">
        <v>410</v>
      </c>
      <c r="B246" s="13" t="s">
        <v>404</v>
      </c>
      <c r="C246" s="138">
        <v>46268</v>
      </c>
      <c r="D246" s="138" t="s">
        <v>424</v>
      </c>
      <c r="E246" s="28">
        <v>0.99071715999999999</v>
      </c>
      <c r="F246" s="13"/>
      <c r="G246" s="18">
        <v>43500000</v>
      </c>
      <c r="H246" s="18">
        <v>43096196.280000001</v>
      </c>
      <c r="I246" s="18">
        <v>43500000</v>
      </c>
      <c r="J246" s="18">
        <v>43096196.280000001</v>
      </c>
      <c r="K246" s="15">
        <v>155472</v>
      </c>
      <c r="L246" s="13" t="s">
        <v>102</v>
      </c>
      <c r="M246" s="13" t="s">
        <v>103</v>
      </c>
      <c r="N246" s="138" t="s">
        <v>355</v>
      </c>
      <c r="O246" s="138" t="s">
        <v>355</v>
      </c>
      <c r="P246" s="28">
        <v>38</v>
      </c>
      <c r="Q246" s="13" t="s">
        <v>54</v>
      </c>
      <c r="R246" s="13" t="s">
        <v>28</v>
      </c>
      <c r="S246" s="13"/>
      <c r="T246" s="13"/>
      <c r="U246" s="13" t="s">
        <v>1191</v>
      </c>
      <c r="V246" s="13" t="s">
        <v>1191</v>
      </c>
      <c r="W246" s="59">
        <f>+J246/$W$2</f>
        <v>7.053155348791531E-4</v>
      </c>
    </row>
    <row r="247" spans="1:29">
      <c r="A247" s="13" t="s">
        <v>467</v>
      </c>
      <c r="B247" s="13" t="s">
        <v>404</v>
      </c>
      <c r="C247" s="138">
        <v>46268</v>
      </c>
      <c r="D247" s="138" t="s">
        <v>424</v>
      </c>
      <c r="E247" s="28">
        <v>0.99023333000000002</v>
      </c>
      <c r="F247" s="13"/>
      <c r="G247" s="18">
        <v>9972890.5500000007</v>
      </c>
      <c r="H247" s="18">
        <v>9875488.6300000008</v>
      </c>
      <c r="I247" s="18">
        <v>9972890.5500000007</v>
      </c>
      <c r="J247" s="18">
        <v>9875488.6300000008</v>
      </c>
      <c r="K247" s="15">
        <v>1179208</v>
      </c>
      <c r="L247" s="13" t="s">
        <v>102</v>
      </c>
      <c r="M247" s="13" t="s">
        <v>103</v>
      </c>
      <c r="N247" s="138" t="s">
        <v>306</v>
      </c>
      <c r="O247" s="138" t="s">
        <v>306</v>
      </c>
      <c r="P247" s="28">
        <v>40</v>
      </c>
      <c r="Q247" s="13" t="s">
        <v>54</v>
      </c>
      <c r="R247" s="13" t="s">
        <v>28</v>
      </c>
      <c r="S247" s="13"/>
      <c r="T247" s="13"/>
      <c r="U247" s="13" t="s">
        <v>451</v>
      </c>
      <c r="V247" s="13" t="s">
        <v>451</v>
      </c>
      <c r="W247" s="59">
        <f>+J247/$W$2</f>
        <v>1.6162297711860724E-4</v>
      </c>
    </row>
    <row r="248" spans="1:29">
      <c r="A248" s="13" t="s">
        <v>285</v>
      </c>
      <c r="B248" s="13" t="s">
        <v>404</v>
      </c>
      <c r="C248" s="138">
        <v>46268</v>
      </c>
      <c r="D248" s="138" t="s">
        <v>424</v>
      </c>
      <c r="E248" s="28">
        <v>0.99362987999999997</v>
      </c>
      <c r="F248" s="13"/>
      <c r="G248" s="18">
        <v>2500000</v>
      </c>
      <c r="H248" s="18">
        <v>2484074.71</v>
      </c>
      <c r="I248" s="18">
        <v>2500000</v>
      </c>
      <c r="J248" s="18">
        <v>2484074.71</v>
      </c>
      <c r="K248" s="15">
        <v>3837</v>
      </c>
      <c r="L248" s="13" t="s">
        <v>102</v>
      </c>
      <c r="M248" s="13" t="s">
        <v>103</v>
      </c>
      <c r="N248" s="138" t="s">
        <v>420</v>
      </c>
      <c r="O248" s="138" t="s">
        <v>420</v>
      </c>
      <c r="P248" s="28">
        <v>26</v>
      </c>
      <c r="Q248" s="13" t="s">
        <v>54</v>
      </c>
      <c r="R248" s="13" t="s">
        <v>28</v>
      </c>
      <c r="S248" s="13"/>
      <c r="T248" s="13"/>
      <c r="U248" s="13" t="s">
        <v>1288</v>
      </c>
      <c r="V248" s="13" t="s">
        <v>1288</v>
      </c>
      <c r="W248" s="59">
        <f>+J248/$W$2</f>
        <v>4.0654550377953384E-5</v>
      </c>
    </row>
    <row r="249" spans="1:29">
      <c r="A249" s="13" t="s">
        <v>405</v>
      </c>
      <c r="B249" s="13" t="s">
        <v>404</v>
      </c>
      <c r="C249" s="138">
        <v>46268</v>
      </c>
      <c r="D249" s="138" t="s">
        <v>424</v>
      </c>
      <c r="E249" s="28">
        <v>0.99265705999999998</v>
      </c>
      <c r="F249" s="13"/>
      <c r="G249" s="18">
        <v>4000000</v>
      </c>
      <c r="H249" s="18">
        <v>3970628.25</v>
      </c>
      <c r="I249" s="18">
        <v>4000000</v>
      </c>
      <c r="J249" s="18">
        <v>3970628.25</v>
      </c>
      <c r="K249" s="15">
        <v>857</v>
      </c>
      <c r="L249" s="13" t="s">
        <v>102</v>
      </c>
      <c r="M249" s="13" t="s">
        <v>103</v>
      </c>
      <c r="N249" s="138" t="s">
        <v>416</v>
      </c>
      <c r="O249" s="138" t="s">
        <v>416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2034</v>
      </c>
      <c r="V249" s="13" t="s">
        <v>2034</v>
      </c>
      <c r="W249" s="59">
        <f>+J249/$W$2</f>
        <v>6.4983595530325206E-5</v>
      </c>
      <c r="AC249" s="56"/>
    </row>
    <row r="250" spans="1:29">
      <c r="A250" s="13" t="s">
        <v>405</v>
      </c>
      <c r="B250" s="13" t="s">
        <v>404</v>
      </c>
      <c r="C250" s="138">
        <v>46268</v>
      </c>
      <c r="D250" s="138" t="s">
        <v>424</v>
      </c>
      <c r="E250" s="28">
        <v>0.99265714000000005</v>
      </c>
      <c r="F250" s="13"/>
      <c r="G250" s="18">
        <v>3300000</v>
      </c>
      <c r="H250" s="18">
        <v>3275768.55</v>
      </c>
      <c r="I250" s="18">
        <v>3300000</v>
      </c>
      <c r="J250" s="18">
        <v>3275768.55</v>
      </c>
      <c r="K250" s="15">
        <v>917</v>
      </c>
      <c r="L250" s="13" t="s">
        <v>102</v>
      </c>
      <c r="M250" s="13" t="s">
        <v>103</v>
      </c>
      <c r="N250" s="138" t="s">
        <v>422</v>
      </c>
      <c r="O250" s="138" t="s">
        <v>422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2248</v>
      </c>
      <c r="V250" s="13" t="s">
        <v>2248</v>
      </c>
      <c r="W250" s="59">
        <f>+J250/$W$2</f>
        <v>5.3611470301748817E-5</v>
      </c>
    </row>
    <row r="251" spans="1:29">
      <c r="A251" s="13" t="s">
        <v>1167</v>
      </c>
      <c r="B251" s="13" t="s">
        <v>404</v>
      </c>
      <c r="C251" s="138">
        <v>46268</v>
      </c>
      <c r="D251" s="138" t="s">
        <v>424</v>
      </c>
      <c r="E251" s="28">
        <v>0.99338651</v>
      </c>
      <c r="F251" s="13"/>
      <c r="G251" s="18">
        <v>25088884.329999998</v>
      </c>
      <c r="H251" s="18">
        <v>24922959.32</v>
      </c>
      <c r="I251" s="18">
        <v>25088884.329999998</v>
      </c>
      <c r="J251" s="18">
        <v>24922959.32</v>
      </c>
      <c r="K251" s="15">
        <v>288</v>
      </c>
      <c r="L251" s="13" t="s">
        <v>102</v>
      </c>
      <c r="M251" s="13" t="s">
        <v>103</v>
      </c>
      <c r="N251" s="138" t="s">
        <v>324</v>
      </c>
      <c r="O251" s="138" t="s">
        <v>324</v>
      </c>
      <c r="P251" s="28">
        <v>27</v>
      </c>
      <c r="Q251" s="13" t="s">
        <v>54</v>
      </c>
      <c r="R251" s="13" t="s">
        <v>28</v>
      </c>
      <c r="S251" s="13"/>
      <c r="T251" s="13"/>
      <c r="U251" s="13" t="s">
        <v>1154</v>
      </c>
      <c r="V251" s="13" t="s">
        <v>1154</v>
      </c>
      <c r="W251" s="59">
        <f>+J251/$W$2</f>
        <v>4.0789099505087866E-4</v>
      </c>
    </row>
    <row r="252" spans="1:29">
      <c r="A252" s="13" t="s">
        <v>144</v>
      </c>
      <c r="B252" s="13" t="s">
        <v>404</v>
      </c>
      <c r="C252" s="138">
        <v>46268</v>
      </c>
      <c r="D252" s="138" t="s">
        <v>424</v>
      </c>
      <c r="E252" s="28">
        <v>0.99047518000000001</v>
      </c>
      <c r="F252" s="13"/>
      <c r="G252" s="18">
        <v>20000000</v>
      </c>
      <c r="H252" s="18">
        <v>19809503.690000001</v>
      </c>
      <c r="I252" s="18">
        <v>20000000</v>
      </c>
      <c r="J252" s="18">
        <v>19809503.690000001</v>
      </c>
      <c r="K252" s="15">
        <v>4318</v>
      </c>
      <c r="L252" s="13" t="s">
        <v>102</v>
      </c>
      <c r="M252" s="13" t="s">
        <v>103</v>
      </c>
      <c r="N252" s="138" t="s">
        <v>162</v>
      </c>
      <c r="O252" s="138" t="s">
        <v>162</v>
      </c>
      <c r="P252" s="28">
        <v>39</v>
      </c>
      <c r="Q252" s="13" t="s">
        <v>54</v>
      </c>
      <c r="R252" s="13" t="s">
        <v>28</v>
      </c>
      <c r="S252" s="13"/>
      <c r="T252" s="13"/>
      <c r="U252" s="13" t="s">
        <v>1046</v>
      </c>
      <c r="V252" s="13" t="s">
        <v>1046</v>
      </c>
      <c r="W252" s="59">
        <f>+J252/$W$2</f>
        <v>3.2420380211807662E-4</v>
      </c>
    </row>
    <row r="253" spans="1:29">
      <c r="A253" s="13" t="s">
        <v>917</v>
      </c>
      <c r="B253" s="13" t="s">
        <v>404</v>
      </c>
      <c r="C253" s="138">
        <v>46268</v>
      </c>
      <c r="D253" s="138" t="s">
        <v>424</v>
      </c>
      <c r="E253" s="28">
        <v>0.99192871000000005</v>
      </c>
      <c r="F253" s="13"/>
      <c r="G253" s="18">
        <v>2200000</v>
      </c>
      <c r="H253" s="18">
        <v>2182243.17</v>
      </c>
      <c r="I253" s="18">
        <v>2200000</v>
      </c>
      <c r="J253" s="18">
        <v>2182243.17</v>
      </c>
      <c r="K253" s="15">
        <v>6201</v>
      </c>
      <c r="L253" s="13" t="s">
        <v>102</v>
      </c>
      <c r="M253" s="13" t="s">
        <v>103</v>
      </c>
      <c r="N253" s="138" t="s">
        <v>311</v>
      </c>
      <c r="O253" s="138" t="s">
        <v>311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908</v>
      </c>
      <c r="V253" s="13" t="s">
        <v>908</v>
      </c>
      <c r="W253" s="59">
        <f>+J253/$W$2</f>
        <v>3.5714753076693769E-5</v>
      </c>
    </row>
    <row r="254" spans="1:29">
      <c r="A254" s="13" t="s">
        <v>2684</v>
      </c>
      <c r="B254" s="13" t="s">
        <v>404</v>
      </c>
      <c r="C254" s="138">
        <v>46268</v>
      </c>
      <c r="D254" s="138" t="s">
        <v>424</v>
      </c>
      <c r="E254" s="28">
        <v>0.99144388999999999</v>
      </c>
      <c r="F254" s="13"/>
      <c r="G254" s="18">
        <v>17424000</v>
      </c>
      <c r="H254" s="18">
        <v>17274918.32</v>
      </c>
      <c r="I254" s="18">
        <v>17424000</v>
      </c>
      <c r="J254" s="18">
        <v>17274918.32</v>
      </c>
      <c r="K254" s="15">
        <v>71982653</v>
      </c>
      <c r="L254" s="13" t="s">
        <v>102</v>
      </c>
      <c r="M254" s="13" t="s">
        <v>103</v>
      </c>
      <c r="N254" s="138" t="s">
        <v>424</v>
      </c>
      <c r="O254" s="138" t="s">
        <v>424</v>
      </c>
      <c r="P254" s="28">
        <v>35</v>
      </c>
      <c r="Q254" s="13" t="s">
        <v>54</v>
      </c>
      <c r="R254" s="13" t="s">
        <v>28</v>
      </c>
      <c r="S254" s="13"/>
      <c r="T254" s="13"/>
      <c r="U254" s="13" t="s">
        <v>2593</v>
      </c>
      <c r="V254" s="13" t="s">
        <v>2593</v>
      </c>
      <c r="W254" s="59">
        <f>+J254/$W$2</f>
        <v>2.8272259054377226E-4</v>
      </c>
    </row>
    <row r="255" spans="1:29">
      <c r="A255" s="13" t="s">
        <v>2684</v>
      </c>
      <c r="B255" s="13" t="s">
        <v>404</v>
      </c>
      <c r="C255" s="138">
        <v>46268</v>
      </c>
      <c r="D255" s="138" t="s">
        <v>424</v>
      </c>
      <c r="E255" s="28">
        <v>0.99144388999999999</v>
      </c>
      <c r="F255" s="13"/>
      <c r="G255" s="18">
        <v>19847025</v>
      </c>
      <c r="H255" s="18">
        <v>19677211.649999999</v>
      </c>
      <c r="I255" s="18">
        <v>19847025</v>
      </c>
      <c r="J255" s="18">
        <v>19677211.649999999</v>
      </c>
      <c r="K255" s="15">
        <v>71982654</v>
      </c>
      <c r="L255" s="13" t="s">
        <v>102</v>
      </c>
      <c r="M255" s="13" t="s">
        <v>103</v>
      </c>
      <c r="N255" s="138" t="s">
        <v>424</v>
      </c>
      <c r="O255" s="138" t="s">
        <v>424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2594</v>
      </c>
      <c r="V255" s="13" t="s">
        <v>2594</v>
      </c>
      <c r="W255" s="59">
        <f>+J255/$W$2</f>
        <v>3.220387008096774E-4</v>
      </c>
    </row>
    <row r="256" spans="1:29">
      <c r="A256" s="13" t="s">
        <v>2684</v>
      </c>
      <c r="B256" s="13" t="s">
        <v>404</v>
      </c>
      <c r="C256" s="138">
        <v>46268</v>
      </c>
      <c r="D256" s="138" t="s">
        <v>424</v>
      </c>
      <c r="E256" s="28">
        <v>0.99144388999999999</v>
      </c>
      <c r="F256" s="13"/>
      <c r="G256" s="18">
        <v>22462440</v>
      </c>
      <c r="H256" s="18">
        <v>22270248.870000001</v>
      </c>
      <c r="I256" s="18">
        <v>22462440</v>
      </c>
      <c r="J256" s="18">
        <v>22270248.870000001</v>
      </c>
      <c r="K256" s="15">
        <v>71982656</v>
      </c>
      <c r="L256" s="13" t="s">
        <v>102</v>
      </c>
      <c r="M256" s="13" t="s">
        <v>103</v>
      </c>
      <c r="N256" s="138" t="s">
        <v>424</v>
      </c>
      <c r="O256" s="138" t="s">
        <v>424</v>
      </c>
      <c r="P256" s="28">
        <v>35</v>
      </c>
      <c r="Q256" s="13" t="s">
        <v>54</v>
      </c>
      <c r="R256" s="13" t="s">
        <v>28</v>
      </c>
      <c r="S256" s="13"/>
      <c r="T256" s="13"/>
      <c r="U256" s="13" t="s">
        <v>2595</v>
      </c>
      <c r="V256" s="13" t="s">
        <v>2595</v>
      </c>
      <c r="W256" s="59">
        <f>+J256/$W$2</f>
        <v>3.6447653968304941E-4</v>
      </c>
    </row>
    <row r="257" spans="1:29">
      <c r="A257" s="13" t="s">
        <v>413</v>
      </c>
      <c r="B257" s="13" t="s">
        <v>404</v>
      </c>
      <c r="C257" s="138">
        <v>46268</v>
      </c>
      <c r="D257" s="138" t="s">
        <v>424</v>
      </c>
      <c r="E257" s="28">
        <v>0.99192871999999999</v>
      </c>
      <c r="F257" s="13"/>
      <c r="G257" s="18">
        <v>16005575.67</v>
      </c>
      <c r="H257" s="18">
        <v>15876390.109999999</v>
      </c>
      <c r="I257" s="18">
        <v>16005575.67</v>
      </c>
      <c r="J257" s="18">
        <v>15876390.109999999</v>
      </c>
      <c r="K257" s="15">
        <v>30712</v>
      </c>
      <c r="L257" s="13" t="s">
        <v>102</v>
      </c>
      <c r="M257" s="13" t="s">
        <v>103</v>
      </c>
      <c r="N257" s="138" t="s">
        <v>391</v>
      </c>
      <c r="O257" s="138" t="s">
        <v>391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792</v>
      </c>
      <c r="V257" s="13" t="s">
        <v>792</v>
      </c>
      <c r="W257" s="59">
        <f>+J257/$W$2</f>
        <v>2.5983417445083037E-4</v>
      </c>
    </row>
    <row r="258" spans="1:29">
      <c r="A258" s="13" t="s">
        <v>413</v>
      </c>
      <c r="B258" s="13" t="s">
        <v>404</v>
      </c>
      <c r="C258" s="138">
        <v>46268</v>
      </c>
      <c r="D258" s="138" t="s">
        <v>424</v>
      </c>
      <c r="E258" s="28">
        <v>0.99192871999999999</v>
      </c>
      <c r="F258" s="13"/>
      <c r="G258" s="18">
        <v>12080215.710000001</v>
      </c>
      <c r="H258" s="18">
        <v>11982712.859999999</v>
      </c>
      <c r="I258" s="18">
        <v>12080215.710000001</v>
      </c>
      <c r="J258" s="18">
        <v>11982712.859999999</v>
      </c>
      <c r="K258" s="15">
        <v>30702</v>
      </c>
      <c r="L258" s="13" t="s">
        <v>102</v>
      </c>
      <c r="M258" s="13" t="s">
        <v>103</v>
      </c>
      <c r="N258" s="138" t="s">
        <v>391</v>
      </c>
      <c r="O258" s="138" t="s">
        <v>391</v>
      </c>
      <c r="P258" s="28">
        <v>33</v>
      </c>
      <c r="Q258" s="13" t="s">
        <v>54</v>
      </c>
      <c r="R258" s="13" t="s">
        <v>28</v>
      </c>
      <c r="S258" s="13"/>
      <c r="T258" s="13"/>
      <c r="U258" s="13" t="s">
        <v>793</v>
      </c>
      <c r="V258" s="13" t="s">
        <v>793</v>
      </c>
      <c r="W258" s="59">
        <f>+J258/$W$2</f>
        <v>1.9610996467631195E-4</v>
      </c>
    </row>
    <row r="259" spans="1:29">
      <c r="A259" s="13" t="s">
        <v>413</v>
      </c>
      <c r="B259" s="13" t="s">
        <v>404</v>
      </c>
      <c r="C259" s="138">
        <v>46268</v>
      </c>
      <c r="D259" s="138" t="s">
        <v>424</v>
      </c>
      <c r="E259" s="28">
        <v>0.99192871999999999</v>
      </c>
      <c r="F259" s="13"/>
      <c r="G259" s="18">
        <v>15230335.939999999</v>
      </c>
      <c r="H259" s="18">
        <v>15107407.57</v>
      </c>
      <c r="I259" s="18">
        <v>15230335.939999999</v>
      </c>
      <c r="J259" s="18">
        <v>15107407.57</v>
      </c>
      <c r="K259" s="15">
        <v>30690</v>
      </c>
      <c r="L259" s="13" t="s">
        <v>102</v>
      </c>
      <c r="M259" s="13" t="s">
        <v>103</v>
      </c>
      <c r="N259" s="138" t="s">
        <v>391</v>
      </c>
      <c r="O259" s="138" t="s">
        <v>391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791</v>
      </c>
      <c r="V259" s="13" t="s">
        <v>791</v>
      </c>
      <c r="W259" s="59">
        <f>+J259/$W$2</f>
        <v>2.4724894934212318E-4</v>
      </c>
      <c r="AC259" s="56"/>
    </row>
    <row r="260" spans="1:29">
      <c r="A260" s="13" t="s">
        <v>409</v>
      </c>
      <c r="B260" s="13" t="s">
        <v>404</v>
      </c>
      <c r="C260" s="138">
        <v>46268</v>
      </c>
      <c r="D260" s="138" t="s">
        <v>424</v>
      </c>
      <c r="E260" s="28">
        <v>0.9919287</v>
      </c>
      <c r="F260" s="13"/>
      <c r="G260" s="18">
        <v>12500000</v>
      </c>
      <c r="H260" s="18">
        <v>12399108.720000001</v>
      </c>
      <c r="I260" s="18">
        <v>12500000</v>
      </c>
      <c r="J260" s="18">
        <v>12399108.720000001</v>
      </c>
      <c r="K260" s="15">
        <v>1357</v>
      </c>
      <c r="L260" s="13" t="s">
        <v>102</v>
      </c>
      <c r="M260" s="13" t="s">
        <v>103</v>
      </c>
      <c r="N260" s="138" t="s">
        <v>373</v>
      </c>
      <c r="O260" s="138" t="s">
        <v>373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774</v>
      </c>
      <c r="V260" s="13" t="s">
        <v>774</v>
      </c>
      <c r="W260" s="59">
        <f>+J260/$W$2</f>
        <v>2.0292473010965163E-4</v>
      </c>
    </row>
    <row r="261" spans="1:29">
      <c r="A261" s="13" t="s">
        <v>1236</v>
      </c>
      <c r="B261" s="13" t="s">
        <v>404</v>
      </c>
      <c r="C261" s="138">
        <v>46268</v>
      </c>
      <c r="D261" s="138" t="s">
        <v>424</v>
      </c>
      <c r="E261" s="28">
        <v>0.99192868999999995</v>
      </c>
      <c r="F261" s="13"/>
      <c r="G261" s="18">
        <v>25000000</v>
      </c>
      <c r="H261" s="18">
        <v>24798217.27</v>
      </c>
      <c r="I261" s="18">
        <v>25000000</v>
      </c>
      <c r="J261" s="18">
        <v>24798217.27</v>
      </c>
      <c r="K261" s="15">
        <v>40</v>
      </c>
      <c r="L261" s="13" t="s">
        <v>102</v>
      </c>
      <c r="M261" s="13" t="s">
        <v>103</v>
      </c>
      <c r="N261" s="138" t="s">
        <v>374</v>
      </c>
      <c r="O261" s="138" t="s">
        <v>374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1229</v>
      </c>
      <c r="V261" s="13" t="s">
        <v>1229</v>
      </c>
      <c r="W261" s="59">
        <f>+J261/$W$2</f>
        <v>4.0584945743707065E-4</v>
      </c>
      <c r="AC261" s="56"/>
    </row>
    <row r="262" spans="1:29">
      <c r="A262" s="13" t="s">
        <v>1805</v>
      </c>
      <c r="B262" s="13" t="s">
        <v>404</v>
      </c>
      <c r="C262" s="138">
        <v>46268</v>
      </c>
      <c r="D262" s="138" t="s">
        <v>424</v>
      </c>
      <c r="E262" s="28">
        <v>0.99265711000000001</v>
      </c>
      <c r="F262" s="13"/>
      <c r="G262" s="18">
        <v>1500000</v>
      </c>
      <c r="H262" s="18">
        <v>1488985.67</v>
      </c>
      <c r="I262" s="18">
        <v>1500000</v>
      </c>
      <c r="J262" s="18">
        <v>1488985.67</v>
      </c>
      <c r="K262" s="15">
        <v>1964</v>
      </c>
      <c r="L262" s="13" t="s">
        <v>102</v>
      </c>
      <c r="M262" s="13" t="s">
        <v>103</v>
      </c>
      <c r="N262" s="138" t="s">
        <v>384</v>
      </c>
      <c r="O262" s="138" t="s">
        <v>384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1789</v>
      </c>
      <c r="V262" s="13" t="s">
        <v>1789</v>
      </c>
      <c r="W262" s="59">
        <f>+J262/$W$2</f>
        <v>2.4368849571785088E-5</v>
      </c>
    </row>
    <row r="263" spans="1:29">
      <c r="A263" s="13" t="s">
        <v>135</v>
      </c>
      <c r="B263" s="13" t="s">
        <v>404</v>
      </c>
      <c r="C263" s="138">
        <v>46269</v>
      </c>
      <c r="D263" s="138" t="s">
        <v>424</v>
      </c>
      <c r="E263" s="28">
        <v>0.99103996999999999</v>
      </c>
      <c r="F263" s="13"/>
      <c r="G263" s="18">
        <v>80000000</v>
      </c>
      <c r="H263" s="18">
        <v>79283197.290000007</v>
      </c>
      <c r="I263" s="18">
        <v>80000000</v>
      </c>
      <c r="J263" s="18">
        <v>79283197.290000007</v>
      </c>
      <c r="K263" s="15">
        <v>803</v>
      </c>
      <c r="L263" s="13" t="s">
        <v>102</v>
      </c>
      <c r="M263" s="13" t="s">
        <v>103</v>
      </c>
      <c r="N263" s="138" t="s">
        <v>173</v>
      </c>
      <c r="O263" s="138" t="s">
        <v>173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2025</v>
      </c>
      <c r="V263" s="13" t="s">
        <v>2025</v>
      </c>
      <c r="W263" s="59">
        <f>+J263/$W$2</f>
        <v>1.2975546690991119E-3</v>
      </c>
    </row>
    <row r="264" spans="1:29">
      <c r="A264" s="13" t="s">
        <v>323</v>
      </c>
      <c r="B264" s="13" t="s">
        <v>404</v>
      </c>
      <c r="C264" s="138">
        <v>46269</v>
      </c>
      <c r="D264" s="138" t="s">
        <v>424</v>
      </c>
      <c r="E264" s="28">
        <v>0.99103998999999998</v>
      </c>
      <c r="F264" s="13"/>
      <c r="G264" s="18">
        <v>200000000</v>
      </c>
      <c r="H264" s="18">
        <v>198207997.74000001</v>
      </c>
      <c r="I264" s="18">
        <v>200000000</v>
      </c>
      <c r="J264" s="18">
        <v>198207997.74000001</v>
      </c>
      <c r="K264" s="15">
        <v>16836844</v>
      </c>
      <c r="L264" s="13" t="s">
        <v>102</v>
      </c>
      <c r="M264" s="13" t="s">
        <v>103</v>
      </c>
      <c r="N264" s="138" t="s">
        <v>385</v>
      </c>
      <c r="O264" s="138" t="s">
        <v>385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1887</v>
      </c>
      <c r="V264" s="13" t="s">
        <v>1887</v>
      </c>
      <c r="W264" s="59">
        <f>+J264/$W$2</f>
        <v>3.2438867466406036E-3</v>
      </c>
    </row>
    <row r="265" spans="1:29">
      <c r="A265" s="13" t="s">
        <v>523</v>
      </c>
      <c r="B265" s="13" t="s">
        <v>404</v>
      </c>
      <c r="C265" s="138">
        <v>46269</v>
      </c>
      <c r="D265" s="138" t="s">
        <v>424</v>
      </c>
      <c r="E265" s="28">
        <v>0.99292712000000005</v>
      </c>
      <c r="F265" s="13"/>
      <c r="G265" s="18">
        <v>10000000</v>
      </c>
      <c r="H265" s="18">
        <v>9929271.1899999995</v>
      </c>
      <c r="I265" s="18">
        <v>10000000</v>
      </c>
      <c r="J265" s="18">
        <v>9929271.1899999995</v>
      </c>
      <c r="K265" s="15">
        <v>9825610</v>
      </c>
      <c r="L265" s="13" t="s">
        <v>102</v>
      </c>
      <c r="M265" s="13" t="s">
        <v>103</v>
      </c>
      <c r="N265" s="138" t="s">
        <v>340</v>
      </c>
      <c r="O265" s="138" t="s">
        <v>340</v>
      </c>
      <c r="P265" s="28">
        <v>26</v>
      </c>
      <c r="Q265" s="13" t="s">
        <v>54</v>
      </c>
      <c r="R265" s="13" t="s">
        <v>28</v>
      </c>
      <c r="S265" s="13"/>
      <c r="T265" s="13"/>
      <c r="U265" s="13" t="s">
        <v>1062</v>
      </c>
      <c r="V265" s="13" t="s">
        <v>1062</v>
      </c>
      <c r="W265" s="59">
        <f>+J265/$W$2</f>
        <v>1.6250318647228454E-4</v>
      </c>
    </row>
    <row r="266" spans="1:29">
      <c r="A266" s="13" t="s">
        <v>722</v>
      </c>
      <c r="B266" s="13" t="s">
        <v>404</v>
      </c>
      <c r="C266" s="138">
        <v>46269</v>
      </c>
      <c r="D266" s="138" t="s">
        <v>424</v>
      </c>
      <c r="E266" s="28">
        <v>0.98915991000000003</v>
      </c>
      <c r="F266" s="13"/>
      <c r="G266" s="18">
        <v>15166667</v>
      </c>
      <c r="H266" s="18">
        <v>15002258.949999999</v>
      </c>
      <c r="I266" s="18">
        <v>15166667</v>
      </c>
      <c r="J266" s="18">
        <v>15002258.949999999</v>
      </c>
      <c r="K266" s="15">
        <v>90020551</v>
      </c>
      <c r="L266" s="13" t="s">
        <v>102</v>
      </c>
      <c r="M266" s="13" t="s">
        <v>103</v>
      </c>
      <c r="N266" s="138" t="s">
        <v>309</v>
      </c>
      <c r="O266" s="138" t="s">
        <v>309</v>
      </c>
      <c r="P266" s="28">
        <v>40</v>
      </c>
      <c r="Q266" s="13" t="s">
        <v>54</v>
      </c>
      <c r="R266" s="13" t="s">
        <v>28</v>
      </c>
      <c r="S266" s="13"/>
      <c r="T266" s="13"/>
      <c r="U266" s="13" t="s">
        <v>719</v>
      </c>
      <c r="V266" s="13" t="s">
        <v>719</v>
      </c>
      <c r="W266" s="59">
        <f>+J266/$W$2</f>
        <v>2.4552807925244609E-4</v>
      </c>
    </row>
    <row r="267" spans="1:29">
      <c r="A267" s="13" t="s">
        <v>763</v>
      </c>
      <c r="B267" s="13" t="s">
        <v>404</v>
      </c>
      <c r="C267" s="138">
        <v>46269</v>
      </c>
      <c r="D267" s="138" t="s">
        <v>424</v>
      </c>
      <c r="E267" s="28">
        <v>0.99023335000000001</v>
      </c>
      <c r="F267" s="13"/>
      <c r="G267" s="18">
        <v>6000000</v>
      </c>
      <c r="H267" s="18">
        <v>5941400.0800000001</v>
      </c>
      <c r="I267" s="18">
        <v>6000000</v>
      </c>
      <c r="J267" s="18">
        <v>5941400.0800000001</v>
      </c>
      <c r="K267" s="15">
        <v>160</v>
      </c>
      <c r="L267" s="13" t="s">
        <v>102</v>
      </c>
      <c r="M267" s="13" t="s">
        <v>103</v>
      </c>
      <c r="N267" s="138" t="s">
        <v>353</v>
      </c>
      <c r="O267" s="138" t="s">
        <v>353</v>
      </c>
      <c r="P267" s="28">
        <v>36</v>
      </c>
      <c r="Q267" s="13" t="s">
        <v>54</v>
      </c>
      <c r="R267" s="13" t="s">
        <v>28</v>
      </c>
      <c r="S267" s="13"/>
      <c r="T267" s="13"/>
      <c r="U267" s="13" t="s">
        <v>993</v>
      </c>
      <c r="V267" s="13" t="s">
        <v>993</v>
      </c>
      <c r="W267" s="59">
        <f>+J267/$W$2</f>
        <v>9.72373930202511E-5</v>
      </c>
    </row>
    <row r="268" spans="1:29">
      <c r="A268" s="13" t="s">
        <v>805</v>
      </c>
      <c r="B268" s="13" t="s">
        <v>404</v>
      </c>
      <c r="C268" s="138">
        <v>46269</v>
      </c>
      <c r="D268" s="138" t="s">
        <v>424</v>
      </c>
      <c r="E268" s="28">
        <v>0.99023333999999996</v>
      </c>
      <c r="F268" s="13"/>
      <c r="G268" s="18">
        <v>2067824.35</v>
      </c>
      <c r="H268" s="18">
        <v>2047628.61</v>
      </c>
      <c r="I268" s="18">
        <v>2067824.35</v>
      </c>
      <c r="J268" s="18">
        <v>2047628.61</v>
      </c>
      <c r="K268" s="15">
        <v>2202</v>
      </c>
      <c r="L268" s="13" t="s">
        <v>102</v>
      </c>
      <c r="M268" s="13" t="s">
        <v>103</v>
      </c>
      <c r="N268" s="138" t="s">
        <v>391</v>
      </c>
      <c r="O268" s="138" t="s">
        <v>391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807</v>
      </c>
      <c r="V268" s="13" t="s">
        <v>807</v>
      </c>
      <c r="W268" s="59">
        <f>+J268/$W$2</f>
        <v>3.3511641234245998E-5</v>
      </c>
    </row>
    <row r="269" spans="1:29">
      <c r="A269" s="13" t="s">
        <v>537</v>
      </c>
      <c r="B269" s="13" t="s">
        <v>404</v>
      </c>
      <c r="C269" s="138">
        <v>46269</v>
      </c>
      <c r="D269" s="138" t="s">
        <v>424</v>
      </c>
      <c r="E269" s="28">
        <v>0.99346763999999999</v>
      </c>
      <c r="F269" s="13"/>
      <c r="G269" s="18">
        <v>10000000</v>
      </c>
      <c r="H269" s="18">
        <v>9934676.3800000008</v>
      </c>
      <c r="I269" s="18">
        <v>10000000</v>
      </c>
      <c r="J269" s="18">
        <v>9934676.3800000008</v>
      </c>
      <c r="K269" s="15">
        <v>4541</v>
      </c>
      <c r="L269" s="13" t="s">
        <v>102</v>
      </c>
      <c r="M269" s="13" t="s">
        <v>103</v>
      </c>
      <c r="N269" s="138" t="s">
        <v>339</v>
      </c>
      <c r="O269" s="138" t="s">
        <v>339</v>
      </c>
      <c r="P269" s="28">
        <v>24</v>
      </c>
      <c r="Q269" s="13" t="s">
        <v>54</v>
      </c>
      <c r="R269" s="13" t="s">
        <v>28</v>
      </c>
      <c r="S269" s="13"/>
      <c r="T269" s="13"/>
      <c r="U269" s="13" t="s">
        <v>1547</v>
      </c>
      <c r="V269" s="13" t="s">
        <v>1547</v>
      </c>
      <c r="W269" s="59">
        <f>+J269/$W$2</f>
        <v>1.6259164821148781E-4</v>
      </c>
    </row>
    <row r="270" spans="1:29">
      <c r="A270" s="13" t="s">
        <v>537</v>
      </c>
      <c r="B270" s="13" t="s">
        <v>404</v>
      </c>
      <c r="C270" s="138">
        <v>46269</v>
      </c>
      <c r="D270" s="138" t="s">
        <v>424</v>
      </c>
      <c r="E270" s="28">
        <v>0.99184782999999999</v>
      </c>
      <c r="F270" s="13"/>
      <c r="G270" s="18">
        <v>5000000</v>
      </c>
      <c r="H270" s="18">
        <v>4959239.16</v>
      </c>
      <c r="I270" s="18">
        <v>5000000</v>
      </c>
      <c r="J270" s="18">
        <v>4959239.16</v>
      </c>
      <c r="K270" s="15">
        <v>58</v>
      </c>
      <c r="L270" s="13" t="s">
        <v>102</v>
      </c>
      <c r="M270" s="13" t="s">
        <v>103</v>
      </c>
      <c r="N270" s="138" t="s">
        <v>303</v>
      </c>
      <c r="O270" s="138" t="s">
        <v>303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677</v>
      </c>
      <c r="V270" s="13" t="s">
        <v>677</v>
      </c>
      <c r="W270" s="59">
        <f>+J270/$W$2</f>
        <v>8.1163274781916373E-5</v>
      </c>
    </row>
    <row r="271" spans="1:29">
      <c r="A271" s="13" t="s">
        <v>1094</v>
      </c>
      <c r="B271" s="13" t="s">
        <v>404</v>
      </c>
      <c r="C271" s="138">
        <v>46269</v>
      </c>
      <c r="D271" s="138" t="s">
        <v>424</v>
      </c>
      <c r="E271" s="28">
        <v>0.99184788999999995</v>
      </c>
      <c r="F271" s="13"/>
      <c r="G271" s="18">
        <v>17883558</v>
      </c>
      <c r="H271" s="18">
        <v>17737769.260000002</v>
      </c>
      <c r="I271" s="18">
        <v>17883558</v>
      </c>
      <c r="J271" s="18">
        <v>17737769.260000002</v>
      </c>
      <c r="K271" s="15">
        <v>90044459</v>
      </c>
      <c r="L271" s="13" t="s">
        <v>102</v>
      </c>
      <c r="M271" s="13" t="s">
        <v>103</v>
      </c>
      <c r="N271" s="138" t="s">
        <v>387</v>
      </c>
      <c r="O271" s="138" t="s">
        <v>387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1703</v>
      </c>
      <c r="V271" s="13" t="s">
        <v>1703</v>
      </c>
      <c r="W271" s="59">
        <f>+J271/$W$2</f>
        <v>2.9029764325131063E-4</v>
      </c>
      <c r="AC271" s="56"/>
    </row>
    <row r="272" spans="1:29">
      <c r="A272" s="13" t="s">
        <v>405</v>
      </c>
      <c r="B272" s="13" t="s">
        <v>404</v>
      </c>
      <c r="C272" s="138">
        <v>46269</v>
      </c>
      <c r="D272" s="138" t="s">
        <v>424</v>
      </c>
      <c r="E272" s="28">
        <v>0.99130912999999998</v>
      </c>
      <c r="F272" s="13"/>
      <c r="G272" s="18">
        <v>2000000</v>
      </c>
      <c r="H272" s="18">
        <v>1982618.26</v>
      </c>
      <c r="I272" s="18">
        <v>2000000</v>
      </c>
      <c r="J272" s="18">
        <v>1982618.26</v>
      </c>
      <c r="K272" s="15">
        <v>1004</v>
      </c>
      <c r="L272" s="13" t="s">
        <v>102</v>
      </c>
      <c r="M272" s="13" t="s">
        <v>103</v>
      </c>
      <c r="N272" s="138" t="s">
        <v>345</v>
      </c>
      <c r="O272" s="138" t="s">
        <v>345</v>
      </c>
      <c r="P272" s="28">
        <v>32</v>
      </c>
      <c r="Q272" s="13" t="s">
        <v>54</v>
      </c>
      <c r="R272" s="13" t="s">
        <v>28</v>
      </c>
      <c r="S272" s="13"/>
      <c r="T272" s="13"/>
      <c r="U272" s="13" t="s">
        <v>2430</v>
      </c>
      <c r="V272" s="13" t="s">
        <v>2430</v>
      </c>
      <c r="W272" s="59">
        <f>+J272/$W$2</f>
        <v>3.2447677039238599E-5</v>
      </c>
    </row>
    <row r="273" spans="1:23">
      <c r="A273" s="13" t="s">
        <v>410</v>
      </c>
      <c r="B273" s="13" t="s">
        <v>404</v>
      </c>
      <c r="C273" s="138">
        <v>46269</v>
      </c>
      <c r="D273" s="138" t="s">
        <v>424</v>
      </c>
      <c r="E273" s="28">
        <v>0.98969633999999995</v>
      </c>
      <c r="F273" s="13"/>
      <c r="G273" s="18">
        <v>42000000</v>
      </c>
      <c r="H273" s="18">
        <v>41567246.259999998</v>
      </c>
      <c r="I273" s="18">
        <v>42000000</v>
      </c>
      <c r="J273" s="18">
        <v>41567246.259999998</v>
      </c>
      <c r="K273" s="15">
        <v>155473</v>
      </c>
      <c r="L273" s="13" t="s">
        <v>102</v>
      </c>
      <c r="M273" s="13" t="s">
        <v>103</v>
      </c>
      <c r="N273" s="138" t="s">
        <v>355</v>
      </c>
      <c r="O273" s="138" t="s">
        <v>355</v>
      </c>
      <c r="P273" s="28">
        <v>38</v>
      </c>
      <c r="Q273" s="13" t="s">
        <v>54</v>
      </c>
      <c r="R273" s="13" t="s">
        <v>28</v>
      </c>
      <c r="S273" s="13"/>
      <c r="T273" s="13"/>
      <c r="U273" s="13" t="s">
        <v>1190</v>
      </c>
      <c r="V273" s="13" t="s">
        <v>1190</v>
      </c>
      <c r="W273" s="59">
        <f>+J273/$W$2</f>
        <v>6.8029262580027812E-4</v>
      </c>
    </row>
    <row r="274" spans="1:23">
      <c r="A274" s="13" t="s">
        <v>285</v>
      </c>
      <c r="B274" s="13" t="s">
        <v>404</v>
      </c>
      <c r="C274" s="138">
        <v>46269</v>
      </c>
      <c r="D274" s="138" t="s">
        <v>424</v>
      </c>
      <c r="E274" s="28">
        <v>0.99211742999999997</v>
      </c>
      <c r="F274" s="13"/>
      <c r="G274" s="18">
        <v>10000000</v>
      </c>
      <c r="H274" s="18">
        <v>9921174.2899999991</v>
      </c>
      <c r="I274" s="18">
        <v>10000000</v>
      </c>
      <c r="J274" s="18">
        <v>9921174.2899999991</v>
      </c>
      <c r="K274" s="15">
        <v>66613066</v>
      </c>
      <c r="L274" s="13" t="s">
        <v>102</v>
      </c>
      <c r="M274" s="13" t="s">
        <v>103</v>
      </c>
      <c r="N274" s="138" t="s">
        <v>303</v>
      </c>
      <c r="O274" s="138" t="s">
        <v>303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685</v>
      </c>
      <c r="V274" s="13" t="s">
        <v>685</v>
      </c>
      <c r="W274" s="59">
        <f>+J274/$W$2</f>
        <v>1.6237067200819449E-4</v>
      </c>
    </row>
    <row r="275" spans="1:23">
      <c r="A275" s="13" t="s">
        <v>565</v>
      </c>
      <c r="B275" s="13" t="s">
        <v>404</v>
      </c>
      <c r="C275" s="138">
        <v>46269</v>
      </c>
      <c r="D275" s="138" t="s">
        <v>424</v>
      </c>
      <c r="E275" s="28">
        <v>0.99346763999999999</v>
      </c>
      <c r="F275" s="13"/>
      <c r="G275" s="18">
        <v>30000000</v>
      </c>
      <c r="H275" s="18">
        <v>29804029.140000001</v>
      </c>
      <c r="I275" s="18">
        <v>30000000</v>
      </c>
      <c r="J275" s="18">
        <v>29804029.140000001</v>
      </c>
      <c r="K275" s="15">
        <v>68395887</v>
      </c>
      <c r="L275" s="13" t="s">
        <v>102</v>
      </c>
      <c r="M275" s="13" t="s">
        <v>103</v>
      </c>
      <c r="N275" s="138" t="s">
        <v>339</v>
      </c>
      <c r="O275" s="138" t="s">
        <v>339</v>
      </c>
      <c r="P275" s="28">
        <v>24</v>
      </c>
      <c r="Q275" s="13" t="s">
        <v>54</v>
      </c>
      <c r="R275" s="13" t="s">
        <v>28</v>
      </c>
      <c r="S275" s="13"/>
      <c r="T275" s="13"/>
      <c r="U275" s="13" t="s">
        <v>1583</v>
      </c>
      <c r="V275" s="13" t="s">
        <v>1583</v>
      </c>
      <c r="W275" s="59">
        <f>+J275/$W$2</f>
        <v>4.8777494463446338E-4</v>
      </c>
    </row>
    <row r="276" spans="1:23">
      <c r="A276" s="13" t="s">
        <v>565</v>
      </c>
      <c r="B276" s="13" t="s">
        <v>404</v>
      </c>
      <c r="C276" s="138">
        <v>46269</v>
      </c>
      <c r="D276" s="138" t="s">
        <v>424</v>
      </c>
      <c r="E276" s="28">
        <v>0.99373811999999995</v>
      </c>
      <c r="F276" s="13"/>
      <c r="G276" s="18">
        <v>3750000</v>
      </c>
      <c r="H276" s="18">
        <v>3726517.96</v>
      </c>
      <c r="I276" s="18">
        <v>3750000</v>
      </c>
      <c r="J276" s="18">
        <v>3726517.96</v>
      </c>
      <c r="K276" s="15">
        <v>90022852</v>
      </c>
      <c r="L276" s="13" t="s">
        <v>102</v>
      </c>
      <c r="M276" s="13" t="s">
        <v>103</v>
      </c>
      <c r="N276" s="138" t="s">
        <v>161</v>
      </c>
      <c r="O276" s="138" t="s">
        <v>161</v>
      </c>
      <c r="P276" s="28">
        <v>23</v>
      </c>
      <c r="Q276" s="13" t="s">
        <v>54</v>
      </c>
      <c r="R276" s="13" t="s">
        <v>28</v>
      </c>
      <c r="S276" s="13"/>
      <c r="T276" s="13"/>
      <c r="U276" s="13" t="s">
        <v>1676</v>
      </c>
      <c r="V276" s="13" t="s">
        <v>1676</v>
      </c>
      <c r="W276" s="59">
        <f>+J276/$W$2</f>
        <v>6.0988468474512214E-5</v>
      </c>
    </row>
    <row r="277" spans="1:23">
      <c r="A277" s="13" t="s">
        <v>285</v>
      </c>
      <c r="B277" s="13" t="s">
        <v>404</v>
      </c>
      <c r="C277" s="138">
        <v>46269</v>
      </c>
      <c r="D277" s="138" t="s">
        <v>424</v>
      </c>
      <c r="E277" s="28">
        <v>0.99319729999999995</v>
      </c>
      <c r="F277" s="13"/>
      <c r="G277" s="18">
        <v>5000000</v>
      </c>
      <c r="H277" s="18">
        <v>4965986.5</v>
      </c>
      <c r="I277" s="18">
        <v>5000000</v>
      </c>
      <c r="J277" s="18">
        <v>4965986.5</v>
      </c>
      <c r="K277" s="15">
        <v>68370641</v>
      </c>
      <c r="L277" s="13" t="s">
        <v>102</v>
      </c>
      <c r="M277" s="13" t="s">
        <v>103</v>
      </c>
      <c r="N277" s="138" t="s">
        <v>383</v>
      </c>
      <c r="O277" s="138" t="s">
        <v>383</v>
      </c>
      <c r="P277" s="28">
        <v>25</v>
      </c>
      <c r="Q277" s="13" t="s">
        <v>54</v>
      </c>
      <c r="R277" s="13" t="s">
        <v>28</v>
      </c>
      <c r="S277" s="13"/>
      <c r="T277" s="13"/>
      <c r="U277" s="13" t="s">
        <v>1608</v>
      </c>
      <c r="V277" s="13" t="s">
        <v>1608</v>
      </c>
      <c r="W277" s="59">
        <f>+J277/$W$2</f>
        <v>8.1273702247259061E-5</v>
      </c>
    </row>
    <row r="278" spans="1:23">
      <c r="A278" s="13" t="s">
        <v>285</v>
      </c>
      <c r="B278" s="13" t="s">
        <v>404</v>
      </c>
      <c r="C278" s="138">
        <v>46269</v>
      </c>
      <c r="D278" s="138" t="s">
        <v>424</v>
      </c>
      <c r="E278" s="28">
        <v>0.99319729999999995</v>
      </c>
      <c r="F278" s="13"/>
      <c r="G278" s="18">
        <v>5000000</v>
      </c>
      <c r="H278" s="18">
        <v>4965986.5</v>
      </c>
      <c r="I278" s="18">
        <v>5000000</v>
      </c>
      <c r="J278" s="18">
        <v>4965986.5</v>
      </c>
      <c r="K278" s="15">
        <v>68370642</v>
      </c>
      <c r="L278" s="13" t="s">
        <v>102</v>
      </c>
      <c r="M278" s="13" t="s">
        <v>103</v>
      </c>
      <c r="N278" s="138" t="s">
        <v>383</v>
      </c>
      <c r="O278" s="138" t="s">
        <v>383</v>
      </c>
      <c r="P278" s="28">
        <v>25</v>
      </c>
      <c r="Q278" s="13" t="s">
        <v>54</v>
      </c>
      <c r="R278" s="13" t="s">
        <v>28</v>
      </c>
      <c r="S278" s="13"/>
      <c r="T278" s="13"/>
      <c r="U278" s="13" t="s">
        <v>1615</v>
      </c>
      <c r="V278" s="13" t="s">
        <v>1615</v>
      </c>
      <c r="W278" s="59">
        <f>+J278/$W$2</f>
        <v>8.1273702247259061E-5</v>
      </c>
    </row>
    <row r="279" spans="1:23">
      <c r="A279" s="13" t="s">
        <v>405</v>
      </c>
      <c r="B279" s="13" t="s">
        <v>404</v>
      </c>
      <c r="C279" s="138">
        <v>46269</v>
      </c>
      <c r="D279" s="138" t="s">
        <v>424</v>
      </c>
      <c r="E279" s="28">
        <v>0.99184786999999996</v>
      </c>
      <c r="F279" s="13"/>
      <c r="G279" s="18">
        <v>5000000</v>
      </c>
      <c r="H279" s="18">
        <v>4959239.3499999996</v>
      </c>
      <c r="I279" s="18">
        <v>5000000</v>
      </c>
      <c r="J279" s="18">
        <v>4959239.3499999996</v>
      </c>
      <c r="K279" s="15">
        <v>786</v>
      </c>
      <c r="L279" s="13" t="s">
        <v>102</v>
      </c>
      <c r="M279" s="13" t="s">
        <v>103</v>
      </c>
      <c r="N279" s="138" t="s">
        <v>421</v>
      </c>
      <c r="O279" s="138" t="s">
        <v>421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1397</v>
      </c>
      <c r="V279" s="13" t="s">
        <v>1397</v>
      </c>
      <c r="W279" s="59">
        <f>+J279/$W$2</f>
        <v>8.116327789147041E-5</v>
      </c>
    </row>
    <row r="280" spans="1:23">
      <c r="A280" s="13" t="s">
        <v>405</v>
      </c>
      <c r="B280" s="13" t="s">
        <v>404</v>
      </c>
      <c r="C280" s="138">
        <v>46269</v>
      </c>
      <c r="D280" s="138" t="s">
        <v>424</v>
      </c>
      <c r="E280" s="28">
        <v>0.99184788000000002</v>
      </c>
      <c r="F280" s="13"/>
      <c r="G280" s="18">
        <v>3300000</v>
      </c>
      <c r="H280" s="18">
        <v>3273098</v>
      </c>
      <c r="I280" s="18">
        <v>3300000</v>
      </c>
      <c r="J280" s="18">
        <v>3273098</v>
      </c>
      <c r="K280" s="15">
        <v>918</v>
      </c>
      <c r="L280" s="13" t="s">
        <v>102</v>
      </c>
      <c r="M280" s="13" t="s">
        <v>103</v>
      </c>
      <c r="N280" s="138" t="s">
        <v>422</v>
      </c>
      <c r="O280" s="138" t="s">
        <v>422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2245</v>
      </c>
      <c r="V280" s="13" t="s">
        <v>2245</v>
      </c>
      <c r="W280" s="59">
        <f>+J280/$W$2</f>
        <v>5.356776388298662E-5</v>
      </c>
    </row>
    <row r="281" spans="1:23">
      <c r="A281" s="13" t="s">
        <v>1906</v>
      </c>
      <c r="B281" s="13" t="s">
        <v>1907</v>
      </c>
      <c r="C281" s="138">
        <v>46269</v>
      </c>
      <c r="D281" s="138" t="s">
        <v>424</v>
      </c>
      <c r="E281" s="28">
        <v>0.99590723000000003</v>
      </c>
      <c r="F281" s="13" t="s">
        <v>2579</v>
      </c>
      <c r="G281" s="18">
        <v>51835.26</v>
      </c>
      <c r="H281" s="18">
        <v>51623.11</v>
      </c>
      <c r="I281" s="18">
        <v>79307944.310000002</v>
      </c>
      <c r="J281" s="18">
        <v>78983354.819999993</v>
      </c>
      <c r="K281" s="15">
        <v>65</v>
      </c>
      <c r="L281" s="13" t="s">
        <v>102</v>
      </c>
      <c r="M281" s="13" t="s">
        <v>103</v>
      </c>
      <c r="N281" s="138" t="s">
        <v>342</v>
      </c>
      <c r="O281" s="138" t="s">
        <v>342</v>
      </c>
      <c r="P281" s="28">
        <v>15</v>
      </c>
      <c r="Q281" s="13" t="s">
        <v>54</v>
      </c>
      <c r="R281" s="13" t="s">
        <v>28</v>
      </c>
      <c r="S281" s="13"/>
      <c r="T281" s="13"/>
      <c r="U281" s="13" t="s">
        <v>2413</v>
      </c>
      <c r="V281" s="13" t="s">
        <v>2413</v>
      </c>
      <c r="W281" s="59">
        <f>+J281/$W$2</f>
        <v>1.2926474250645453E-3</v>
      </c>
    </row>
    <row r="282" spans="1:23">
      <c r="A282" s="13" t="s">
        <v>1167</v>
      </c>
      <c r="B282" s="13" t="s">
        <v>404</v>
      </c>
      <c r="C282" s="138">
        <v>46269</v>
      </c>
      <c r="D282" s="138" t="s">
        <v>424</v>
      </c>
      <c r="E282" s="28">
        <v>0.99252211999999995</v>
      </c>
      <c r="F282" s="13"/>
      <c r="G282" s="18">
        <v>25000000</v>
      </c>
      <c r="H282" s="18">
        <v>24813052.989999998</v>
      </c>
      <c r="I282" s="18">
        <v>25000000</v>
      </c>
      <c r="J282" s="18">
        <v>24813052.989999998</v>
      </c>
      <c r="K282" s="15">
        <v>318</v>
      </c>
      <c r="L282" s="13" t="s">
        <v>102</v>
      </c>
      <c r="M282" s="13" t="s">
        <v>103</v>
      </c>
      <c r="N282" s="138" t="s">
        <v>419</v>
      </c>
      <c r="O282" s="138" t="s">
        <v>419</v>
      </c>
      <c r="P282" s="28">
        <v>27.5</v>
      </c>
      <c r="Q282" s="13" t="s">
        <v>54</v>
      </c>
      <c r="R282" s="13" t="s">
        <v>28</v>
      </c>
      <c r="S282" s="13"/>
      <c r="T282" s="13"/>
      <c r="U282" s="13" t="s">
        <v>1260</v>
      </c>
      <c r="V282" s="13" t="s">
        <v>1260</v>
      </c>
      <c r="W282" s="59">
        <f>+J282/$W$2</f>
        <v>4.0609225992755337E-4</v>
      </c>
    </row>
    <row r="283" spans="1:23">
      <c r="A283" s="13" t="s">
        <v>1428</v>
      </c>
      <c r="B283" s="13" t="s">
        <v>404</v>
      </c>
      <c r="C283" s="138">
        <v>46269</v>
      </c>
      <c r="D283" s="138" t="s">
        <v>424</v>
      </c>
      <c r="E283" s="28">
        <v>0.99130912000000004</v>
      </c>
      <c r="F283" s="13"/>
      <c r="G283" s="18">
        <v>1200000</v>
      </c>
      <c r="H283" s="18">
        <v>1189570.94</v>
      </c>
      <c r="I283" s="18">
        <v>1200000</v>
      </c>
      <c r="J283" s="18">
        <v>1189570.94</v>
      </c>
      <c r="K283" s="15">
        <v>10333908</v>
      </c>
      <c r="L283" s="13" t="s">
        <v>102</v>
      </c>
      <c r="M283" s="13" t="s">
        <v>103</v>
      </c>
      <c r="N283" s="138" t="s">
        <v>421</v>
      </c>
      <c r="O283" s="138" t="s">
        <v>421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1378</v>
      </c>
      <c r="V283" s="13" t="s">
        <v>1378</v>
      </c>
      <c r="W283" s="59">
        <f>+J283/$W$2</f>
        <v>1.9468605961685974E-5</v>
      </c>
    </row>
    <row r="284" spans="1:23">
      <c r="A284" s="13" t="s">
        <v>413</v>
      </c>
      <c r="B284" s="13" t="s">
        <v>404</v>
      </c>
      <c r="C284" s="138">
        <v>46269</v>
      </c>
      <c r="D284" s="138" t="s">
        <v>424</v>
      </c>
      <c r="E284" s="28">
        <v>0.99103993000000001</v>
      </c>
      <c r="F284" s="13"/>
      <c r="G284" s="18">
        <v>16005575.68</v>
      </c>
      <c r="H284" s="18">
        <v>15862164.65</v>
      </c>
      <c r="I284" s="18">
        <v>16005575.68</v>
      </c>
      <c r="J284" s="18">
        <v>15862164.65</v>
      </c>
      <c r="K284" s="15">
        <v>30713</v>
      </c>
      <c r="L284" s="13" t="s">
        <v>102</v>
      </c>
      <c r="M284" s="13" t="s">
        <v>103</v>
      </c>
      <c r="N284" s="138" t="s">
        <v>391</v>
      </c>
      <c r="O284" s="138" t="s">
        <v>391</v>
      </c>
      <c r="P284" s="28">
        <v>33</v>
      </c>
      <c r="Q284" s="13" t="s">
        <v>54</v>
      </c>
      <c r="R284" s="13" t="s">
        <v>28</v>
      </c>
      <c r="S284" s="13"/>
      <c r="T284" s="13"/>
      <c r="U284" s="13" t="s">
        <v>797</v>
      </c>
      <c r="V284" s="13" t="s">
        <v>797</v>
      </c>
      <c r="W284" s="59">
        <f>+J284/$W$2</f>
        <v>2.5960135952063064E-4</v>
      </c>
    </row>
    <row r="285" spans="1:23">
      <c r="A285" s="13" t="s">
        <v>2368</v>
      </c>
      <c r="B285" s="13" t="s">
        <v>404</v>
      </c>
      <c r="C285" s="138">
        <v>46269</v>
      </c>
      <c r="D285" s="138" t="s">
        <v>424</v>
      </c>
      <c r="E285" s="28">
        <v>0.99103995</v>
      </c>
      <c r="F285" s="13"/>
      <c r="G285" s="18">
        <v>16968117.52</v>
      </c>
      <c r="H285" s="18">
        <v>16816082.359999999</v>
      </c>
      <c r="I285" s="18">
        <v>16968117.52</v>
      </c>
      <c r="J285" s="18">
        <v>16816082.359999999</v>
      </c>
      <c r="K285" s="15">
        <v>10559504</v>
      </c>
      <c r="L285" s="13" t="s">
        <v>102</v>
      </c>
      <c r="M285" s="13" t="s">
        <v>103</v>
      </c>
      <c r="N285" s="138" t="s">
        <v>342</v>
      </c>
      <c r="O285" s="138" t="s">
        <v>342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2369</v>
      </c>
      <c r="V285" s="13" t="s">
        <v>2369</v>
      </c>
      <c r="W285" s="59">
        <f>+J285/$W$2</f>
        <v>2.7521324729578412E-4</v>
      </c>
    </row>
    <row r="286" spans="1:23">
      <c r="A286" s="13" t="s">
        <v>409</v>
      </c>
      <c r="B286" s="13" t="s">
        <v>404</v>
      </c>
      <c r="C286" s="138">
        <v>46269</v>
      </c>
      <c r="D286" s="138" t="s">
        <v>424</v>
      </c>
      <c r="E286" s="28">
        <v>0.99050205000000002</v>
      </c>
      <c r="F286" s="13"/>
      <c r="G286" s="18">
        <v>16600000</v>
      </c>
      <c r="H286" s="18">
        <v>16442334.109999999</v>
      </c>
      <c r="I286" s="18">
        <v>16600000</v>
      </c>
      <c r="J286" s="18">
        <v>16442334.109999999</v>
      </c>
      <c r="K286" s="15">
        <v>29088027</v>
      </c>
      <c r="L286" s="13" t="s">
        <v>102</v>
      </c>
      <c r="M286" s="13" t="s">
        <v>103</v>
      </c>
      <c r="N286" s="138" t="s">
        <v>148</v>
      </c>
      <c r="O286" s="138" t="s">
        <v>148</v>
      </c>
      <c r="P286" s="28">
        <v>35</v>
      </c>
      <c r="Q286" s="13" t="s">
        <v>54</v>
      </c>
      <c r="R286" s="13" t="s">
        <v>28</v>
      </c>
      <c r="S286" s="13"/>
      <c r="T286" s="13"/>
      <c r="U286" s="13" t="s">
        <v>443</v>
      </c>
      <c r="V286" s="13" t="s">
        <v>443</v>
      </c>
      <c r="W286" s="59">
        <f>+J286/$W$2</f>
        <v>2.6909645580109638E-4</v>
      </c>
    </row>
    <row r="287" spans="1:23">
      <c r="A287" s="13" t="s">
        <v>1353</v>
      </c>
      <c r="B287" s="13" t="s">
        <v>404</v>
      </c>
      <c r="C287" s="138">
        <v>46269</v>
      </c>
      <c r="D287" s="138" t="s">
        <v>424</v>
      </c>
      <c r="E287" s="28">
        <v>0.99184784999999998</v>
      </c>
      <c r="F287" s="13"/>
      <c r="G287" s="18">
        <v>5578790</v>
      </c>
      <c r="H287" s="18">
        <v>5533310.8700000001</v>
      </c>
      <c r="I287" s="18">
        <v>5578790</v>
      </c>
      <c r="J287" s="18">
        <v>5533310.8700000001</v>
      </c>
      <c r="K287" s="15">
        <v>22</v>
      </c>
      <c r="L287" s="13" t="s">
        <v>102</v>
      </c>
      <c r="M287" s="13" t="s">
        <v>103</v>
      </c>
      <c r="N287" s="138" t="s">
        <v>601</v>
      </c>
      <c r="O287" s="138" t="s">
        <v>601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1347</v>
      </c>
      <c r="V287" s="13" t="s">
        <v>1347</v>
      </c>
      <c r="W287" s="59">
        <f>+J287/$W$2</f>
        <v>9.055857483501052E-5</v>
      </c>
    </row>
    <row r="288" spans="1:23">
      <c r="A288" s="13" t="s">
        <v>1460</v>
      </c>
      <c r="B288" s="13" t="s">
        <v>404</v>
      </c>
      <c r="C288" s="138">
        <v>46269</v>
      </c>
      <c r="D288" s="138" t="s">
        <v>424</v>
      </c>
      <c r="E288" s="28">
        <v>0.99184786000000003</v>
      </c>
      <c r="F288" s="13"/>
      <c r="G288" s="18">
        <v>1579236</v>
      </c>
      <c r="H288" s="18">
        <v>1566361.84</v>
      </c>
      <c r="I288" s="18">
        <v>1579236</v>
      </c>
      <c r="J288" s="18">
        <v>1566361.84</v>
      </c>
      <c r="K288" s="15">
        <v>1555</v>
      </c>
      <c r="L288" s="13" t="s">
        <v>102</v>
      </c>
      <c r="M288" s="13" t="s">
        <v>103</v>
      </c>
      <c r="N288" s="138" t="s">
        <v>383</v>
      </c>
      <c r="O288" s="138" t="s">
        <v>383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1658</v>
      </c>
      <c r="V288" s="13" t="s">
        <v>1658</v>
      </c>
      <c r="W288" s="59">
        <f>+J288/$W$2</f>
        <v>2.5635193691249232E-5</v>
      </c>
    </row>
    <row r="289" spans="1:29">
      <c r="A289" s="13" t="s">
        <v>135</v>
      </c>
      <c r="B289" s="13" t="s">
        <v>404</v>
      </c>
      <c r="C289" s="138">
        <v>46272</v>
      </c>
      <c r="D289" s="138" t="s">
        <v>424</v>
      </c>
      <c r="E289" s="28">
        <v>0.98803534999999998</v>
      </c>
      <c r="F289" s="13"/>
      <c r="G289" s="18">
        <v>100000000</v>
      </c>
      <c r="H289" s="18">
        <v>98803534.930000007</v>
      </c>
      <c r="I289" s="18">
        <v>100000000</v>
      </c>
      <c r="J289" s="18">
        <v>98803534.930000007</v>
      </c>
      <c r="K289" s="15">
        <v>769</v>
      </c>
      <c r="L289" s="13" t="s">
        <v>102</v>
      </c>
      <c r="M289" s="13" t="s">
        <v>103</v>
      </c>
      <c r="N289" s="138" t="s">
        <v>383</v>
      </c>
      <c r="O289" s="138" t="s">
        <v>383</v>
      </c>
      <c r="P289" s="28">
        <v>34</v>
      </c>
      <c r="Q289" s="13" t="s">
        <v>54</v>
      </c>
      <c r="R289" s="13" t="s">
        <v>28</v>
      </c>
      <c r="S289" s="13"/>
      <c r="T289" s="13"/>
      <c r="U289" s="13" t="s">
        <v>1641</v>
      </c>
      <c r="V289" s="13" t="s">
        <v>1641</v>
      </c>
      <c r="W289" s="59">
        <f>+J289/$W$2</f>
        <v>1.6170259582617634E-3</v>
      </c>
    </row>
    <row r="290" spans="1:29">
      <c r="A290" s="13" t="s">
        <v>518</v>
      </c>
      <c r="B290" s="13" t="s">
        <v>404</v>
      </c>
      <c r="C290" s="138">
        <v>46272</v>
      </c>
      <c r="D290" s="138" t="s">
        <v>424</v>
      </c>
      <c r="E290" s="28">
        <v>0.98664651000000003</v>
      </c>
      <c r="F290" s="13"/>
      <c r="G290" s="18">
        <v>4957711.8099999996</v>
      </c>
      <c r="H290" s="18">
        <v>4891509.0599999996</v>
      </c>
      <c r="I290" s="18">
        <v>4957711.8099999996</v>
      </c>
      <c r="J290" s="18">
        <v>4891509.0599999996</v>
      </c>
      <c r="K290" s="15">
        <v>598</v>
      </c>
      <c r="L290" s="13" t="s">
        <v>102</v>
      </c>
      <c r="M290" s="13" t="s">
        <v>103</v>
      </c>
      <c r="N290" s="138" t="s">
        <v>313</v>
      </c>
      <c r="O290" s="138" t="s">
        <v>313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644</v>
      </c>
      <c r="V290" s="13" t="s">
        <v>644</v>
      </c>
      <c r="W290" s="59">
        <f>+J290/$W$2</f>
        <v>8.0054798957308884E-5</v>
      </c>
    </row>
    <row r="291" spans="1:29">
      <c r="A291" s="13" t="s">
        <v>566</v>
      </c>
      <c r="B291" s="13" t="s">
        <v>404</v>
      </c>
      <c r="C291" s="138">
        <v>46272</v>
      </c>
      <c r="D291" s="138" t="s">
        <v>424</v>
      </c>
      <c r="E291" s="28">
        <v>0.98838316999999998</v>
      </c>
      <c r="F291" s="13"/>
      <c r="G291" s="18">
        <v>175000000</v>
      </c>
      <c r="H291" s="18">
        <v>172967055.03</v>
      </c>
      <c r="I291" s="18">
        <v>175000000</v>
      </c>
      <c r="J291" s="18">
        <v>172967055.03</v>
      </c>
      <c r="K291" s="15">
        <v>70389146</v>
      </c>
      <c r="L291" s="13" t="s">
        <v>102</v>
      </c>
      <c r="M291" s="13" t="s">
        <v>103</v>
      </c>
      <c r="N291" s="138" t="s">
        <v>374</v>
      </c>
      <c r="O291" s="138" t="s">
        <v>374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1231</v>
      </c>
      <c r="V291" s="13" t="s">
        <v>1231</v>
      </c>
      <c r="W291" s="59">
        <f>+J291/$W$2</f>
        <v>2.8307916119170869E-3</v>
      </c>
    </row>
    <row r="292" spans="1:29">
      <c r="A292" s="13" t="s">
        <v>805</v>
      </c>
      <c r="B292" s="13" t="s">
        <v>404</v>
      </c>
      <c r="C292" s="138">
        <v>46272</v>
      </c>
      <c r="D292" s="138" t="s">
        <v>424</v>
      </c>
      <c r="E292" s="28">
        <v>0.98734043000000005</v>
      </c>
      <c r="F292" s="13"/>
      <c r="G292" s="18">
        <v>2067824.35</v>
      </c>
      <c r="H292" s="18">
        <v>2041646.59</v>
      </c>
      <c r="I292" s="18">
        <v>2067824.35</v>
      </c>
      <c r="J292" s="18">
        <v>2041646.59</v>
      </c>
      <c r="K292" s="15">
        <v>2203</v>
      </c>
      <c r="L292" s="13" t="s">
        <v>102</v>
      </c>
      <c r="M292" s="13" t="s">
        <v>103</v>
      </c>
      <c r="N292" s="138" t="s">
        <v>391</v>
      </c>
      <c r="O292" s="138" t="s">
        <v>391</v>
      </c>
      <c r="P292" s="28">
        <v>36</v>
      </c>
      <c r="Q292" s="13" t="s">
        <v>54</v>
      </c>
      <c r="R292" s="13" t="s">
        <v>28</v>
      </c>
      <c r="S292" s="13"/>
      <c r="T292" s="13"/>
      <c r="U292" s="13" t="s">
        <v>808</v>
      </c>
      <c r="V292" s="13" t="s">
        <v>808</v>
      </c>
      <c r="W292" s="59">
        <f>+J292/$W$2</f>
        <v>3.3413739052611563E-5</v>
      </c>
    </row>
    <row r="293" spans="1:29">
      <c r="A293" s="13" t="s">
        <v>537</v>
      </c>
      <c r="B293" s="13" t="s">
        <v>404</v>
      </c>
      <c r="C293" s="138">
        <v>46272</v>
      </c>
      <c r="D293" s="138" t="s">
        <v>424</v>
      </c>
      <c r="E293" s="28">
        <v>0.99152454999999995</v>
      </c>
      <c r="F293" s="13"/>
      <c r="G293" s="18">
        <v>10000000</v>
      </c>
      <c r="H293" s="18">
        <v>9915245.4800000004</v>
      </c>
      <c r="I293" s="18">
        <v>10000000</v>
      </c>
      <c r="J293" s="18">
        <v>9915245.4800000004</v>
      </c>
      <c r="K293" s="15">
        <v>4542</v>
      </c>
      <c r="L293" s="13" t="s">
        <v>102</v>
      </c>
      <c r="M293" s="13" t="s">
        <v>103</v>
      </c>
      <c r="N293" s="138" t="s">
        <v>339</v>
      </c>
      <c r="O293" s="138" t="s">
        <v>339</v>
      </c>
      <c r="P293" s="28">
        <v>24</v>
      </c>
      <c r="Q293" s="13" t="s">
        <v>54</v>
      </c>
      <c r="R293" s="13" t="s">
        <v>28</v>
      </c>
      <c r="S293" s="13"/>
      <c r="T293" s="13"/>
      <c r="U293" s="13" t="s">
        <v>1548</v>
      </c>
      <c r="V293" s="13" t="s">
        <v>1548</v>
      </c>
      <c r="W293" s="59">
        <f>+J293/$W$2</f>
        <v>1.6227364066535448E-4</v>
      </c>
    </row>
    <row r="294" spans="1:29">
      <c r="A294" s="13" t="s">
        <v>428</v>
      </c>
      <c r="B294" s="13" t="s">
        <v>404</v>
      </c>
      <c r="C294" s="138">
        <v>46272</v>
      </c>
      <c r="D294" s="138" t="s">
        <v>424</v>
      </c>
      <c r="E294" s="28">
        <v>0.98768772999999999</v>
      </c>
      <c r="F294" s="13"/>
      <c r="G294" s="18">
        <v>30000000</v>
      </c>
      <c r="H294" s="18">
        <v>29630631.920000002</v>
      </c>
      <c r="I294" s="18">
        <v>30000000</v>
      </c>
      <c r="J294" s="18">
        <v>29630631.920000002</v>
      </c>
      <c r="K294" s="15">
        <v>451</v>
      </c>
      <c r="L294" s="13" t="s">
        <v>102</v>
      </c>
      <c r="M294" s="13" t="s">
        <v>103</v>
      </c>
      <c r="N294" s="138" t="s">
        <v>351</v>
      </c>
      <c r="O294" s="138" t="s">
        <v>351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816</v>
      </c>
      <c r="V294" s="13" t="s">
        <v>816</v>
      </c>
      <c r="W294" s="59">
        <f>+J294/$W$2</f>
        <v>4.8493711291084063E-4</v>
      </c>
      <c r="AC294" s="56"/>
    </row>
    <row r="295" spans="1:29">
      <c r="A295" s="13" t="s">
        <v>517</v>
      </c>
      <c r="B295" s="13" t="s">
        <v>404</v>
      </c>
      <c r="C295" s="138">
        <v>46272</v>
      </c>
      <c r="D295" s="138" t="s">
        <v>424</v>
      </c>
      <c r="E295" s="28">
        <v>0.98907953999999998</v>
      </c>
      <c r="F295" s="13"/>
      <c r="G295" s="18">
        <v>10000000</v>
      </c>
      <c r="H295" s="18">
        <v>9890795.4000000004</v>
      </c>
      <c r="I295" s="18">
        <v>10000000</v>
      </c>
      <c r="J295" s="18">
        <v>9890795.4000000004</v>
      </c>
      <c r="K295" s="15">
        <v>14004250</v>
      </c>
      <c r="L295" s="13" t="s">
        <v>102</v>
      </c>
      <c r="M295" s="13" t="s">
        <v>103</v>
      </c>
      <c r="N295" s="138" t="s">
        <v>341</v>
      </c>
      <c r="O295" s="138" t="s">
        <v>341</v>
      </c>
      <c r="P295" s="28">
        <v>31</v>
      </c>
      <c r="Q295" s="13" t="s">
        <v>54</v>
      </c>
      <c r="R295" s="13" t="s">
        <v>28</v>
      </c>
      <c r="S295" s="13"/>
      <c r="T295" s="13"/>
      <c r="U295" s="13" t="s">
        <v>1956</v>
      </c>
      <c r="V295" s="13" t="s">
        <v>1956</v>
      </c>
      <c r="W295" s="59">
        <f>+J295/$W$2</f>
        <v>1.618734888482197E-4</v>
      </c>
    </row>
    <row r="296" spans="1:29">
      <c r="A296" s="13" t="s">
        <v>285</v>
      </c>
      <c r="B296" s="13" t="s">
        <v>404</v>
      </c>
      <c r="C296" s="138">
        <v>46272</v>
      </c>
      <c r="D296" s="138" t="s">
        <v>424</v>
      </c>
      <c r="E296" s="28">
        <v>0.99082468999999995</v>
      </c>
      <c r="F296" s="13"/>
      <c r="G296" s="18">
        <v>35000000</v>
      </c>
      <c r="H296" s="18">
        <v>34678864.240000002</v>
      </c>
      <c r="I296" s="18">
        <v>35000000</v>
      </c>
      <c r="J296" s="18">
        <v>34678864.240000002</v>
      </c>
      <c r="K296" s="15">
        <v>12165</v>
      </c>
      <c r="L296" s="13" t="s">
        <v>102</v>
      </c>
      <c r="M296" s="13" t="s">
        <v>103</v>
      </c>
      <c r="N296" s="138" t="s">
        <v>420</v>
      </c>
      <c r="O296" s="138" t="s">
        <v>420</v>
      </c>
      <c r="P296" s="28">
        <v>26</v>
      </c>
      <c r="Q296" s="13" t="s">
        <v>54</v>
      </c>
      <c r="R296" s="13" t="s">
        <v>28</v>
      </c>
      <c r="S296" s="13"/>
      <c r="T296" s="13"/>
      <c r="U296" s="13" t="s">
        <v>1299</v>
      </c>
      <c r="V296" s="13" t="s">
        <v>1299</v>
      </c>
      <c r="W296" s="59">
        <f>+J296/$W$2</f>
        <v>5.6755685632952886E-4</v>
      </c>
    </row>
    <row r="297" spans="1:29">
      <c r="A297" s="13" t="s">
        <v>285</v>
      </c>
      <c r="B297" s="13" t="s">
        <v>404</v>
      </c>
      <c r="C297" s="138">
        <v>46272</v>
      </c>
      <c r="D297" s="138" t="s">
        <v>424</v>
      </c>
      <c r="E297" s="28">
        <v>0.99082468999999995</v>
      </c>
      <c r="F297" s="13"/>
      <c r="G297" s="18">
        <v>25000000</v>
      </c>
      <c r="H297" s="18">
        <v>24770617.32</v>
      </c>
      <c r="I297" s="18">
        <v>25000000</v>
      </c>
      <c r="J297" s="18">
        <v>24770617.32</v>
      </c>
      <c r="K297" s="15">
        <v>2845</v>
      </c>
      <c r="L297" s="13" t="s">
        <v>102</v>
      </c>
      <c r="M297" s="13" t="s">
        <v>103</v>
      </c>
      <c r="N297" s="138" t="s">
        <v>420</v>
      </c>
      <c r="O297" s="138" t="s">
        <v>420</v>
      </c>
      <c r="P297" s="28">
        <v>26</v>
      </c>
      <c r="Q297" s="13" t="s">
        <v>54</v>
      </c>
      <c r="R297" s="13" t="s">
        <v>28</v>
      </c>
      <c r="S297" s="13"/>
      <c r="T297" s="13"/>
      <c r="U297" s="13" t="s">
        <v>1309</v>
      </c>
      <c r="V297" s="13" t="s">
        <v>1309</v>
      </c>
      <c r="W297" s="59">
        <f>+J297/$W$2</f>
        <v>4.0539775461461249E-4</v>
      </c>
    </row>
    <row r="298" spans="1:29">
      <c r="A298" s="13" t="s">
        <v>405</v>
      </c>
      <c r="B298" s="13" t="s">
        <v>404</v>
      </c>
      <c r="C298" s="138">
        <v>46272</v>
      </c>
      <c r="D298" s="138" t="s">
        <v>424</v>
      </c>
      <c r="E298" s="28">
        <v>0.98942808999999998</v>
      </c>
      <c r="F298" s="13"/>
      <c r="G298" s="18">
        <v>5000000</v>
      </c>
      <c r="H298" s="18">
        <v>4947140.47</v>
      </c>
      <c r="I298" s="18">
        <v>5000000</v>
      </c>
      <c r="J298" s="18">
        <v>4947140.47</v>
      </c>
      <c r="K298" s="15">
        <v>778</v>
      </c>
      <c r="L298" s="13" t="s">
        <v>102</v>
      </c>
      <c r="M298" s="13" t="s">
        <v>103</v>
      </c>
      <c r="N298" s="138" t="s">
        <v>421</v>
      </c>
      <c r="O298" s="138" t="s">
        <v>421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1398</v>
      </c>
      <c r="V298" s="13" t="s">
        <v>1398</v>
      </c>
      <c r="W298" s="59">
        <f>+J298/$W$2</f>
        <v>8.0965266726791392E-5</v>
      </c>
    </row>
    <row r="299" spans="1:29">
      <c r="A299" s="13" t="s">
        <v>405</v>
      </c>
      <c r="B299" s="13" t="s">
        <v>404</v>
      </c>
      <c r="C299" s="138">
        <v>46272</v>
      </c>
      <c r="D299" s="138" t="s">
        <v>424</v>
      </c>
      <c r="E299" s="28">
        <v>0.98942810999999997</v>
      </c>
      <c r="F299" s="13"/>
      <c r="G299" s="18">
        <v>3300000</v>
      </c>
      <c r="H299" s="18">
        <v>3265112.77</v>
      </c>
      <c r="I299" s="18">
        <v>3300000</v>
      </c>
      <c r="J299" s="18">
        <v>3265112.77</v>
      </c>
      <c r="K299" s="15">
        <v>919</v>
      </c>
      <c r="L299" s="13" t="s">
        <v>102</v>
      </c>
      <c r="M299" s="13" t="s">
        <v>103</v>
      </c>
      <c r="N299" s="138" t="s">
        <v>422</v>
      </c>
      <c r="O299" s="138" t="s">
        <v>422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2250</v>
      </c>
      <c r="V299" s="13" t="s">
        <v>2250</v>
      </c>
      <c r="W299" s="59">
        <f>+J299/$W$2</f>
        <v>5.3437077018373541E-5</v>
      </c>
    </row>
    <row r="300" spans="1:29">
      <c r="A300" s="13" t="s">
        <v>405</v>
      </c>
      <c r="B300" s="13" t="s">
        <v>404</v>
      </c>
      <c r="C300" s="138">
        <v>46272</v>
      </c>
      <c r="D300" s="138" t="s">
        <v>424</v>
      </c>
      <c r="E300" s="28">
        <v>0.98942808000000004</v>
      </c>
      <c r="F300" s="13"/>
      <c r="G300" s="18">
        <v>2500000</v>
      </c>
      <c r="H300" s="18">
        <v>2473570.19</v>
      </c>
      <c r="I300" s="18">
        <v>2500000</v>
      </c>
      <c r="J300" s="18">
        <v>2473570.19</v>
      </c>
      <c r="K300" s="15">
        <v>910</v>
      </c>
      <c r="L300" s="13" t="s">
        <v>102</v>
      </c>
      <c r="M300" s="13" t="s">
        <v>103</v>
      </c>
      <c r="N300" s="138" t="s">
        <v>639</v>
      </c>
      <c r="O300" s="138" t="s">
        <v>639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2128</v>
      </c>
      <c r="V300" s="13" t="s">
        <v>2128</v>
      </c>
      <c r="W300" s="59">
        <f>+J300/$W$2</f>
        <v>4.0482632626922368E-5</v>
      </c>
    </row>
    <row r="301" spans="1:29">
      <c r="A301" s="13" t="s">
        <v>375</v>
      </c>
      <c r="B301" s="13" t="s">
        <v>404</v>
      </c>
      <c r="C301" s="138">
        <v>46272</v>
      </c>
      <c r="D301" s="138" t="s">
        <v>424</v>
      </c>
      <c r="E301" s="28">
        <v>0.98734043999999999</v>
      </c>
      <c r="F301" s="13"/>
      <c r="G301" s="18">
        <v>2333401.2200000002</v>
      </c>
      <c r="H301" s="18">
        <v>2303861.39</v>
      </c>
      <c r="I301" s="18">
        <v>2333401.2200000002</v>
      </c>
      <c r="J301" s="18">
        <v>2303861.39</v>
      </c>
      <c r="K301" s="15">
        <v>2665</v>
      </c>
      <c r="L301" s="13" t="s">
        <v>102</v>
      </c>
      <c r="M301" s="13" t="s">
        <v>103</v>
      </c>
      <c r="N301" s="138" t="s">
        <v>391</v>
      </c>
      <c r="O301" s="138" t="s">
        <v>391</v>
      </c>
      <c r="P301" s="28">
        <v>36</v>
      </c>
      <c r="Q301" s="13" t="s">
        <v>54</v>
      </c>
      <c r="R301" s="13" t="s">
        <v>28</v>
      </c>
      <c r="S301" s="13"/>
      <c r="T301" s="13"/>
      <c r="U301" s="13" t="s">
        <v>815</v>
      </c>
      <c r="V301" s="13" t="s">
        <v>815</v>
      </c>
      <c r="W301" s="59">
        <f>+J301/$W$2</f>
        <v>3.770516585774375E-5</v>
      </c>
    </row>
    <row r="302" spans="1:29">
      <c r="A302" s="13" t="s">
        <v>1167</v>
      </c>
      <c r="B302" s="13" t="s">
        <v>404</v>
      </c>
      <c r="C302" s="138">
        <v>46272</v>
      </c>
      <c r="D302" s="138" t="s">
        <v>424</v>
      </c>
      <c r="E302" s="28">
        <v>0.99030052000000002</v>
      </c>
      <c r="F302" s="13"/>
      <c r="G302" s="18">
        <v>30000000</v>
      </c>
      <c r="H302" s="18">
        <v>29709015.68</v>
      </c>
      <c r="I302" s="18">
        <v>30000000</v>
      </c>
      <c r="J302" s="18">
        <v>29709015.68</v>
      </c>
      <c r="K302" s="15">
        <v>488</v>
      </c>
      <c r="L302" s="13" t="s">
        <v>102</v>
      </c>
      <c r="M302" s="13" t="s">
        <v>103</v>
      </c>
      <c r="N302" s="138" t="s">
        <v>419</v>
      </c>
      <c r="O302" s="138" t="s">
        <v>419</v>
      </c>
      <c r="P302" s="28">
        <v>27.5</v>
      </c>
      <c r="Q302" s="13" t="s">
        <v>54</v>
      </c>
      <c r="R302" s="13" t="s">
        <v>28</v>
      </c>
      <c r="S302" s="13"/>
      <c r="T302" s="13"/>
      <c r="U302" s="13" t="s">
        <v>1258</v>
      </c>
      <c r="V302" s="13" t="s">
        <v>1258</v>
      </c>
      <c r="W302" s="59">
        <f>+J302/$W$2</f>
        <v>4.8621994732274659E-4</v>
      </c>
    </row>
    <row r="303" spans="1:29">
      <c r="A303" s="13" t="s">
        <v>1167</v>
      </c>
      <c r="B303" s="13" t="s">
        <v>404</v>
      </c>
      <c r="C303" s="138">
        <v>46272</v>
      </c>
      <c r="D303" s="138" t="s">
        <v>424</v>
      </c>
      <c r="E303" s="28">
        <v>0.99030052000000002</v>
      </c>
      <c r="F303" s="13"/>
      <c r="G303" s="18">
        <v>25000000</v>
      </c>
      <c r="H303" s="18">
        <v>24757513.079999998</v>
      </c>
      <c r="I303" s="18">
        <v>25000000</v>
      </c>
      <c r="J303" s="18">
        <v>24757513.079999998</v>
      </c>
      <c r="K303" s="15">
        <v>319</v>
      </c>
      <c r="L303" s="13" t="s">
        <v>102</v>
      </c>
      <c r="M303" s="13" t="s">
        <v>103</v>
      </c>
      <c r="N303" s="138" t="s">
        <v>419</v>
      </c>
      <c r="O303" s="138" t="s">
        <v>419</v>
      </c>
      <c r="P303" s="28">
        <v>27.5</v>
      </c>
      <c r="Q303" s="13" t="s">
        <v>54</v>
      </c>
      <c r="R303" s="13" t="s">
        <v>28</v>
      </c>
      <c r="S303" s="13"/>
      <c r="T303" s="13"/>
      <c r="U303" s="13" t="s">
        <v>1259</v>
      </c>
      <c r="V303" s="13" t="s">
        <v>1259</v>
      </c>
      <c r="W303" s="59">
        <f>+J303/$W$2</f>
        <v>4.0518328965383644E-4</v>
      </c>
    </row>
    <row r="304" spans="1:29">
      <c r="A304" s="13" t="s">
        <v>413</v>
      </c>
      <c r="B304" s="13" t="s">
        <v>404</v>
      </c>
      <c r="C304" s="138">
        <v>46272</v>
      </c>
      <c r="D304" s="138" t="s">
        <v>424</v>
      </c>
      <c r="E304" s="28">
        <v>0.98838314999999999</v>
      </c>
      <c r="F304" s="13"/>
      <c r="G304" s="18">
        <v>16005575.68</v>
      </c>
      <c r="H304" s="18">
        <v>15819641.23</v>
      </c>
      <c r="I304" s="18">
        <v>16005575.68</v>
      </c>
      <c r="J304" s="18">
        <v>15819641.23</v>
      </c>
      <c r="K304" s="15">
        <v>30714</v>
      </c>
      <c r="L304" s="13" t="s">
        <v>102</v>
      </c>
      <c r="M304" s="13" t="s">
        <v>103</v>
      </c>
      <c r="N304" s="138" t="s">
        <v>391</v>
      </c>
      <c r="O304" s="138" t="s">
        <v>391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796</v>
      </c>
      <c r="V304" s="13" t="s">
        <v>796</v>
      </c>
      <c r="W304" s="59">
        <f>+J304/$W$2</f>
        <v>2.5890541808470144E-4</v>
      </c>
    </row>
    <row r="305" spans="1:29">
      <c r="A305" s="13" t="s">
        <v>2047</v>
      </c>
      <c r="B305" s="13" t="s">
        <v>404</v>
      </c>
      <c r="C305" s="138">
        <v>46272</v>
      </c>
      <c r="D305" s="138" t="s">
        <v>424</v>
      </c>
      <c r="E305" s="28">
        <v>0.98942814000000001</v>
      </c>
      <c r="F305" s="13"/>
      <c r="G305" s="18">
        <v>6131725.6200000001</v>
      </c>
      <c r="H305" s="18">
        <v>6066901.8799999999</v>
      </c>
      <c r="I305" s="18">
        <v>6131725.6200000001</v>
      </c>
      <c r="J305" s="18">
        <v>6066901.8799999999</v>
      </c>
      <c r="K305" s="15">
        <v>1635460</v>
      </c>
      <c r="L305" s="13" t="s">
        <v>102</v>
      </c>
      <c r="M305" s="13" t="s">
        <v>103</v>
      </c>
      <c r="N305" s="138" t="s">
        <v>416</v>
      </c>
      <c r="O305" s="138" t="s">
        <v>416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2048</v>
      </c>
      <c r="V305" s="13" t="s">
        <v>2048</v>
      </c>
      <c r="W305" s="59">
        <f>+J305/$W$2</f>
        <v>9.9291364758735486E-5</v>
      </c>
    </row>
    <row r="306" spans="1:29">
      <c r="A306" s="13" t="s">
        <v>2050</v>
      </c>
      <c r="B306" s="13" t="s">
        <v>404</v>
      </c>
      <c r="C306" s="138">
        <v>46272</v>
      </c>
      <c r="D306" s="138" t="s">
        <v>424</v>
      </c>
      <c r="E306" s="28">
        <v>0.98942814000000001</v>
      </c>
      <c r="F306" s="13"/>
      <c r="G306" s="18">
        <v>15197573.789999999</v>
      </c>
      <c r="H306" s="18">
        <v>15036907.18</v>
      </c>
      <c r="I306" s="18">
        <v>15197573.789999999</v>
      </c>
      <c r="J306" s="18">
        <v>15036907.18</v>
      </c>
      <c r="K306" s="15">
        <v>214</v>
      </c>
      <c r="L306" s="13" t="s">
        <v>102</v>
      </c>
      <c r="M306" s="13" t="s">
        <v>103</v>
      </c>
      <c r="N306" s="138" t="s">
        <v>416</v>
      </c>
      <c r="O306" s="138" t="s">
        <v>416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2051</v>
      </c>
      <c r="V306" s="13" t="s">
        <v>2051</v>
      </c>
      <c r="W306" s="59">
        <f>+J306/$W$2</f>
        <v>2.4609513474653868E-4</v>
      </c>
      <c r="AC306" s="56"/>
    </row>
    <row r="307" spans="1:29">
      <c r="A307" s="13" t="s">
        <v>1460</v>
      </c>
      <c r="B307" s="13" t="s">
        <v>404</v>
      </c>
      <c r="C307" s="138">
        <v>46272</v>
      </c>
      <c r="D307" s="138" t="s">
        <v>424</v>
      </c>
      <c r="E307" s="28">
        <v>0.98942808000000004</v>
      </c>
      <c r="F307" s="13"/>
      <c r="G307" s="18">
        <v>1579236</v>
      </c>
      <c r="H307" s="18">
        <v>1562540.44</v>
      </c>
      <c r="I307" s="18">
        <v>1579236</v>
      </c>
      <c r="J307" s="18">
        <v>1562540.44</v>
      </c>
      <c r="K307" s="15">
        <v>1556</v>
      </c>
      <c r="L307" s="13" t="s">
        <v>102</v>
      </c>
      <c r="M307" s="13" t="s">
        <v>103</v>
      </c>
      <c r="N307" s="138" t="s">
        <v>383</v>
      </c>
      <c r="O307" s="138" t="s">
        <v>383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1663</v>
      </c>
      <c r="V307" s="13" t="s">
        <v>1663</v>
      </c>
      <c r="W307" s="59">
        <f>+J307/$W$2</f>
        <v>2.5572652376292437E-5</v>
      </c>
    </row>
    <row r="308" spans="1:29">
      <c r="A308" s="13" t="s">
        <v>1668</v>
      </c>
      <c r="B308" s="13" t="s">
        <v>404</v>
      </c>
      <c r="C308" s="138">
        <v>46272</v>
      </c>
      <c r="D308" s="138" t="s">
        <v>424</v>
      </c>
      <c r="E308" s="28">
        <v>0.98942806999999999</v>
      </c>
      <c r="F308" s="13"/>
      <c r="G308" s="18">
        <v>2870567.11</v>
      </c>
      <c r="H308" s="18">
        <v>2840219.68</v>
      </c>
      <c r="I308" s="18">
        <v>2870567.11</v>
      </c>
      <c r="J308" s="18">
        <v>2840219.68</v>
      </c>
      <c r="K308" s="15">
        <v>100</v>
      </c>
      <c r="L308" s="13" t="s">
        <v>102</v>
      </c>
      <c r="M308" s="13" t="s">
        <v>103</v>
      </c>
      <c r="N308" s="138" t="s">
        <v>383</v>
      </c>
      <c r="O308" s="138" t="s">
        <v>383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1643</v>
      </c>
      <c r="V308" s="13" t="s">
        <v>1643</v>
      </c>
      <c r="W308" s="59">
        <f>+J308/$W$2</f>
        <v>4.6483245290563199E-5</v>
      </c>
    </row>
    <row r="309" spans="1:29">
      <c r="A309" s="13" t="s">
        <v>232</v>
      </c>
      <c r="B309" s="13" t="s">
        <v>404</v>
      </c>
      <c r="C309" s="138">
        <v>46273</v>
      </c>
      <c r="D309" s="138" t="s">
        <v>424</v>
      </c>
      <c r="E309" s="28">
        <v>0.98750068999999996</v>
      </c>
      <c r="F309" s="13"/>
      <c r="G309" s="18">
        <v>25000000</v>
      </c>
      <c r="H309" s="18">
        <v>24687517.16</v>
      </c>
      <c r="I309" s="18">
        <v>25000000</v>
      </c>
      <c r="J309" s="18">
        <v>24687517.16</v>
      </c>
      <c r="K309" s="15">
        <v>475880</v>
      </c>
      <c r="L309" s="13" t="s">
        <v>102</v>
      </c>
      <c r="M309" s="13" t="s">
        <v>103</v>
      </c>
      <c r="N309" s="138" t="s">
        <v>327</v>
      </c>
      <c r="O309" s="138" t="s">
        <v>327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784</v>
      </c>
      <c r="V309" s="13" t="s">
        <v>784</v>
      </c>
      <c r="W309" s="59">
        <f>+J309/$W$2</f>
        <v>4.040377312515728E-4</v>
      </c>
    </row>
    <row r="310" spans="1:29">
      <c r="A310" s="13" t="s">
        <v>2683</v>
      </c>
      <c r="B310" s="13" t="s">
        <v>404</v>
      </c>
      <c r="C310" s="138">
        <v>46273</v>
      </c>
      <c r="D310" s="138" t="s">
        <v>424</v>
      </c>
      <c r="E310" s="28">
        <v>0.98675323000000004</v>
      </c>
      <c r="F310" s="13"/>
      <c r="G310" s="18">
        <v>6283471.8200000003</v>
      </c>
      <c r="H310" s="18">
        <v>6200236.1299999999</v>
      </c>
      <c r="I310" s="18">
        <v>6283471.8200000003</v>
      </c>
      <c r="J310" s="18">
        <v>6200236.1299999999</v>
      </c>
      <c r="K310" s="15">
        <v>91</v>
      </c>
      <c r="L310" s="13" t="s">
        <v>102</v>
      </c>
      <c r="M310" s="13" t="s">
        <v>103</v>
      </c>
      <c r="N310" s="138" t="s">
        <v>424</v>
      </c>
      <c r="O310" s="138" t="s">
        <v>424</v>
      </c>
      <c r="P310" s="28">
        <v>35</v>
      </c>
      <c r="Q310" s="13" t="s">
        <v>54</v>
      </c>
      <c r="R310" s="13" t="s">
        <v>28</v>
      </c>
      <c r="S310" s="13"/>
      <c r="T310" s="13"/>
      <c r="U310" s="13" t="s">
        <v>2673</v>
      </c>
      <c r="V310" s="13" t="s">
        <v>2673</v>
      </c>
      <c r="W310" s="59">
        <f>+J310/$W$2</f>
        <v>1.0147352295305632E-4</v>
      </c>
    </row>
    <row r="311" spans="1:29">
      <c r="A311" s="13" t="s">
        <v>521</v>
      </c>
      <c r="B311" s="13" t="s">
        <v>404</v>
      </c>
      <c r="C311" s="138">
        <v>46273</v>
      </c>
      <c r="D311" s="138" t="s">
        <v>424</v>
      </c>
      <c r="E311" s="28">
        <v>0.98563407999999997</v>
      </c>
      <c r="F311" s="13"/>
      <c r="G311" s="18">
        <v>7162509.1500000004</v>
      </c>
      <c r="H311" s="18">
        <v>7059613.1200000001</v>
      </c>
      <c r="I311" s="18">
        <v>7162509.1500000004</v>
      </c>
      <c r="J311" s="18">
        <v>7059613.1200000001</v>
      </c>
      <c r="K311" s="15">
        <v>65964541</v>
      </c>
      <c r="L311" s="13" t="s">
        <v>102</v>
      </c>
      <c r="M311" s="13" t="s">
        <v>103</v>
      </c>
      <c r="N311" s="138" t="s">
        <v>289</v>
      </c>
      <c r="O311" s="138" t="s">
        <v>289</v>
      </c>
      <c r="P311" s="28">
        <v>38</v>
      </c>
      <c r="Q311" s="13" t="s">
        <v>54</v>
      </c>
      <c r="R311" s="13" t="s">
        <v>28</v>
      </c>
      <c r="S311" s="13"/>
      <c r="T311" s="13"/>
      <c r="U311" s="13" t="s">
        <v>618</v>
      </c>
      <c r="V311" s="13" t="s">
        <v>618</v>
      </c>
      <c r="W311" s="59">
        <f>+J311/$W$2</f>
        <v>1.1553815031428771E-4</v>
      </c>
    </row>
    <row r="312" spans="1:29">
      <c r="A312" s="13" t="s">
        <v>538</v>
      </c>
      <c r="B312" s="13" t="s">
        <v>404</v>
      </c>
      <c r="C312" s="138">
        <v>46273</v>
      </c>
      <c r="D312" s="138" t="s">
        <v>424</v>
      </c>
      <c r="E312" s="28">
        <v>0.98750068999999996</v>
      </c>
      <c r="F312" s="13"/>
      <c r="G312" s="18">
        <v>10000000</v>
      </c>
      <c r="H312" s="18">
        <v>9875006.9399999995</v>
      </c>
      <c r="I312" s="18">
        <v>10000000</v>
      </c>
      <c r="J312" s="18">
        <v>9875006.9399999995</v>
      </c>
      <c r="K312" s="15">
        <v>29692615</v>
      </c>
      <c r="L312" s="13" t="s">
        <v>102</v>
      </c>
      <c r="M312" s="13" t="s">
        <v>103</v>
      </c>
      <c r="N312" s="138" t="s">
        <v>346</v>
      </c>
      <c r="O312" s="138" t="s">
        <v>346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1517</v>
      </c>
      <c r="V312" s="13" t="s">
        <v>1517</v>
      </c>
      <c r="W312" s="59">
        <f>+J312/$W$2</f>
        <v>1.6161509374445072E-4</v>
      </c>
    </row>
    <row r="313" spans="1:29">
      <c r="A313" s="13" t="s">
        <v>566</v>
      </c>
      <c r="B313" s="13" t="s">
        <v>404</v>
      </c>
      <c r="C313" s="138">
        <v>46273</v>
      </c>
      <c r="D313" s="138" t="s">
        <v>424</v>
      </c>
      <c r="E313" s="28">
        <v>0.98563405999999998</v>
      </c>
      <c r="F313" s="13"/>
      <c r="G313" s="18">
        <v>136000000</v>
      </c>
      <c r="H313" s="18">
        <v>134046232.11</v>
      </c>
      <c r="I313" s="18">
        <v>136000000</v>
      </c>
      <c r="J313" s="18">
        <v>134046232.11</v>
      </c>
      <c r="K313" s="15">
        <v>70397111</v>
      </c>
      <c r="L313" s="13" t="s">
        <v>102</v>
      </c>
      <c r="M313" s="13" t="s">
        <v>103</v>
      </c>
      <c r="N313" s="138" t="s">
        <v>481</v>
      </c>
      <c r="O313" s="138" t="s">
        <v>481</v>
      </c>
      <c r="P313" s="28">
        <v>38</v>
      </c>
      <c r="Q313" s="13" t="s">
        <v>54</v>
      </c>
      <c r="R313" s="13" t="s">
        <v>28</v>
      </c>
      <c r="S313" s="13"/>
      <c r="T313" s="13"/>
      <c r="U313" s="13" t="s">
        <v>1775</v>
      </c>
      <c r="V313" s="13" t="s">
        <v>1775</v>
      </c>
      <c r="W313" s="59">
        <f>+J313/$W$2</f>
        <v>2.1938105461775052E-3</v>
      </c>
    </row>
    <row r="314" spans="1:29">
      <c r="A314" s="13" t="s">
        <v>722</v>
      </c>
      <c r="B314" s="13" t="s">
        <v>404</v>
      </c>
      <c r="C314" s="138">
        <v>46273</v>
      </c>
      <c r="D314" s="138" t="s">
        <v>424</v>
      </c>
      <c r="E314" s="28">
        <v>0.98488938999999998</v>
      </c>
      <c r="F314" s="13"/>
      <c r="G314" s="18">
        <v>12166667</v>
      </c>
      <c r="H314" s="18">
        <v>11982821.210000001</v>
      </c>
      <c r="I314" s="18">
        <v>12166667</v>
      </c>
      <c r="J314" s="18">
        <v>11982821.210000001</v>
      </c>
      <c r="K314" s="15">
        <v>90020552</v>
      </c>
      <c r="L314" s="13" t="s">
        <v>102</v>
      </c>
      <c r="M314" s="13" t="s">
        <v>103</v>
      </c>
      <c r="N314" s="138" t="s">
        <v>309</v>
      </c>
      <c r="O314" s="138" t="s">
        <v>309</v>
      </c>
      <c r="P314" s="28">
        <v>40</v>
      </c>
      <c r="Q314" s="13" t="s">
        <v>54</v>
      </c>
      <c r="R314" s="13" t="s">
        <v>28</v>
      </c>
      <c r="S314" s="13"/>
      <c r="T314" s="13"/>
      <c r="U314" s="13" t="s">
        <v>716</v>
      </c>
      <c r="V314" s="13" t="s">
        <v>716</v>
      </c>
      <c r="W314" s="59">
        <f>+J314/$W$2</f>
        <v>1.9611173794042343E-4</v>
      </c>
    </row>
    <row r="315" spans="1:29">
      <c r="A315" s="13" t="s">
        <v>805</v>
      </c>
      <c r="B315" s="13" t="s">
        <v>404</v>
      </c>
      <c r="C315" s="138">
        <v>46273</v>
      </c>
      <c r="D315" s="138" t="s">
        <v>424</v>
      </c>
      <c r="E315" s="28">
        <v>0.98637987999999999</v>
      </c>
      <c r="F315" s="13"/>
      <c r="G315" s="18">
        <v>2067824.35</v>
      </c>
      <c r="H315" s="18">
        <v>2039660.33</v>
      </c>
      <c r="I315" s="18">
        <v>2067824.35</v>
      </c>
      <c r="J315" s="18">
        <v>2039660.33</v>
      </c>
      <c r="K315" s="15">
        <v>2204</v>
      </c>
      <c r="L315" s="13" t="s">
        <v>102</v>
      </c>
      <c r="M315" s="13" t="s">
        <v>103</v>
      </c>
      <c r="N315" s="138" t="s">
        <v>391</v>
      </c>
      <c r="O315" s="138" t="s">
        <v>391</v>
      </c>
      <c r="P315" s="28">
        <v>36</v>
      </c>
      <c r="Q315" s="13" t="s">
        <v>54</v>
      </c>
      <c r="R315" s="13" t="s">
        <v>28</v>
      </c>
      <c r="S315" s="13"/>
      <c r="T315" s="13"/>
      <c r="U315" s="13" t="s">
        <v>809</v>
      </c>
      <c r="V315" s="13" t="s">
        <v>809</v>
      </c>
      <c r="W315" s="59">
        <f>+J315/$W$2</f>
        <v>3.3381231774586209E-5</v>
      </c>
    </row>
    <row r="316" spans="1:29">
      <c r="A316" s="13" t="s">
        <v>537</v>
      </c>
      <c r="B316" s="13" t="s">
        <v>404</v>
      </c>
      <c r="C316" s="138">
        <v>46273</v>
      </c>
      <c r="D316" s="138" t="s">
        <v>424</v>
      </c>
      <c r="E316" s="28">
        <v>0.98899908000000003</v>
      </c>
      <c r="F316" s="13"/>
      <c r="G316" s="18">
        <v>11923076.92</v>
      </c>
      <c r="H316" s="18">
        <v>11791912.109999999</v>
      </c>
      <c r="I316" s="18">
        <v>11923076.92</v>
      </c>
      <c r="J316" s="18">
        <v>11791912.109999999</v>
      </c>
      <c r="K316" s="15">
        <v>90021986</v>
      </c>
      <c r="L316" s="13" t="s">
        <v>102</v>
      </c>
      <c r="M316" s="13" t="s">
        <v>103</v>
      </c>
      <c r="N316" s="138" t="s">
        <v>303</v>
      </c>
      <c r="O316" s="138" t="s">
        <v>303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680</v>
      </c>
      <c r="V316" s="13" t="s">
        <v>680</v>
      </c>
      <c r="W316" s="59">
        <f>+J316/$W$2</f>
        <v>1.9298730549388088E-4</v>
      </c>
    </row>
    <row r="317" spans="1:29">
      <c r="A317" s="13" t="s">
        <v>465</v>
      </c>
      <c r="B317" s="13" t="s">
        <v>404</v>
      </c>
      <c r="C317" s="138">
        <v>46273</v>
      </c>
      <c r="D317" s="138" t="s">
        <v>424</v>
      </c>
      <c r="E317" s="28">
        <v>0.98862406999999997</v>
      </c>
      <c r="F317" s="13"/>
      <c r="G317" s="18">
        <v>24000000</v>
      </c>
      <c r="H317" s="18">
        <v>23726977.620000001</v>
      </c>
      <c r="I317" s="18">
        <v>24000000</v>
      </c>
      <c r="J317" s="18">
        <v>23726977.620000001</v>
      </c>
      <c r="K317" s="15">
        <v>718980</v>
      </c>
      <c r="L317" s="13" t="s">
        <v>102</v>
      </c>
      <c r="M317" s="13" t="s">
        <v>103</v>
      </c>
      <c r="N317" s="138" t="s">
        <v>316</v>
      </c>
      <c r="O317" s="138" t="s">
        <v>316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474</v>
      </c>
      <c r="V317" s="13" t="s">
        <v>474</v>
      </c>
      <c r="W317" s="59">
        <f>+J317/$W$2</f>
        <v>3.8831747011701693E-4</v>
      </c>
    </row>
    <row r="318" spans="1:29">
      <c r="A318" s="13" t="s">
        <v>285</v>
      </c>
      <c r="B318" s="13" t="s">
        <v>404</v>
      </c>
      <c r="C318" s="138">
        <v>46273</v>
      </c>
      <c r="D318" s="138" t="s">
        <v>424</v>
      </c>
      <c r="E318" s="28">
        <v>0.98862406999999997</v>
      </c>
      <c r="F318" s="13"/>
      <c r="G318" s="18">
        <v>60000000</v>
      </c>
      <c r="H318" s="18">
        <v>59317444.060000002</v>
      </c>
      <c r="I318" s="18">
        <v>60000000</v>
      </c>
      <c r="J318" s="18">
        <v>59317444.060000002</v>
      </c>
      <c r="K318" s="15">
        <v>61</v>
      </c>
      <c r="L318" s="13" t="s">
        <v>102</v>
      </c>
      <c r="M318" s="13" t="s">
        <v>103</v>
      </c>
      <c r="N318" s="138" t="s">
        <v>288</v>
      </c>
      <c r="O318" s="138" t="s">
        <v>288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700</v>
      </c>
      <c r="V318" s="13" t="s">
        <v>700</v>
      </c>
      <c r="W318" s="59">
        <f>+J318/$W$2</f>
        <v>9.7079367545620308E-4</v>
      </c>
    </row>
    <row r="319" spans="1:29">
      <c r="A319" s="13" t="s">
        <v>285</v>
      </c>
      <c r="B319" s="13" t="s">
        <v>404</v>
      </c>
      <c r="C319" s="138">
        <v>46273</v>
      </c>
      <c r="D319" s="138" t="s">
        <v>424</v>
      </c>
      <c r="E319" s="28">
        <v>0.98899908000000003</v>
      </c>
      <c r="F319" s="13"/>
      <c r="G319" s="18">
        <v>10000000</v>
      </c>
      <c r="H319" s="18">
        <v>9889990.8300000001</v>
      </c>
      <c r="I319" s="18">
        <v>10000000</v>
      </c>
      <c r="J319" s="18">
        <v>9889990.8300000001</v>
      </c>
      <c r="K319" s="15">
        <v>66613291</v>
      </c>
      <c r="L319" s="13" t="s">
        <v>102</v>
      </c>
      <c r="M319" s="13" t="s">
        <v>103</v>
      </c>
      <c r="N319" s="138" t="s">
        <v>303</v>
      </c>
      <c r="O319" s="138" t="s">
        <v>303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686</v>
      </c>
      <c r="V319" s="13" t="s">
        <v>686</v>
      </c>
      <c r="W319" s="59">
        <f>+J319/$W$2</f>
        <v>1.6186032119610929E-4</v>
      </c>
    </row>
    <row r="320" spans="1:29">
      <c r="A320" s="13" t="s">
        <v>565</v>
      </c>
      <c r="B320" s="13" t="s">
        <v>404</v>
      </c>
      <c r="C320" s="138">
        <v>46273</v>
      </c>
      <c r="D320" s="138" t="s">
        <v>424</v>
      </c>
      <c r="E320" s="28">
        <v>0.99087851999999998</v>
      </c>
      <c r="F320" s="13"/>
      <c r="G320" s="18">
        <v>4000000</v>
      </c>
      <c r="H320" s="18">
        <v>3963514.07</v>
      </c>
      <c r="I320" s="18">
        <v>4000000</v>
      </c>
      <c r="J320" s="18">
        <v>3963514.07</v>
      </c>
      <c r="K320" s="15">
        <v>16821011</v>
      </c>
      <c r="L320" s="13" t="s">
        <v>102</v>
      </c>
      <c r="M320" s="13" t="s">
        <v>103</v>
      </c>
      <c r="N320" s="138" t="s">
        <v>339</v>
      </c>
      <c r="O320" s="138" t="s">
        <v>339</v>
      </c>
      <c r="P320" s="28">
        <v>24</v>
      </c>
      <c r="Q320" s="13" t="s">
        <v>54</v>
      </c>
      <c r="R320" s="13" t="s">
        <v>28</v>
      </c>
      <c r="S320" s="13"/>
      <c r="T320" s="13"/>
      <c r="U320" s="13" t="s">
        <v>1572</v>
      </c>
      <c r="V320" s="13" t="s">
        <v>1572</v>
      </c>
      <c r="W320" s="59">
        <f>+J320/$W$2</f>
        <v>6.4867164334418131E-5</v>
      </c>
      <c r="AC320" s="56"/>
    </row>
    <row r="321" spans="1:23">
      <c r="A321" s="13" t="s">
        <v>466</v>
      </c>
      <c r="B321" s="13" t="s">
        <v>404</v>
      </c>
      <c r="C321" s="138">
        <v>46273</v>
      </c>
      <c r="D321" s="138" t="s">
        <v>424</v>
      </c>
      <c r="E321" s="28">
        <v>0.98937441000000004</v>
      </c>
      <c r="F321" s="13"/>
      <c r="G321" s="18">
        <v>10000000</v>
      </c>
      <c r="H321" s="18">
        <v>9893744.0899999999</v>
      </c>
      <c r="I321" s="18">
        <v>10000000</v>
      </c>
      <c r="J321" s="18">
        <v>9893744.0899999999</v>
      </c>
      <c r="K321" s="15">
        <v>360562</v>
      </c>
      <c r="L321" s="13" t="s">
        <v>102</v>
      </c>
      <c r="M321" s="13" t="s">
        <v>103</v>
      </c>
      <c r="N321" s="138" t="s">
        <v>308</v>
      </c>
      <c r="O321" s="138" t="s">
        <v>308</v>
      </c>
      <c r="P321" s="28">
        <v>28</v>
      </c>
      <c r="Q321" s="13" t="s">
        <v>54</v>
      </c>
      <c r="R321" s="13" t="s">
        <v>28</v>
      </c>
      <c r="S321" s="13"/>
      <c r="T321" s="13"/>
      <c r="U321" s="13" t="s">
        <v>542</v>
      </c>
      <c r="V321" s="13" t="s">
        <v>542</v>
      </c>
      <c r="W321" s="59">
        <f>+J321/$W$2</f>
        <v>1.6192174732678776E-4</v>
      </c>
    </row>
    <row r="322" spans="1:23">
      <c r="A322" s="13" t="s">
        <v>285</v>
      </c>
      <c r="B322" s="13" t="s">
        <v>404</v>
      </c>
      <c r="C322" s="138">
        <v>46273</v>
      </c>
      <c r="D322" s="138" t="s">
        <v>424</v>
      </c>
      <c r="E322" s="28">
        <v>0.99050205999999996</v>
      </c>
      <c r="F322" s="13"/>
      <c r="G322" s="18">
        <v>5000000</v>
      </c>
      <c r="H322" s="18">
        <v>4952510.28</v>
      </c>
      <c r="I322" s="18">
        <v>5000000</v>
      </c>
      <c r="J322" s="18">
        <v>4952510.28</v>
      </c>
      <c r="K322" s="15">
        <v>68370667</v>
      </c>
      <c r="L322" s="13" t="s">
        <v>102</v>
      </c>
      <c r="M322" s="13" t="s">
        <v>103</v>
      </c>
      <c r="N322" s="138" t="s">
        <v>383</v>
      </c>
      <c r="O322" s="138" t="s">
        <v>383</v>
      </c>
      <c r="P322" s="28">
        <v>25</v>
      </c>
      <c r="Q322" s="13" t="s">
        <v>54</v>
      </c>
      <c r="R322" s="13" t="s">
        <v>28</v>
      </c>
      <c r="S322" s="13"/>
      <c r="T322" s="13"/>
      <c r="U322" s="13" t="s">
        <v>1613</v>
      </c>
      <c r="V322" s="13" t="s">
        <v>1613</v>
      </c>
      <c r="W322" s="59">
        <f>+J322/$W$2</f>
        <v>8.1053149434298633E-5</v>
      </c>
    </row>
    <row r="323" spans="1:23">
      <c r="A323" s="13" t="s">
        <v>285</v>
      </c>
      <c r="B323" s="13" t="s">
        <v>404</v>
      </c>
      <c r="C323" s="138">
        <v>46273</v>
      </c>
      <c r="D323" s="138" t="s">
        <v>424</v>
      </c>
      <c r="E323" s="28">
        <v>0.99050205999999996</v>
      </c>
      <c r="F323" s="13"/>
      <c r="G323" s="18">
        <v>5000000</v>
      </c>
      <c r="H323" s="18">
        <v>4952510.28</v>
      </c>
      <c r="I323" s="18">
        <v>5000000</v>
      </c>
      <c r="J323" s="18">
        <v>4952510.28</v>
      </c>
      <c r="K323" s="15">
        <v>68370666</v>
      </c>
      <c r="L323" s="13" t="s">
        <v>102</v>
      </c>
      <c r="M323" s="13" t="s">
        <v>103</v>
      </c>
      <c r="N323" s="138" t="s">
        <v>383</v>
      </c>
      <c r="O323" s="138" t="s">
        <v>383</v>
      </c>
      <c r="P323" s="28">
        <v>25</v>
      </c>
      <c r="Q323" s="13" t="s">
        <v>54</v>
      </c>
      <c r="R323" s="13" t="s">
        <v>28</v>
      </c>
      <c r="S323" s="13"/>
      <c r="T323" s="13"/>
      <c r="U323" s="13" t="s">
        <v>1614</v>
      </c>
      <c r="V323" s="13" t="s">
        <v>1614</v>
      </c>
      <c r="W323" s="59">
        <f>+J323/$W$2</f>
        <v>8.1053149434298633E-5</v>
      </c>
    </row>
    <row r="324" spans="1:23">
      <c r="A324" s="13" t="s">
        <v>285</v>
      </c>
      <c r="B324" s="13" t="s">
        <v>404</v>
      </c>
      <c r="C324" s="138">
        <v>46273</v>
      </c>
      <c r="D324" s="138" t="s">
        <v>424</v>
      </c>
      <c r="E324" s="28">
        <v>0.99050207000000001</v>
      </c>
      <c r="F324" s="13"/>
      <c r="G324" s="18">
        <v>5000000</v>
      </c>
      <c r="H324" s="18">
        <v>4952510.34</v>
      </c>
      <c r="I324" s="18">
        <v>5000000</v>
      </c>
      <c r="J324" s="18">
        <v>4952510.34</v>
      </c>
      <c r="K324" s="15">
        <v>8745</v>
      </c>
      <c r="L324" s="13" t="s">
        <v>102</v>
      </c>
      <c r="M324" s="13" t="s">
        <v>103</v>
      </c>
      <c r="N324" s="138" t="s">
        <v>339</v>
      </c>
      <c r="O324" s="138" t="s">
        <v>339</v>
      </c>
      <c r="P324" s="28">
        <v>25</v>
      </c>
      <c r="Q324" s="13" t="s">
        <v>54</v>
      </c>
      <c r="R324" s="13" t="s">
        <v>28</v>
      </c>
      <c r="S324" s="13"/>
      <c r="T324" s="13"/>
      <c r="U324" s="13" t="s">
        <v>1585</v>
      </c>
      <c r="V324" s="13" t="s">
        <v>1585</v>
      </c>
      <c r="W324" s="59">
        <f>+J324/$W$2</f>
        <v>8.1053150416263061E-5</v>
      </c>
    </row>
    <row r="325" spans="1:23">
      <c r="A325" s="13" t="s">
        <v>375</v>
      </c>
      <c r="B325" s="13" t="s">
        <v>404</v>
      </c>
      <c r="C325" s="138">
        <v>46273</v>
      </c>
      <c r="D325" s="138" t="s">
        <v>424</v>
      </c>
      <c r="E325" s="28">
        <v>0.98637987000000005</v>
      </c>
      <c r="F325" s="13"/>
      <c r="G325" s="18">
        <v>2333401.2200000002</v>
      </c>
      <c r="H325" s="18">
        <v>2301620</v>
      </c>
      <c r="I325" s="18">
        <v>2333401.2200000002</v>
      </c>
      <c r="J325" s="18">
        <v>2301620</v>
      </c>
      <c r="K325" s="15">
        <v>2664</v>
      </c>
      <c r="L325" s="13" t="s">
        <v>102</v>
      </c>
      <c r="M325" s="13" t="s">
        <v>103</v>
      </c>
      <c r="N325" s="138" t="s">
        <v>391</v>
      </c>
      <c r="O325" s="138" t="s">
        <v>391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811</v>
      </c>
      <c r="V325" s="13" t="s">
        <v>811</v>
      </c>
      <c r="W325" s="59">
        <f>+J325/$W$2</f>
        <v>3.7668483103273923E-5</v>
      </c>
    </row>
    <row r="326" spans="1:23">
      <c r="A326" s="13" t="s">
        <v>1111</v>
      </c>
      <c r="B326" s="13" t="s">
        <v>404</v>
      </c>
      <c r="C326" s="138">
        <v>46273</v>
      </c>
      <c r="D326" s="138" t="s">
        <v>424</v>
      </c>
      <c r="E326" s="28">
        <v>0.98824935999999997</v>
      </c>
      <c r="F326" s="13"/>
      <c r="G326" s="18">
        <v>102443728</v>
      </c>
      <c r="H326" s="18">
        <v>101239948.56999999</v>
      </c>
      <c r="I326" s="18">
        <v>102443728</v>
      </c>
      <c r="J326" s="18">
        <v>101239948.56999999</v>
      </c>
      <c r="K326" s="15">
        <v>84234635</v>
      </c>
      <c r="L326" s="13" t="s">
        <v>102</v>
      </c>
      <c r="M326" s="13" t="s">
        <v>103</v>
      </c>
      <c r="N326" s="138" t="s">
        <v>173</v>
      </c>
      <c r="O326" s="138" t="s">
        <v>173</v>
      </c>
      <c r="P326" s="28">
        <v>31</v>
      </c>
      <c r="Q326" s="13" t="s">
        <v>54</v>
      </c>
      <c r="R326" s="13" t="s">
        <v>28</v>
      </c>
      <c r="S326" s="13"/>
      <c r="T326" s="13"/>
      <c r="U326" s="13" t="s">
        <v>2018</v>
      </c>
      <c r="V326" s="13" t="s">
        <v>2018</v>
      </c>
      <c r="W326" s="59">
        <f>+J326/$W$2</f>
        <v>1.6569004840440063E-3</v>
      </c>
    </row>
    <row r="327" spans="1:23">
      <c r="A327" s="13" t="s">
        <v>1167</v>
      </c>
      <c r="B327" s="13" t="s">
        <v>404</v>
      </c>
      <c r="C327" s="138">
        <v>46273</v>
      </c>
      <c r="D327" s="138" t="s">
        <v>424</v>
      </c>
      <c r="E327" s="28">
        <v>0.98956217999999996</v>
      </c>
      <c r="F327" s="13"/>
      <c r="G327" s="18">
        <v>25000000</v>
      </c>
      <c r="H327" s="18">
        <v>24739054.5</v>
      </c>
      <c r="I327" s="18">
        <v>25000000</v>
      </c>
      <c r="J327" s="18">
        <v>24739054.5</v>
      </c>
      <c r="K327" s="15">
        <v>320</v>
      </c>
      <c r="L327" s="13" t="s">
        <v>102</v>
      </c>
      <c r="M327" s="13" t="s">
        <v>103</v>
      </c>
      <c r="N327" s="138" t="s">
        <v>419</v>
      </c>
      <c r="O327" s="138" t="s">
        <v>419</v>
      </c>
      <c r="P327" s="28">
        <v>27.5</v>
      </c>
      <c r="Q327" s="13" t="s">
        <v>54</v>
      </c>
      <c r="R327" s="13" t="s">
        <v>28</v>
      </c>
      <c r="S327" s="13"/>
      <c r="T327" s="13"/>
      <c r="U327" s="13" t="s">
        <v>1265</v>
      </c>
      <c r="V327" s="13" t="s">
        <v>1265</v>
      </c>
      <c r="W327" s="59">
        <f>+J327/$W$2</f>
        <v>4.0488119516871713E-4</v>
      </c>
    </row>
    <row r="328" spans="1:23">
      <c r="A328" s="13" t="s">
        <v>1167</v>
      </c>
      <c r="B328" s="13" t="s">
        <v>404</v>
      </c>
      <c r="C328" s="138">
        <v>46273</v>
      </c>
      <c r="D328" s="138" t="s">
        <v>424</v>
      </c>
      <c r="E328" s="28">
        <v>0.98956217999999996</v>
      </c>
      <c r="F328" s="13"/>
      <c r="G328" s="18">
        <v>30000000</v>
      </c>
      <c r="H328" s="18">
        <v>29686865.399999999</v>
      </c>
      <c r="I328" s="18">
        <v>30000000</v>
      </c>
      <c r="J328" s="18">
        <v>29686865.399999999</v>
      </c>
      <c r="K328" s="15">
        <v>489</v>
      </c>
      <c r="L328" s="13" t="s">
        <v>102</v>
      </c>
      <c r="M328" s="13" t="s">
        <v>103</v>
      </c>
      <c r="N328" s="138" t="s">
        <v>419</v>
      </c>
      <c r="O328" s="138" t="s">
        <v>419</v>
      </c>
      <c r="P328" s="28">
        <v>27.5</v>
      </c>
      <c r="Q328" s="13" t="s">
        <v>54</v>
      </c>
      <c r="R328" s="13" t="s">
        <v>28</v>
      </c>
      <c r="S328" s="13"/>
      <c r="T328" s="13"/>
      <c r="U328" s="13" t="s">
        <v>1266</v>
      </c>
      <c r="V328" s="13" t="s">
        <v>1266</v>
      </c>
      <c r="W328" s="59">
        <f>+J328/$W$2</f>
        <v>4.8585743420246052E-4</v>
      </c>
    </row>
    <row r="329" spans="1:23">
      <c r="A329" s="13" t="s">
        <v>413</v>
      </c>
      <c r="B329" s="13" t="s">
        <v>404</v>
      </c>
      <c r="C329" s="138">
        <v>46273</v>
      </c>
      <c r="D329" s="138" t="s">
        <v>424</v>
      </c>
      <c r="E329" s="28">
        <v>0.98750070000000001</v>
      </c>
      <c r="F329" s="13"/>
      <c r="G329" s="18">
        <v>16005575.68</v>
      </c>
      <c r="H329" s="18">
        <v>15805517.16</v>
      </c>
      <c r="I329" s="18">
        <v>16005575.68</v>
      </c>
      <c r="J329" s="18">
        <v>15805517.16</v>
      </c>
      <c r="K329" s="15">
        <v>30715</v>
      </c>
      <c r="L329" s="13" t="s">
        <v>102</v>
      </c>
      <c r="M329" s="13" t="s">
        <v>103</v>
      </c>
      <c r="N329" s="138" t="s">
        <v>391</v>
      </c>
      <c r="O329" s="138" t="s">
        <v>391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795</v>
      </c>
      <c r="V329" s="13" t="s">
        <v>795</v>
      </c>
      <c r="W329" s="59">
        <f>+J329/$W$2</f>
        <v>2.5867426251073854E-4</v>
      </c>
    </row>
    <row r="330" spans="1:23">
      <c r="A330" s="13" t="s">
        <v>2029</v>
      </c>
      <c r="B330" s="13" t="s">
        <v>404</v>
      </c>
      <c r="C330" s="138">
        <v>46273</v>
      </c>
      <c r="D330" s="138" t="s">
        <v>424</v>
      </c>
      <c r="E330" s="28">
        <v>0.98862410000000001</v>
      </c>
      <c r="F330" s="13"/>
      <c r="G330" s="18">
        <v>4508790.7699999996</v>
      </c>
      <c r="H330" s="18">
        <v>4457499.22</v>
      </c>
      <c r="I330" s="18">
        <v>4508790.7699999996</v>
      </c>
      <c r="J330" s="18">
        <v>4457499.22</v>
      </c>
      <c r="K330" s="15">
        <v>1</v>
      </c>
      <c r="L330" s="13" t="s">
        <v>102</v>
      </c>
      <c r="M330" s="13" t="s">
        <v>103</v>
      </c>
      <c r="N330" s="138" t="s">
        <v>173</v>
      </c>
      <c r="O330" s="138" t="s">
        <v>173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2014</v>
      </c>
      <c r="V330" s="13" t="s">
        <v>2014</v>
      </c>
      <c r="W330" s="59">
        <f>+J330/$W$2</f>
        <v>7.2951761824900147E-5</v>
      </c>
    </row>
    <row r="331" spans="1:23">
      <c r="A331" s="13" t="s">
        <v>2047</v>
      </c>
      <c r="B331" s="13" t="s">
        <v>404</v>
      </c>
      <c r="C331" s="138">
        <v>46273</v>
      </c>
      <c r="D331" s="138" t="s">
        <v>424</v>
      </c>
      <c r="E331" s="28">
        <v>0.98862413999999998</v>
      </c>
      <c r="F331" s="13"/>
      <c r="G331" s="18">
        <v>3068102.81</v>
      </c>
      <c r="H331" s="18">
        <v>3033200.49</v>
      </c>
      <c r="I331" s="18">
        <v>3068102.81</v>
      </c>
      <c r="J331" s="18">
        <v>3033200.49</v>
      </c>
      <c r="K331" s="15">
        <v>1635462</v>
      </c>
      <c r="L331" s="13" t="s">
        <v>102</v>
      </c>
      <c r="M331" s="13" t="s">
        <v>103</v>
      </c>
      <c r="N331" s="138" t="s">
        <v>416</v>
      </c>
      <c r="O331" s="138" t="s">
        <v>416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2049</v>
      </c>
      <c r="V331" s="13" t="s">
        <v>2049</v>
      </c>
      <c r="W331" s="59">
        <f>+J331/$W$2</f>
        <v>4.9641583496149314E-5</v>
      </c>
    </row>
    <row r="332" spans="1:23">
      <c r="A332" s="13" t="s">
        <v>2054</v>
      </c>
      <c r="B332" s="13" t="s">
        <v>404</v>
      </c>
      <c r="C332" s="138">
        <v>46273</v>
      </c>
      <c r="D332" s="138" t="s">
        <v>424</v>
      </c>
      <c r="E332" s="28">
        <v>0.99163232000000001</v>
      </c>
      <c r="F332" s="13"/>
      <c r="G332" s="18">
        <v>5100000</v>
      </c>
      <c r="H332" s="18">
        <v>5057324.82</v>
      </c>
      <c r="I332" s="18">
        <v>5100000</v>
      </c>
      <c r="J332" s="18">
        <v>5057324.82</v>
      </c>
      <c r="K332" s="15">
        <v>1</v>
      </c>
      <c r="L332" s="13" t="s">
        <v>102</v>
      </c>
      <c r="M332" s="13" t="s">
        <v>103</v>
      </c>
      <c r="N332" s="138" t="s">
        <v>416</v>
      </c>
      <c r="O332" s="138" t="s">
        <v>416</v>
      </c>
      <c r="P332" s="28">
        <v>22</v>
      </c>
      <c r="Q332" s="13" t="s">
        <v>54</v>
      </c>
      <c r="R332" s="13" t="s">
        <v>28</v>
      </c>
      <c r="S332" s="13"/>
      <c r="T332" s="13"/>
      <c r="U332" s="13" t="s">
        <v>2057</v>
      </c>
      <c r="V332" s="13" t="s">
        <v>2057</v>
      </c>
      <c r="W332" s="59">
        <f>+J332/$W$2</f>
        <v>8.2768551945993621E-5</v>
      </c>
    </row>
    <row r="333" spans="1:23">
      <c r="A333" s="13" t="s">
        <v>2515</v>
      </c>
      <c r="B333" s="13" t="s">
        <v>404</v>
      </c>
      <c r="C333" s="138">
        <v>46273</v>
      </c>
      <c r="D333" s="138" t="s">
        <v>424</v>
      </c>
      <c r="E333" s="28">
        <v>0.98712707</v>
      </c>
      <c r="F333" s="13"/>
      <c r="G333" s="18">
        <v>450000</v>
      </c>
      <c r="H333" s="18">
        <v>444207.18</v>
      </c>
      <c r="I333" s="18">
        <v>450000</v>
      </c>
      <c r="J333" s="18">
        <v>444207.18</v>
      </c>
      <c r="K333" s="15">
        <v>88191682</v>
      </c>
      <c r="L333" s="13" t="s">
        <v>102</v>
      </c>
      <c r="M333" s="13" t="s">
        <v>103</v>
      </c>
      <c r="N333" s="138" t="s">
        <v>464</v>
      </c>
      <c r="O333" s="138" t="s">
        <v>464</v>
      </c>
      <c r="P333" s="28">
        <v>34</v>
      </c>
      <c r="Q333" s="13" t="s">
        <v>54</v>
      </c>
      <c r="R333" s="13" t="s">
        <v>28</v>
      </c>
      <c r="S333" s="13"/>
      <c r="T333" s="13"/>
      <c r="U333" s="13" t="s">
        <v>2555</v>
      </c>
      <c r="V333" s="13" t="s">
        <v>2555</v>
      </c>
      <c r="W333" s="59">
        <f>+J333/$W$2</f>
        <v>7.2699275528466717E-6</v>
      </c>
    </row>
    <row r="334" spans="1:23">
      <c r="A334" s="13" t="s">
        <v>981</v>
      </c>
      <c r="B334" s="13" t="s">
        <v>404</v>
      </c>
      <c r="C334" s="138">
        <v>46273</v>
      </c>
      <c r="D334" s="138" t="s">
        <v>424</v>
      </c>
      <c r="E334" s="28">
        <v>0.98563409000000002</v>
      </c>
      <c r="F334" s="13"/>
      <c r="G334" s="18">
        <v>60000000</v>
      </c>
      <c r="H334" s="18">
        <v>59138045.280000001</v>
      </c>
      <c r="I334" s="18">
        <v>60000000</v>
      </c>
      <c r="J334" s="18">
        <v>59138045.280000001</v>
      </c>
      <c r="K334" s="15">
        <v>70379068</v>
      </c>
      <c r="L334" s="13" t="s">
        <v>102</v>
      </c>
      <c r="M334" s="13" t="s">
        <v>103</v>
      </c>
      <c r="N334" s="138" t="s">
        <v>340</v>
      </c>
      <c r="O334" s="138" t="s">
        <v>340</v>
      </c>
      <c r="P334" s="28">
        <v>38</v>
      </c>
      <c r="Q334" s="13" t="s">
        <v>54</v>
      </c>
      <c r="R334" s="13" t="s">
        <v>28</v>
      </c>
      <c r="S334" s="13"/>
      <c r="T334" s="13"/>
      <c r="U334" s="13" t="s">
        <v>1068</v>
      </c>
      <c r="V334" s="13" t="s">
        <v>1068</v>
      </c>
      <c r="W334" s="59">
        <f>+J334/$W$2</f>
        <v>9.6785762175786104E-4</v>
      </c>
    </row>
    <row r="335" spans="1:23">
      <c r="A335" s="13" t="s">
        <v>190</v>
      </c>
      <c r="B335" s="13" t="s">
        <v>404</v>
      </c>
      <c r="C335" s="138">
        <v>46273</v>
      </c>
      <c r="D335" s="138" t="s">
        <v>424</v>
      </c>
      <c r="E335" s="28">
        <v>0.99163226999999998</v>
      </c>
      <c r="F335" s="13"/>
      <c r="G335" s="18">
        <v>8778036.6500000004</v>
      </c>
      <c r="H335" s="18">
        <v>8704584.4299999997</v>
      </c>
      <c r="I335" s="18">
        <v>8778036.6500000004</v>
      </c>
      <c r="J335" s="18">
        <v>8704584.4299999997</v>
      </c>
      <c r="K335" s="15">
        <v>5</v>
      </c>
      <c r="L335" s="13" t="s">
        <v>102</v>
      </c>
      <c r="M335" s="13" t="s">
        <v>103</v>
      </c>
      <c r="N335" s="138" t="s">
        <v>383</v>
      </c>
      <c r="O335" s="138" t="s">
        <v>383</v>
      </c>
      <c r="P335" s="28">
        <v>22</v>
      </c>
      <c r="Q335" s="13" t="s">
        <v>54</v>
      </c>
      <c r="R335" s="13" t="s">
        <v>28</v>
      </c>
      <c r="S335" s="13"/>
      <c r="T335" s="13"/>
      <c r="U335" s="13" t="s">
        <v>1664</v>
      </c>
      <c r="V335" s="13" t="s">
        <v>1664</v>
      </c>
      <c r="W335" s="59">
        <f>+J335/$W$2</f>
        <v>1.4245987240399209E-4</v>
      </c>
    </row>
    <row r="336" spans="1:23">
      <c r="A336" s="13" t="s">
        <v>190</v>
      </c>
      <c r="B336" s="13" t="s">
        <v>404</v>
      </c>
      <c r="C336" s="138">
        <v>46273</v>
      </c>
      <c r="D336" s="138" t="s">
        <v>424</v>
      </c>
      <c r="E336" s="28">
        <v>0.99163226999999998</v>
      </c>
      <c r="F336" s="13"/>
      <c r="G336" s="18">
        <v>65327733.979999997</v>
      </c>
      <c r="H336" s="18">
        <v>64781089.270000003</v>
      </c>
      <c r="I336" s="18">
        <v>65327733.979999997</v>
      </c>
      <c r="J336" s="18">
        <v>64781089.270000003</v>
      </c>
      <c r="K336" s="15">
        <v>57</v>
      </c>
      <c r="L336" s="13" t="s">
        <v>102</v>
      </c>
      <c r="M336" s="13" t="s">
        <v>103</v>
      </c>
      <c r="N336" s="138" t="s">
        <v>383</v>
      </c>
      <c r="O336" s="138" t="s">
        <v>383</v>
      </c>
      <c r="P336" s="28">
        <v>22</v>
      </c>
      <c r="Q336" s="13" t="s">
        <v>54</v>
      </c>
      <c r="R336" s="13" t="s">
        <v>28</v>
      </c>
      <c r="S336" s="13"/>
      <c r="T336" s="13"/>
      <c r="U336" s="13" t="s">
        <v>1665</v>
      </c>
      <c r="V336" s="13" t="s">
        <v>1665</v>
      </c>
      <c r="W336" s="59">
        <f>+J336/$W$2</f>
        <v>1.0602120969485295E-3</v>
      </c>
    </row>
    <row r="337" spans="1:29">
      <c r="A337" s="13" t="s">
        <v>190</v>
      </c>
      <c r="B337" s="13" t="s">
        <v>404</v>
      </c>
      <c r="C337" s="138">
        <v>46273</v>
      </c>
      <c r="D337" s="138" t="s">
        <v>424</v>
      </c>
      <c r="E337" s="28">
        <v>0.99106685000000005</v>
      </c>
      <c r="F337" s="13"/>
      <c r="G337" s="18">
        <v>35146141.060000002</v>
      </c>
      <c r="H337" s="18">
        <v>34832175.369999997</v>
      </c>
      <c r="I337" s="18">
        <v>35146141.060000002</v>
      </c>
      <c r="J337" s="18">
        <v>34832175.369999997</v>
      </c>
      <c r="K337" s="15">
        <v>86</v>
      </c>
      <c r="L337" s="13" t="s">
        <v>102</v>
      </c>
      <c r="M337" s="13" t="s">
        <v>103</v>
      </c>
      <c r="N337" s="138" t="s">
        <v>339</v>
      </c>
      <c r="O337" s="138" t="s">
        <v>339</v>
      </c>
      <c r="P337" s="28">
        <v>23.5</v>
      </c>
      <c r="Q337" s="13" t="s">
        <v>54</v>
      </c>
      <c r="R337" s="13" t="s">
        <v>28</v>
      </c>
      <c r="S337" s="13"/>
      <c r="T337" s="13"/>
      <c r="U337" s="13" t="s">
        <v>1599</v>
      </c>
      <c r="V337" s="13" t="s">
        <v>1599</v>
      </c>
      <c r="W337" s="59">
        <f>+J337/$W$2</f>
        <v>5.7006595761903314E-4</v>
      </c>
    </row>
    <row r="338" spans="1:29">
      <c r="A338" s="13" t="s">
        <v>1001</v>
      </c>
      <c r="B338" s="13" t="s">
        <v>404</v>
      </c>
      <c r="C338" s="138">
        <v>46273</v>
      </c>
      <c r="D338" s="138" t="s">
        <v>424</v>
      </c>
      <c r="E338" s="28">
        <v>0.98675321000000005</v>
      </c>
      <c r="F338" s="13"/>
      <c r="G338" s="18">
        <v>30000000</v>
      </c>
      <c r="H338" s="18">
        <v>29602596.280000001</v>
      </c>
      <c r="I338" s="18">
        <v>30000000</v>
      </c>
      <c r="J338" s="18">
        <v>29602596.280000001</v>
      </c>
      <c r="K338" s="15">
        <v>306</v>
      </c>
      <c r="L338" s="13" t="s">
        <v>102</v>
      </c>
      <c r="M338" s="13" t="s">
        <v>103</v>
      </c>
      <c r="N338" s="138" t="s">
        <v>353</v>
      </c>
      <c r="O338" s="138" t="s">
        <v>353</v>
      </c>
      <c r="P338" s="28">
        <v>35</v>
      </c>
      <c r="Q338" s="13" t="s">
        <v>54</v>
      </c>
      <c r="R338" s="13" t="s">
        <v>28</v>
      </c>
      <c r="S338" s="13"/>
      <c r="T338" s="13"/>
      <c r="U338" s="13" t="s">
        <v>994</v>
      </c>
      <c r="V338" s="13" t="s">
        <v>994</v>
      </c>
      <c r="W338" s="59">
        <f>+J338/$W$2</f>
        <v>4.844782795536272E-4</v>
      </c>
    </row>
    <row r="339" spans="1:29">
      <c r="A339" s="13" t="s">
        <v>1030</v>
      </c>
      <c r="B339" s="13" t="s">
        <v>404</v>
      </c>
      <c r="C339" s="138">
        <v>46273</v>
      </c>
      <c r="D339" s="138" t="s">
        <v>424</v>
      </c>
      <c r="E339" s="28">
        <v>0.98862412</v>
      </c>
      <c r="F339" s="13"/>
      <c r="G339" s="18">
        <v>2500000</v>
      </c>
      <c r="H339" s="18">
        <v>2471560.31</v>
      </c>
      <c r="I339" s="18">
        <v>2500000</v>
      </c>
      <c r="J339" s="18">
        <v>2471560.31</v>
      </c>
      <c r="K339" s="15">
        <v>345</v>
      </c>
      <c r="L339" s="13" t="s">
        <v>102</v>
      </c>
      <c r="M339" s="13" t="s">
        <v>103</v>
      </c>
      <c r="N339" s="138" t="s">
        <v>343</v>
      </c>
      <c r="O339" s="138" t="s">
        <v>343</v>
      </c>
      <c r="P339" s="28">
        <v>30</v>
      </c>
      <c r="Q339" s="13" t="s">
        <v>54</v>
      </c>
      <c r="R339" s="13" t="s">
        <v>28</v>
      </c>
      <c r="S339" s="13"/>
      <c r="T339" s="13"/>
      <c r="U339" s="13" t="s">
        <v>1475</v>
      </c>
      <c r="V339" s="13" t="s">
        <v>1475</v>
      </c>
      <c r="W339" s="59">
        <f>+J339/$W$2</f>
        <v>4.044973878223054E-5</v>
      </c>
    </row>
    <row r="340" spans="1:29">
      <c r="A340" s="13" t="s">
        <v>1460</v>
      </c>
      <c r="B340" s="13" t="s">
        <v>404</v>
      </c>
      <c r="C340" s="138">
        <v>46273</v>
      </c>
      <c r="D340" s="138" t="s">
        <v>424</v>
      </c>
      <c r="E340" s="28">
        <v>0.98862408000000002</v>
      </c>
      <c r="F340" s="13"/>
      <c r="G340" s="18">
        <v>1579236</v>
      </c>
      <c r="H340" s="18">
        <v>1561270.73</v>
      </c>
      <c r="I340" s="18">
        <v>1579236</v>
      </c>
      <c r="J340" s="18">
        <v>1561270.73</v>
      </c>
      <c r="K340" s="15">
        <v>1557</v>
      </c>
      <c r="L340" s="13" t="s">
        <v>102</v>
      </c>
      <c r="M340" s="13" t="s">
        <v>103</v>
      </c>
      <c r="N340" s="138" t="s">
        <v>383</v>
      </c>
      <c r="O340" s="138" t="s">
        <v>383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1654</v>
      </c>
      <c r="V340" s="13" t="s">
        <v>1654</v>
      </c>
      <c r="W340" s="59">
        <f>+J340/$W$2</f>
        <v>2.5551872208549258E-5</v>
      </c>
    </row>
    <row r="341" spans="1:29">
      <c r="A341" s="13" t="s">
        <v>1349</v>
      </c>
      <c r="B341" s="13" t="s">
        <v>404</v>
      </c>
      <c r="C341" s="138">
        <v>46274</v>
      </c>
      <c r="D341" s="138" t="s">
        <v>424</v>
      </c>
      <c r="E341" s="28">
        <v>0.98782139999999996</v>
      </c>
      <c r="F341" s="13"/>
      <c r="G341" s="18">
        <v>2000000</v>
      </c>
      <c r="H341" s="18">
        <v>1975642.8</v>
      </c>
      <c r="I341" s="18">
        <v>2000000</v>
      </c>
      <c r="J341" s="18">
        <v>1975642.8</v>
      </c>
      <c r="K341" s="15">
        <v>9804</v>
      </c>
      <c r="L341" s="13" t="s">
        <v>102</v>
      </c>
      <c r="M341" s="13" t="s">
        <v>103</v>
      </c>
      <c r="N341" s="138" t="s">
        <v>173</v>
      </c>
      <c r="O341" s="138" t="s">
        <v>173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2001</v>
      </c>
      <c r="V341" s="13" t="s">
        <v>2001</v>
      </c>
      <c r="W341" s="59">
        <f>+J341/$W$2</f>
        <v>3.233351614510857E-5</v>
      </c>
      <c r="AC341" s="56"/>
    </row>
    <row r="342" spans="1:29">
      <c r="A342" s="13" t="s">
        <v>1349</v>
      </c>
      <c r="B342" s="13" t="s">
        <v>404</v>
      </c>
      <c r="C342" s="138">
        <v>46274</v>
      </c>
      <c r="D342" s="138" t="s">
        <v>424</v>
      </c>
      <c r="E342" s="28">
        <v>0.98782139000000002</v>
      </c>
      <c r="F342" s="13"/>
      <c r="G342" s="18">
        <v>2200000</v>
      </c>
      <c r="H342" s="18">
        <v>2173207.0499999998</v>
      </c>
      <c r="I342" s="18">
        <v>2200000</v>
      </c>
      <c r="J342" s="18">
        <v>2173207.0499999998</v>
      </c>
      <c r="K342" s="15">
        <v>9790</v>
      </c>
      <c r="L342" s="13" t="s">
        <v>102</v>
      </c>
      <c r="M342" s="13" t="s">
        <v>103</v>
      </c>
      <c r="N342" s="138" t="s">
        <v>601</v>
      </c>
      <c r="O342" s="138" t="s">
        <v>601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1337</v>
      </c>
      <c r="V342" s="13" t="s">
        <v>1337</v>
      </c>
      <c r="W342" s="59">
        <f>+J342/$W$2</f>
        <v>3.55668672686372E-5</v>
      </c>
    </row>
    <row r="343" spans="1:29">
      <c r="A343" s="13" t="s">
        <v>232</v>
      </c>
      <c r="B343" s="13" t="s">
        <v>404</v>
      </c>
      <c r="C343" s="138">
        <v>46274</v>
      </c>
      <c r="D343" s="138" t="s">
        <v>424</v>
      </c>
      <c r="E343" s="28">
        <v>0.98702000999999995</v>
      </c>
      <c r="F343" s="13"/>
      <c r="G343" s="18">
        <v>25000000</v>
      </c>
      <c r="H343" s="18">
        <v>24675500.300000001</v>
      </c>
      <c r="I343" s="18">
        <v>25000000</v>
      </c>
      <c r="J343" s="18">
        <v>24675500.300000001</v>
      </c>
      <c r="K343" s="15">
        <v>475878</v>
      </c>
      <c r="L343" s="13" t="s">
        <v>102</v>
      </c>
      <c r="M343" s="13" t="s">
        <v>103</v>
      </c>
      <c r="N343" s="138" t="s">
        <v>319</v>
      </c>
      <c r="O343" s="138" t="s">
        <v>319</v>
      </c>
      <c r="P343" s="28">
        <v>32</v>
      </c>
      <c r="Q343" s="13" t="s">
        <v>54</v>
      </c>
      <c r="R343" s="13" t="s">
        <v>28</v>
      </c>
      <c r="S343" s="13"/>
      <c r="T343" s="13"/>
      <c r="U343" s="13" t="s">
        <v>705</v>
      </c>
      <c r="V343" s="13" t="s">
        <v>705</v>
      </c>
      <c r="W343" s="59">
        <f>+J343/$W$2</f>
        <v>4.0384106243227842E-4</v>
      </c>
    </row>
    <row r="344" spans="1:29">
      <c r="A344" s="13" t="s">
        <v>2060</v>
      </c>
      <c r="B344" s="13" t="s">
        <v>404</v>
      </c>
      <c r="C344" s="138">
        <v>46274</v>
      </c>
      <c r="D344" s="138" t="s">
        <v>424</v>
      </c>
      <c r="E344" s="28">
        <v>0.98782143</v>
      </c>
      <c r="F344" s="13"/>
      <c r="G344" s="18">
        <v>8998754.6099999994</v>
      </c>
      <c r="H344" s="18">
        <v>8889162.6699999999</v>
      </c>
      <c r="I344" s="18">
        <v>8998754.6099999994</v>
      </c>
      <c r="J344" s="18">
        <v>8889162.6699999999</v>
      </c>
      <c r="K344" s="15">
        <v>7233</v>
      </c>
      <c r="L344" s="13" t="s">
        <v>102</v>
      </c>
      <c r="M344" s="13" t="s">
        <v>103</v>
      </c>
      <c r="N344" s="138" t="s">
        <v>416</v>
      </c>
      <c r="O344" s="138" t="s">
        <v>416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2061</v>
      </c>
      <c r="V344" s="13" t="s">
        <v>2061</v>
      </c>
      <c r="W344" s="59">
        <f>+J344/$W$2</f>
        <v>1.4548069352766672E-4</v>
      </c>
    </row>
    <row r="345" spans="1:29">
      <c r="A345" s="13" t="s">
        <v>522</v>
      </c>
      <c r="B345" s="13" t="s">
        <v>404</v>
      </c>
      <c r="C345" s="138">
        <v>46274</v>
      </c>
      <c r="D345" s="138" t="s">
        <v>424</v>
      </c>
      <c r="E345" s="28">
        <v>0.98462371000000004</v>
      </c>
      <c r="F345" s="13"/>
      <c r="G345" s="18">
        <v>7133529.1399999997</v>
      </c>
      <c r="H345" s="18">
        <v>7023841.9199999999</v>
      </c>
      <c r="I345" s="18">
        <v>7133529.1399999997</v>
      </c>
      <c r="J345" s="18">
        <v>7023841.9199999999</v>
      </c>
      <c r="K345" s="15">
        <v>90000168</v>
      </c>
      <c r="L345" s="13" t="s">
        <v>102</v>
      </c>
      <c r="M345" s="13" t="s">
        <v>103</v>
      </c>
      <c r="N345" s="138" t="s">
        <v>289</v>
      </c>
      <c r="O345" s="138" t="s">
        <v>289</v>
      </c>
      <c r="P345" s="28">
        <v>38</v>
      </c>
      <c r="Q345" s="13" t="s">
        <v>54</v>
      </c>
      <c r="R345" s="13" t="s">
        <v>28</v>
      </c>
      <c r="S345" s="13"/>
      <c r="T345" s="13"/>
      <c r="U345" s="13" t="s">
        <v>621</v>
      </c>
      <c r="V345" s="13" t="s">
        <v>621</v>
      </c>
      <c r="W345" s="59">
        <f>+J345/$W$2</f>
        <v>1.1495271621014201E-4</v>
      </c>
    </row>
    <row r="346" spans="1:29">
      <c r="A346" s="13" t="s">
        <v>722</v>
      </c>
      <c r="B346" s="13" t="s">
        <v>404</v>
      </c>
      <c r="C346" s="138">
        <v>46274</v>
      </c>
      <c r="D346" s="138" t="s">
        <v>424</v>
      </c>
      <c r="E346" s="28">
        <v>0.98382749999999997</v>
      </c>
      <c r="F346" s="13"/>
      <c r="G346" s="18">
        <v>15166667</v>
      </c>
      <c r="H346" s="18">
        <v>14921384.07</v>
      </c>
      <c r="I346" s="18">
        <v>15166667</v>
      </c>
      <c r="J346" s="18">
        <v>14921384.07</v>
      </c>
      <c r="K346" s="15">
        <v>90020553</v>
      </c>
      <c r="L346" s="13" t="s">
        <v>102</v>
      </c>
      <c r="M346" s="13" t="s">
        <v>103</v>
      </c>
      <c r="N346" s="138" t="s">
        <v>309</v>
      </c>
      <c r="O346" s="138" t="s">
        <v>315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717</v>
      </c>
      <c r="V346" s="13" t="s">
        <v>717</v>
      </c>
      <c r="W346" s="59">
        <f>+J346/$W$2</f>
        <v>2.4420447498642506E-4</v>
      </c>
    </row>
    <row r="347" spans="1:29">
      <c r="A347" s="13" t="s">
        <v>1054</v>
      </c>
      <c r="B347" s="13" t="s">
        <v>404</v>
      </c>
      <c r="C347" s="138">
        <v>46274</v>
      </c>
      <c r="D347" s="138" t="s">
        <v>424</v>
      </c>
      <c r="E347" s="28">
        <v>0.98782143</v>
      </c>
      <c r="F347" s="13"/>
      <c r="G347" s="18">
        <v>2700000</v>
      </c>
      <c r="H347" s="18">
        <v>2667117.87</v>
      </c>
      <c r="I347" s="18">
        <v>2700000</v>
      </c>
      <c r="J347" s="18">
        <v>2667117.87</v>
      </c>
      <c r="K347" s="15">
        <v>6276</v>
      </c>
      <c r="L347" s="13" t="s">
        <v>102</v>
      </c>
      <c r="M347" s="13" t="s">
        <v>103</v>
      </c>
      <c r="N347" s="138" t="s">
        <v>162</v>
      </c>
      <c r="O347" s="138" t="s">
        <v>162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1049</v>
      </c>
      <c r="V347" s="13" t="s">
        <v>1049</v>
      </c>
      <c r="W347" s="59">
        <f>+J347/$W$2</f>
        <v>4.3650248268843225E-5</v>
      </c>
    </row>
    <row r="348" spans="1:29">
      <c r="A348" s="13" t="s">
        <v>405</v>
      </c>
      <c r="B348" s="13" t="s">
        <v>404</v>
      </c>
      <c r="C348" s="138">
        <v>46274</v>
      </c>
      <c r="D348" s="138" t="s">
        <v>424</v>
      </c>
      <c r="E348" s="28">
        <v>0.98702022</v>
      </c>
      <c r="F348" s="13"/>
      <c r="G348" s="18">
        <v>2000000</v>
      </c>
      <c r="H348" s="18">
        <v>1974040.44</v>
      </c>
      <c r="I348" s="18">
        <v>2000000</v>
      </c>
      <c r="J348" s="18">
        <v>1974040.44</v>
      </c>
      <c r="K348" s="15">
        <v>1005</v>
      </c>
      <c r="L348" s="13" t="s">
        <v>102</v>
      </c>
      <c r="M348" s="13" t="s">
        <v>103</v>
      </c>
      <c r="N348" s="138" t="s">
        <v>345</v>
      </c>
      <c r="O348" s="138" t="s">
        <v>345</v>
      </c>
      <c r="P348" s="28">
        <v>32</v>
      </c>
      <c r="Q348" s="13" t="s">
        <v>54</v>
      </c>
      <c r="R348" s="13" t="s">
        <v>28</v>
      </c>
      <c r="S348" s="13"/>
      <c r="T348" s="13"/>
      <c r="U348" s="13" t="s">
        <v>2426</v>
      </c>
      <c r="V348" s="13" t="s">
        <v>2426</v>
      </c>
      <c r="W348" s="59">
        <f>+J348/$W$2</f>
        <v>3.2307291802869032E-5</v>
      </c>
      <c r="AC348" s="56"/>
    </row>
    <row r="349" spans="1:29">
      <c r="A349" s="13" t="s">
        <v>516</v>
      </c>
      <c r="B349" s="13" t="s">
        <v>404</v>
      </c>
      <c r="C349" s="138">
        <v>46274</v>
      </c>
      <c r="D349" s="138" t="s">
        <v>424</v>
      </c>
      <c r="E349" s="28">
        <v>0.98661982000000004</v>
      </c>
      <c r="F349" s="13"/>
      <c r="G349" s="18">
        <v>5000000</v>
      </c>
      <c r="H349" s="18">
        <v>4933099.1100000003</v>
      </c>
      <c r="I349" s="18">
        <v>5000000</v>
      </c>
      <c r="J349" s="18">
        <v>4933099.1100000003</v>
      </c>
      <c r="K349" s="15">
        <v>3817583</v>
      </c>
      <c r="L349" s="13" t="s">
        <v>102</v>
      </c>
      <c r="M349" s="13" t="s">
        <v>103</v>
      </c>
      <c r="N349" s="138" t="s">
        <v>422</v>
      </c>
      <c r="O349" s="138" t="s">
        <v>422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2269</v>
      </c>
      <c r="V349" s="13" t="s">
        <v>2269</v>
      </c>
      <c r="W349" s="59">
        <f>+J349/$W$2</f>
        <v>8.0735464790804144E-5</v>
      </c>
    </row>
    <row r="350" spans="1:29">
      <c r="A350" s="13" t="s">
        <v>517</v>
      </c>
      <c r="B350" s="13" t="s">
        <v>404</v>
      </c>
      <c r="C350" s="138">
        <v>46274</v>
      </c>
      <c r="D350" s="138" t="s">
        <v>424</v>
      </c>
      <c r="E350" s="28">
        <v>0.98742054000000001</v>
      </c>
      <c r="F350" s="13"/>
      <c r="G350" s="18">
        <v>10000000</v>
      </c>
      <c r="H350" s="18">
        <v>9874205.3900000006</v>
      </c>
      <c r="I350" s="18">
        <v>10000000</v>
      </c>
      <c r="J350" s="18">
        <v>9874205.3900000006</v>
      </c>
      <c r="K350" s="15">
        <v>14004251</v>
      </c>
      <c r="L350" s="13" t="s">
        <v>102</v>
      </c>
      <c r="M350" s="13" t="s">
        <v>103</v>
      </c>
      <c r="N350" s="138" t="s">
        <v>341</v>
      </c>
      <c r="O350" s="138" t="s">
        <v>341</v>
      </c>
      <c r="P350" s="28">
        <v>31</v>
      </c>
      <c r="Q350" s="13" t="s">
        <v>54</v>
      </c>
      <c r="R350" s="13" t="s">
        <v>28</v>
      </c>
      <c r="S350" s="13"/>
      <c r="T350" s="13"/>
      <c r="U350" s="13" t="s">
        <v>1957</v>
      </c>
      <c r="V350" s="13" t="s">
        <v>1957</v>
      </c>
      <c r="W350" s="59">
        <f>+J350/$W$2</f>
        <v>1.6160197551788364E-4</v>
      </c>
    </row>
    <row r="351" spans="1:29">
      <c r="A351" s="13" t="s">
        <v>285</v>
      </c>
      <c r="B351" s="13" t="s">
        <v>404</v>
      </c>
      <c r="C351" s="138">
        <v>46274</v>
      </c>
      <c r="D351" s="138" t="s">
        <v>424</v>
      </c>
      <c r="E351" s="28">
        <v>0.98822257999999996</v>
      </c>
      <c r="F351" s="13"/>
      <c r="G351" s="18">
        <v>10000000</v>
      </c>
      <c r="H351" s="18">
        <v>9882225.8000000007</v>
      </c>
      <c r="I351" s="18">
        <v>10000000</v>
      </c>
      <c r="J351" s="18">
        <v>9882225.8000000007</v>
      </c>
      <c r="K351" s="15">
        <v>66613416</v>
      </c>
      <c r="L351" s="13" t="s">
        <v>102</v>
      </c>
      <c r="M351" s="13" t="s">
        <v>103</v>
      </c>
      <c r="N351" s="138" t="s">
        <v>303</v>
      </c>
      <c r="O351" s="138" t="s">
        <v>303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687</v>
      </c>
      <c r="V351" s="13" t="s">
        <v>687</v>
      </c>
      <c r="W351" s="59">
        <f>+J351/$W$2</f>
        <v>1.6173323814097794E-4</v>
      </c>
    </row>
    <row r="352" spans="1:29">
      <c r="A352" s="13" t="s">
        <v>565</v>
      </c>
      <c r="B352" s="13" t="s">
        <v>404</v>
      </c>
      <c r="C352" s="138">
        <v>46274</v>
      </c>
      <c r="D352" s="138" t="s">
        <v>424</v>
      </c>
      <c r="E352" s="28">
        <v>0.98902588999999996</v>
      </c>
      <c r="F352" s="13"/>
      <c r="G352" s="18">
        <v>10000000</v>
      </c>
      <c r="H352" s="18">
        <v>9890258.9299999997</v>
      </c>
      <c r="I352" s="18">
        <v>10000000</v>
      </c>
      <c r="J352" s="18">
        <v>9890258.9299999997</v>
      </c>
      <c r="K352" s="15">
        <v>67936427</v>
      </c>
      <c r="L352" s="13" t="s">
        <v>102</v>
      </c>
      <c r="M352" s="13" t="s">
        <v>103</v>
      </c>
      <c r="N352" s="138" t="s">
        <v>393</v>
      </c>
      <c r="O352" s="138" t="s">
        <v>393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1133</v>
      </c>
      <c r="V352" s="13" t="s">
        <v>1133</v>
      </c>
      <c r="W352" s="59">
        <f>+J352/$W$2</f>
        <v>1.6186470894053275E-4</v>
      </c>
    </row>
    <row r="353" spans="1:29">
      <c r="A353" s="13" t="s">
        <v>565</v>
      </c>
      <c r="B353" s="13" t="s">
        <v>404</v>
      </c>
      <c r="C353" s="138">
        <v>46274</v>
      </c>
      <c r="D353" s="138" t="s">
        <v>424</v>
      </c>
      <c r="E353" s="28">
        <v>0.99023331999999997</v>
      </c>
      <c r="F353" s="13"/>
      <c r="G353" s="18">
        <v>3000000</v>
      </c>
      <c r="H353" s="18">
        <v>2970699.96</v>
      </c>
      <c r="I353" s="18">
        <v>3000000</v>
      </c>
      <c r="J353" s="18">
        <v>2970699.96</v>
      </c>
      <c r="K353" s="15">
        <v>918075</v>
      </c>
      <c r="L353" s="13" t="s">
        <v>102</v>
      </c>
      <c r="M353" s="13" t="s">
        <v>103</v>
      </c>
      <c r="N353" s="138" t="s">
        <v>601</v>
      </c>
      <c r="O353" s="138" t="s">
        <v>601</v>
      </c>
      <c r="P353" s="28">
        <v>24</v>
      </c>
      <c r="Q353" s="13" t="s">
        <v>54</v>
      </c>
      <c r="R353" s="13" t="s">
        <v>28</v>
      </c>
      <c r="S353" s="13"/>
      <c r="T353" s="13"/>
      <c r="U353" s="13" t="s">
        <v>1335</v>
      </c>
      <c r="V353" s="13" t="s">
        <v>1335</v>
      </c>
      <c r="W353" s="59">
        <f>+J353/$W$2</f>
        <v>4.8618695200839632E-5</v>
      </c>
    </row>
    <row r="354" spans="1:29">
      <c r="A354" s="13" t="s">
        <v>565</v>
      </c>
      <c r="B354" s="13" t="s">
        <v>404</v>
      </c>
      <c r="C354" s="138">
        <v>46274</v>
      </c>
      <c r="D354" s="138" t="s">
        <v>424</v>
      </c>
      <c r="E354" s="28">
        <v>0.98983056999999997</v>
      </c>
      <c r="F354" s="13"/>
      <c r="G354" s="18">
        <v>25000000</v>
      </c>
      <c r="H354" s="18">
        <v>24745764.27</v>
      </c>
      <c r="I354" s="18">
        <v>25000000</v>
      </c>
      <c r="J354" s="18">
        <v>24745764.27</v>
      </c>
      <c r="K354" s="15">
        <v>6532</v>
      </c>
      <c r="L354" s="13" t="s">
        <v>102</v>
      </c>
      <c r="M354" s="13" t="s">
        <v>103</v>
      </c>
      <c r="N354" s="138" t="s">
        <v>346</v>
      </c>
      <c r="O354" s="138" t="s">
        <v>346</v>
      </c>
      <c r="P354" s="28">
        <v>25</v>
      </c>
      <c r="Q354" s="13" t="s">
        <v>54</v>
      </c>
      <c r="R354" s="13" t="s">
        <v>28</v>
      </c>
      <c r="S354" s="13"/>
      <c r="T354" s="13"/>
      <c r="U354" s="13" t="s">
        <v>1493</v>
      </c>
      <c r="V354" s="13" t="s">
        <v>1493</v>
      </c>
      <c r="W354" s="59">
        <f>+J354/$W$2</f>
        <v>4.0499100776066185E-4</v>
      </c>
    </row>
    <row r="355" spans="1:29">
      <c r="A355" s="13" t="s">
        <v>565</v>
      </c>
      <c r="B355" s="13" t="s">
        <v>404</v>
      </c>
      <c r="C355" s="138">
        <v>46274</v>
      </c>
      <c r="D355" s="138" t="s">
        <v>424</v>
      </c>
      <c r="E355" s="28">
        <v>0.98983056999999997</v>
      </c>
      <c r="F355" s="13"/>
      <c r="G355" s="18">
        <v>25000000</v>
      </c>
      <c r="H355" s="18">
        <v>24745764.27</v>
      </c>
      <c r="I355" s="18">
        <v>25000000</v>
      </c>
      <c r="J355" s="18">
        <v>24745764.27</v>
      </c>
      <c r="K355" s="15">
        <v>6533</v>
      </c>
      <c r="L355" s="13" t="s">
        <v>102</v>
      </c>
      <c r="M355" s="13" t="s">
        <v>103</v>
      </c>
      <c r="N355" s="138" t="s">
        <v>346</v>
      </c>
      <c r="O355" s="138" t="s">
        <v>346</v>
      </c>
      <c r="P355" s="28">
        <v>25</v>
      </c>
      <c r="Q355" s="13" t="s">
        <v>54</v>
      </c>
      <c r="R355" s="13" t="s">
        <v>28</v>
      </c>
      <c r="S355" s="13"/>
      <c r="T355" s="13"/>
      <c r="U355" s="13" t="s">
        <v>1495</v>
      </c>
      <c r="V355" s="13" t="s">
        <v>1495</v>
      </c>
      <c r="W355" s="59">
        <f>+J355/$W$2</f>
        <v>4.0499100776066185E-4</v>
      </c>
    </row>
    <row r="356" spans="1:29">
      <c r="A356" s="13" t="s">
        <v>285</v>
      </c>
      <c r="B356" s="13" t="s">
        <v>404</v>
      </c>
      <c r="C356" s="138">
        <v>46274</v>
      </c>
      <c r="D356" s="138" t="s">
        <v>424</v>
      </c>
      <c r="E356" s="28">
        <v>0.98983051</v>
      </c>
      <c r="F356" s="13"/>
      <c r="G356" s="18">
        <v>5000000</v>
      </c>
      <c r="H356" s="18">
        <v>4949152.5599999996</v>
      </c>
      <c r="I356" s="18">
        <v>5000000</v>
      </c>
      <c r="J356" s="18">
        <v>4949152.5599999996</v>
      </c>
      <c r="K356" s="15">
        <v>68370685</v>
      </c>
      <c r="L356" s="13" t="s">
        <v>102</v>
      </c>
      <c r="M356" s="13" t="s">
        <v>103</v>
      </c>
      <c r="N356" s="138" t="s">
        <v>383</v>
      </c>
      <c r="O356" s="138" t="s">
        <v>383</v>
      </c>
      <c r="P356" s="28">
        <v>25</v>
      </c>
      <c r="Q356" s="13" t="s">
        <v>54</v>
      </c>
      <c r="R356" s="13" t="s">
        <v>28</v>
      </c>
      <c r="S356" s="13"/>
      <c r="T356" s="13"/>
      <c r="U356" s="13" t="s">
        <v>1611</v>
      </c>
      <c r="V356" s="13" t="s">
        <v>1611</v>
      </c>
      <c r="W356" s="59">
        <f>+J356/$W$2</f>
        <v>8.099819674050663E-5</v>
      </c>
    </row>
    <row r="357" spans="1:29">
      <c r="A357" s="13" t="s">
        <v>285</v>
      </c>
      <c r="B357" s="13" t="s">
        <v>404</v>
      </c>
      <c r="C357" s="138">
        <v>46274</v>
      </c>
      <c r="D357" s="138" t="s">
        <v>424</v>
      </c>
      <c r="E357" s="28">
        <v>0.98983051</v>
      </c>
      <c r="F357" s="13"/>
      <c r="G357" s="18">
        <v>5000000</v>
      </c>
      <c r="H357" s="18">
        <v>4949152.5599999996</v>
      </c>
      <c r="I357" s="18">
        <v>5000000</v>
      </c>
      <c r="J357" s="18">
        <v>4949152.5599999996</v>
      </c>
      <c r="K357" s="15">
        <v>68370686</v>
      </c>
      <c r="L357" s="13" t="s">
        <v>102</v>
      </c>
      <c r="M357" s="13" t="s">
        <v>103</v>
      </c>
      <c r="N357" s="138" t="s">
        <v>383</v>
      </c>
      <c r="O357" s="138" t="s">
        <v>383</v>
      </c>
      <c r="P357" s="28">
        <v>25</v>
      </c>
      <c r="Q357" s="13" t="s">
        <v>54</v>
      </c>
      <c r="R357" s="13" t="s">
        <v>28</v>
      </c>
      <c r="S357" s="13"/>
      <c r="T357" s="13"/>
      <c r="U357" s="13" t="s">
        <v>1612</v>
      </c>
      <c r="V357" s="13" t="s">
        <v>1612</v>
      </c>
      <c r="W357" s="59">
        <f>+J357/$W$2</f>
        <v>8.099819674050663E-5</v>
      </c>
      <c r="AC357" s="56"/>
    </row>
    <row r="358" spans="1:29">
      <c r="A358" s="13" t="s">
        <v>405</v>
      </c>
      <c r="B358" s="13" t="s">
        <v>404</v>
      </c>
      <c r="C358" s="138">
        <v>46274</v>
      </c>
      <c r="D358" s="138" t="s">
        <v>424</v>
      </c>
      <c r="E358" s="28">
        <v>0.98782141000000001</v>
      </c>
      <c r="F358" s="13"/>
      <c r="G358" s="18">
        <v>5000000</v>
      </c>
      <c r="H358" s="18">
        <v>4939107.04</v>
      </c>
      <c r="I358" s="18">
        <v>5000000</v>
      </c>
      <c r="J358" s="18">
        <v>4939107.04</v>
      </c>
      <c r="K358" s="15">
        <v>682</v>
      </c>
      <c r="L358" s="13" t="s">
        <v>102</v>
      </c>
      <c r="M358" s="13" t="s">
        <v>103</v>
      </c>
      <c r="N358" s="138" t="s">
        <v>382</v>
      </c>
      <c r="O358" s="138" t="s">
        <v>382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1116</v>
      </c>
      <c r="V358" s="13" t="s">
        <v>1116</v>
      </c>
      <c r="W358" s="59">
        <f>+J358/$W$2</f>
        <v>8.0833791017414375E-5</v>
      </c>
    </row>
    <row r="359" spans="1:29">
      <c r="A359" s="13" t="s">
        <v>375</v>
      </c>
      <c r="B359" s="13" t="s">
        <v>404</v>
      </c>
      <c r="C359" s="138">
        <v>46274</v>
      </c>
      <c r="D359" s="138" t="s">
        <v>424</v>
      </c>
      <c r="E359" s="28">
        <v>0.98542116999999996</v>
      </c>
      <c r="F359" s="13"/>
      <c r="G359" s="18">
        <v>2333401.2200000002</v>
      </c>
      <c r="H359" s="18">
        <v>2299382.96</v>
      </c>
      <c r="I359" s="18">
        <v>2333401.2200000002</v>
      </c>
      <c r="J359" s="18">
        <v>2299382.96</v>
      </c>
      <c r="K359" s="15">
        <v>2663</v>
      </c>
      <c r="L359" s="13" t="s">
        <v>102</v>
      </c>
      <c r="M359" s="13" t="s">
        <v>103</v>
      </c>
      <c r="N359" s="138" t="s">
        <v>391</v>
      </c>
      <c r="O359" s="138" t="s">
        <v>391</v>
      </c>
      <c r="P359" s="28">
        <v>36</v>
      </c>
      <c r="Q359" s="13" t="s">
        <v>54</v>
      </c>
      <c r="R359" s="13" t="s">
        <v>28</v>
      </c>
      <c r="S359" s="13"/>
      <c r="T359" s="13"/>
      <c r="U359" s="13" t="s">
        <v>812</v>
      </c>
      <c r="V359" s="13" t="s">
        <v>812</v>
      </c>
      <c r="W359" s="59">
        <f>+J359/$W$2</f>
        <v>3.7631871541225737E-5</v>
      </c>
      <c r="AC359"/>
    </row>
    <row r="360" spans="1:29">
      <c r="A360" s="13" t="s">
        <v>1167</v>
      </c>
      <c r="B360" s="13" t="s">
        <v>404</v>
      </c>
      <c r="C360" s="138">
        <v>46274</v>
      </c>
      <c r="D360" s="138" t="s">
        <v>424</v>
      </c>
      <c r="E360" s="28">
        <v>0.98882493999999999</v>
      </c>
      <c r="F360" s="13"/>
      <c r="G360" s="18">
        <v>25000000</v>
      </c>
      <c r="H360" s="18">
        <v>24720623.399999999</v>
      </c>
      <c r="I360" s="18">
        <v>25000000</v>
      </c>
      <c r="J360" s="18">
        <v>24720623.399999999</v>
      </c>
      <c r="K360" s="15">
        <v>321</v>
      </c>
      <c r="L360" s="13" t="s">
        <v>102</v>
      </c>
      <c r="M360" s="13" t="s">
        <v>103</v>
      </c>
      <c r="N360" s="138" t="s">
        <v>419</v>
      </c>
      <c r="O360" s="138" t="s">
        <v>419</v>
      </c>
      <c r="P360" s="28">
        <v>27.5</v>
      </c>
      <c r="Q360" s="13" t="s">
        <v>54</v>
      </c>
      <c r="R360" s="13" t="s">
        <v>28</v>
      </c>
      <c r="S360" s="13"/>
      <c r="T360" s="13"/>
      <c r="U360" s="13" t="s">
        <v>1264</v>
      </c>
      <c r="V360" s="13" t="s">
        <v>1264</v>
      </c>
      <c r="W360" s="59">
        <f>+J360/$W$2</f>
        <v>4.045795504233096E-4</v>
      </c>
    </row>
    <row r="361" spans="1:29">
      <c r="A361" s="13" t="s">
        <v>1779</v>
      </c>
      <c r="B361" s="13" t="s">
        <v>404</v>
      </c>
      <c r="C361" s="138">
        <v>46274</v>
      </c>
      <c r="D361" s="138" t="s">
        <v>424</v>
      </c>
      <c r="E361" s="28">
        <v>0.98661984000000003</v>
      </c>
      <c r="F361" s="13"/>
      <c r="G361" s="18">
        <v>5000000</v>
      </c>
      <c r="H361" s="18">
        <v>4933099.1900000004</v>
      </c>
      <c r="I361" s="18">
        <v>5000000</v>
      </c>
      <c r="J361" s="18">
        <v>4933099.1900000004</v>
      </c>
      <c r="K361" s="15">
        <v>900</v>
      </c>
      <c r="L361" s="13" t="s">
        <v>102</v>
      </c>
      <c r="M361" s="13" t="s">
        <v>103</v>
      </c>
      <c r="N361" s="138" t="s">
        <v>388</v>
      </c>
      <c r="O361" s="138" t="s">
        <v>388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1857</v>
      </c>
      <c r="V361" s="13" t="s">
        <v>1857</v>
      </c>
      <c r="W361" s="59">
        <f>+J361/$W$2</f>
        <v>8.0735466100090062E-5</v>
      </c>
    </row>
    <row r="362" spans="1:29">
      <c r="A362" s="13" t="s">
        <v>413</v>
      </c>
      <c r="B362" s="13" t="s">
        <v>404</v>
      </c>
      <c r="C362" s="138">
        <v>46274</v>
      </c>
      <c r="D362" s="138" t="s">
        <v>424</v>
      </c>
      <c r="E362" s="28">
        <v>0.98661982000000004</v>
      </c>
      <c r="F362" s="13"/>
      <c r="G362" s="18">
        <v>16005575.68</v>
      </c>
      <c r="H362" s="18">
        <v>15791418.26</v>
      </c>
      <c r="I362" s="18">
        <v>16005575.68</v>
      </c>
      <c r="J362" s="18">
        <v>15791418.26</v>
      </c>
      <c r="K362" s="15">
        <v>30716</v>
      </c>
      <c r="L362" s="13" t="s">
        <v>102</v>
      </c>
      <c r="M362" s="13" t="s">
        <v>103</v>
      </c>
      <c r="N362" s="138" t="s">
        <v>391</v>
      </c>
      <c r="O362" s="138" t="s">
        <v>391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794</v>
      </c>
      <c r="V362" s="13" t="s">
        <v>794</v>
      </c>
      <c r="W362" s="59">
        <f>+J362/$W$2</f>
        <v>2.5844351887085673E-4</v>
      </c>
    </row>
    <row r="363" spans="1:29">
      <c r="A363" s="13" t="s">
        <v>1807</v>
      </c>
      <c r="B363" s="13" t="s">
        <v>404</v>
      </c>
      <c r="C363" s="138">
        <v>46274</v>
      </c>
      <c r="D363" s="138" t="s">
        <v>424</v>
      </c>
      <c r="E363" s="28">
        <v>0.98782139000000002</v>
      </c>
      <c r="F363" s="13"/>
      <c r="G363" s="18">
        <v>1836000</v>
      </c>
      <c r="H363" s="18">
        <v>1813640.08</v>
      </c>
      <c r="I363" s="18">
        <v>1836000</v>
      </c>
      <c r="J363" s="18">
        <v>1813640.08</v>
      </c>
      <c r="K363" s="15">
        <v>29513608</v>
      </c>
      <c r="L363" s="13" t="s">
        <v>102</v>
      </c>
      <c r="M363" s="13" t="s">
        <v>103</v>
      </c>
      <c r="N363" s="138" t="s">
        <v>384</v>
      </c>
      <c r="O363" s="138" t="s">
        <v>384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1786</v>
      </c>
      <c r="V363" s="13" t="s">
        <v>1786</v>
      </c>
      <c r="W363" s="59">
        <f>+J363/$W$2</f>
        <v>2.9682167651002498E-5</v>
      </c>
      <c r="AC363" s="56"/>
    </row>
    <row r="364" spans="1:29">
      <c r="A364" s="13" t="s">
        <v>1881</v>
      </c>
      <c r="B364" s="13" t="s">
        <v>404</v>
      </c>
      <c r="C364" s="138">
        <v>46274</v>
      </c>
      <c r="D364" s="138" t="s">
        <v>424</v>
      </c>
      <c r="E364" s="28">
        <v>0.98661984000000003</v>
      </c>
      <c r="F364" s="13"/>
      <c r="G364" s="18">
        <v>7023518</v>
      </c>
      <c r="H364" s="18">
        <v>6929542.1900000004</v>
      </c>
      <c r="I364" s="18">
        <v>7023518</v>
      </c>
      <c r="J364" s="18">
        <v>6929542.1900000004</v>
      </c>
      <c r="K364" s="15">
        <v>68448561</v>
      </c>
      <c r="L364" s="13" t="s">
        <v>102</v>
      </c>
      <c r="M364" s="13" t="s">
        <v>103</v>
      </c>
      <c r="N364" s="138" t="s">
        <v>388</v>
      </c>
      <c r="O364" s="138" t="s">
        <v>388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1869</v>
      </c>
      <c r="V364" s="13" t="s">
        <v>1869</v>
      </c>
      <c r="W364" s="59">
        <f>+J364/$W$2</f>
        <v>1.1340939985637889E-4</v>
      </c>
    </row>
    <row r="365" spans="1:29">
      <c r="A365" s="13" t="s">
        <v>1605</v>
      </c>
      <c r="B365" s="13" t="s">
        <v>404</v>
      </c>
      <c r="C365" s="138">
        <v>46274</v>
      </c>
      <c r="D365" s="138" t="s">
        <v>424</v>
      </c>
      <c r="E365" s="28">
        <v>0.99023333000000002</v>
      </c>
      <c r="F365" s="13"/>
      <c r="G365" s="18">
        <v>70954077.530000001</v>
      </c>
      <c r="H365" s="18">
        <v>70261092.359999999</v>
      </c>
      <c r="I365" s="18">
        <v>70954077.530000001</v>
      </c>
      <c r="J365" s="18">
        <v>70261092.359999999</v>
      </c>
      <c r="K365" s="15">
        <v>923848</v>
      </c>
      <c r="L365" s="13" t="s">
        <v>102</v>
      </c>
      <c r="M365" s="13" t="s">
        <v>103</v>
      </c>
      <c r="N365" s="138" t="s">
        <v>339</v>
      </c>
      <c r="O365" s="138" t="s">
        <v>339</v>
      </c>
      <c r="P365" s="28">
        <v>24</v>
      </c>
      <c r="Q365" s="13" t="s">
        <v>54</v>
      </c>
      <c r="R365" s="13" t="s">
        <v>28</v>
      </c>
      <c r="S365" s="13"/>
      <c r="T365" s="13"/>
      <c r="U365" s="13" t="s">
        <v>1561</v>
      </c>
      <c r="V365" s="13" t="s">
        <v>1561</v>
      </c>
      <c r="W365" s="59">
        <f>+J365/$W$2</f>
        <v>1.1498982327144483E-3</v>
      </c>
    </row>
    <row r="366" spans="1:29">
      <c r="A366" s="13" t="s">
        <v>1151</v>
      </c>
      <c r="B366" s="13" t="s">
        <v>404</v>
      </c>
      <c r="C366" s="138">
        <v>46274</v>
      </c>
      <c r="D366" s="138" t="s">
        <v>424</v>
      </c>
      <c r="E366" s="28">
        <v>0.98661984999999996</v>
      </c>
      <c r="F366" s="13"/>
      <c r="G366" s="18">
        <v>2000000</v>
      </c>
      <c r="H366" s="18">
        <v>1973239.69</v>
      </c>
      <c r="I366" s="18">
        <v>2000000</v>
      </c>
      <c r="J366" s="18">
        <v>1973239.69</v>
      </c>
      <c r="K366" s="15">
        <v>13669243</v>
      </c>
      <c r="L366" s="13" t="s">
        <v>102</v>
      </c>
      <c r="M366" s="13" t="s">
        <v>103</v>
      </c>
      <c r="N366" s="138" t="s">
        <v>388</v>
      </c>
      <c r="O366" s="138" t="s">
        <v>388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1862</v>
      </c>
      <c r="V366" s="13" t="s">
        <v>1862</v>
      </c>
      <c r="W366" s="59">
        <f>+J366/$W$2</f>
        <v>3.2294186669161058E-5</v>
      </c>
    </row>
    <row r="367" spans="1:29">
      <c r="A367" s="13" t="s">
        <v>1169</v>
      </c>
      <c r="B367" s="13" t="s">
        <v>404</v>
      </c>
      <c r="C367" s="138">
        <v>46274</v>
      </c>
      <c r="D367" s="138" t="s">
        <v>424</v>
      </c>
      <c r="E367" s="28">
        <v>0.98702002</v>
      </c>
      <c r="F367" s="13"/>
      <c r="G367" s="18">
        <v>40000000</v>
      </c>
      <c r="H367" s="18">
        <v>39480800.780000001</v>
      </c>
      <c r="I367" s="18">
        <v>40000000</v>
      </c>
      <c r="J367" s="18">
        <v>39480800.780000001</v>
      </c>
      <c r="K367" s="15">
        <v>10629810</v>
      </c>
      <c r="L367" s="13" t="s">
        <v>102</v>
      </c>
      <c r="M367" s="13" t="s">
        <v>103</v>
      </c>
      <c r="N367" s="138" t="s">
        <v>422</v>
      </c>
      <c r="O367" s="138" t="s">
        <v>422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2243</v>
      </c>
      <c r="V367" s="13" t="s">
        <v>2243</v>
      </c>
      <c r="W367" s="59">
        <f>+J367/$W$2</f>
        <v>6.4614570480146761E-4</v>
      </c>
    </row>
    <row r="368" spans="1:29">
      <c r="A368" s="13" t="s">
        <v>1425</v>
      </c>
      <c r="B368" s="13" t="s">
        <v>404</v>
      </c>
      <c r="C368" s="138">
        <v>46274</v>
      </c>
      <c r="D368" s="138" t="s">
        <v>424</v>
      </c>
      <c r="E368" s="28">
        <v>0.98702003999999999</v>
      </c>
      <c r="F368" s="13"/>
      <c r="G368" s="18">
        <v>1006039</v>
      </c>
      <c r="H368" s="18">
        <v>992980.65</v>
      </c>
      <c r="I368" s="18">
        <v>1006039</v>
      </c>
      <c r="J368" s="18">
        <v>992980.65</v>
      </c>
      <c r="K368" s="15">
        <v>10343827</v>
      </c>
      <c r="L368" s="13" t="s">
        <v>102</v>
      </c>
      <c r="M368" s="13" t="s">
        <v>103</v>
      </c>
      <c r="N368" s="138" t="s">
        <v>421</v>
      </c>
      <c r="O368" s="138" t="s">
        <v>421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1368</v>
      </c>
      <c r="V368" s="13" t="s">
        <v>1368</v>
      </c>
      <c r="W368" s="59">
        <f>+J368/$W$2</f>
        <v>1.6251194739532572E-5</v>
      </c>
    </row>
    <row r="369" spans="1:29">
      <c r="A369" s="13" t="s">
        <v>1421</v>
      </c>
      <c r="B369" s="13" t="s">
        <v>404</v>
      </c>
      <c r="C369" s="138">
        <v>46274</v>
      </c>
      <c r="D369" s="138" t="s">
        <v>424</v>
      </c>
      <c r="E369" s="28">
        <v>0.98702003999999999</v>
      </c>
      <c r="F369" s="13"/>
      <c r="G369" s="18">
        <v>3214858.48</v>
      </c>
      <c r="H369" s="18">
        <v>3173129.76</v>
      </c>
      <c r="I369" s="18">
        <v>3214858.48</v>
      </c>
      <c r="J369" s="18">
        <v>3173129.76</v>
      </c>
      <c r="K369" s="15">
        <v>90000521</v>
      </c>
      <c r="L369" s="13" t="s">
        <v>102</v>
      </c>
      <c r="M369" s="13" t="s">
        <v>103</v>
      </c>
      <c r="N369" s="138" t="s">
        <v>421</v>
      </c>
      <c r="O369" s="138" t="s">
        <v>421</v>
      </c>
      <c r="P369" s="28">
        <v>32</v>
      </c>
      <c r="Q369" s="13" t="s">
        <v>54</v>
      </c>
      <c r="R369" s="13" t="s">
        <v>28</v>
      </c>
      <c r="S369" s="13"/>
      <c r="T369" s="13"/>
      <c r="U369" s="13" t="s">
        <v>1380</v>
      </c>
      <c r="V369" s="13" t="s">
        <v>1380</v>
      </c>
      <c r="W369" s="59">
        <f>+J369/$W$2</f>
        <v>5.1931676275430188E-5</v>
      </c>
    </row>
    <row r="370" spans="1:29">
      <c r="A370" s="13" t="s">
        <v>1460</v>
      </c>
      <c r="B370" s="13" t="s">
        <v>404</v>
      </c>
      <c r="C370" s="138">
        <v>46274</v>
      </c>
      <c r="D370" s="138" t="s">
        <v>424</v>
      </c>
      <c r="E370" s="28">
        <v>0.98782137999999997</v>
      </c>
      <c r="F370" s="13"/>
      <c r="G370" s="18">
        <v>1579236</v>
      </c>
      <c r="H370" s="18">
        <v>1560003.08</v>
      </c>
      <c r="I370" s="18">
        <v>1579236</v>
      </c>
      <c r="J370" s="18">
        <v>1560003.08</v>
      </c>
      <c r="K370" s="15">
        <v>1558</v>
      </c>
      <c r="L370" s="13" t="s">
        <v>102</v>
      </c>
      <c r="M370" s="13" t="s">
        <v>103</v>
      </c>
      <c r="N370" s="138" t="s">
        <v>383</v>
      </c>
      <c r="O370" s="138" t="s">
        <v>383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1655</v>
      </c>
      <c r="V370" s="13" t="s">
        <v>1655</v>
      </c>
      <c r="W370" s="59">
        <f>+J370/$W$2</f>
        <v>2.5531125754918397E-5</v>
      </c>
    </row>
    <row r="371" spans="1:29">
      <c r="A371" s="13" t="s">
        <v>1460</v>
      </c>
      <c r="B371" s="13" t="s">
        <v>404</v>
      </c>
      <c r="C371" s="138">
        <v>46274</v>
      </c>
      <c r="D371" s="138" t="s">
        <v>424</v>
      </c>
      <c r="E371" s="28">
        <v>0.98782137999999997</v>
      </c>
      <c r="F371" s="13"/>
      <c r="G371" s="18">
        <v>1579236</v>
      </c>
      <c r="H371" s="18">
        <v>1560003.08</v>
      </c>
      <c r="I371" s="18">
        <v>1579236</v>
      </c>
      <c r="J371" s="18">
        <v>1560003.08</v>
      </c>
      <c r="K371" s="15">
        <v>1559</v>
      </c>
      <c r="L371" s="13" t="s">
        <v>102</v>
      </c>
      <c r="M371" s="13" t="s">
        <v>103</v>
      </c>
      <c r="N371" s="138" t="s">
        <v>383</v>
      </c>
      <c r="O371" s="138" t="s">
        <v>383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1656</v>
      </c>
      <c r="V371" s="13" t="s">
        <v>1656</v>
      </c>
      <c r="W371" s="59">
        <f>+J371/$W$2</f>
        <v>2.5531125754918397E-5</v>
      </c>
    </row>
    <row r="372" spans="1:29">
      <c r="A372" s="13" t="s">
        <v>1460</v>
      </c>
      <c r="B372" s="13" t="s">
        <v>404</v>
      </c>
      <c r="C372" s="138">
        <v>46274</v>
      </c>
      <c r="D372" s="138" t="s">
        <v>424</v>
      </c>
      <c r="E372" s="28">
        <v>0.98782137999999997</v>
      </c>
      <c r="F372" s="13"/>
      <c r="G372" s="18">
        <v>1579236</v>
      </c>
      <c r="H372" s="18">
        <v>1560003.08</v>
      </c>
      <c r="I372" s="18">
        <v>1579236</v>
      </c>
      <c r="J372" s="18">
        <v>1560003.08</v>
      </c>
      <c r="K372" s="15">
        <v>1560</v>
      </c>
      <c r="L372" s="13" t="s">
        <v>102</v>
      </c>
      <c r="M372" s="13" t="s">
        <v>103</v>
      </c>
      <c r="N372" s="138" t="s">
        <v>383</v>
      </c>
      <c r="O372" s="138" t="s">
        <v>383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1657</v>
      </c>
      <c r="V372" s="13" t="s">
        <v>1657</v>
      </c>
      <c r="W372" s="59">
        <f>+J372/$W$2</f>
        <v>2.5531125754918397E-5</v>
      </c>
    </row>
    <row r="373" spans="1:29">
      <c r="A373" s="13" t="s">
        <v>1805</v>
      </c>
      <c r="B373" s="13" t="s">
        <v>404</v>
      </c>
      <c r="C373" s="138">
        <v>46274</v>
      </c>
      <c r="D373" s="138" t="s">
        <v>424</v>
      </c>
      <c r="E373" s="28">
        <v>0.98782139000000002</v>
      </c>
      <c r="F373" s="13"/>
      <c r="G373" s="18">
        <v>1500000</v>
      </c>
      <c r="H373" s="18">
        <v>1481732.09</v>
      </c>
      <c r="I373" s="18">
        <v>1500000</v>
      </c>
      <c r="J373" s="18">
        <v>1481732.09</v>
      </c>
      <c r="K373" s="15">
        <v>1965</v>
      </c>
      <c r="L373" s="13" t="s">
        <v>102</v>
      </c>
      <c r="M373" s="13" t="s">
        <v>103</v>
      </c>
      <c r="N373" s="138" t="s">
        <v>384</v>
      </c>
      <c r="O373" s="138" t="s">
        <v>384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1793</v>
      </c>
      <c r="V373" s="13" t="s">
        <v>1793</v>
      </c>
      <c r="W373" s="59">
        <f>+J373/$W$2</f>
        <v>2.4250136945170688E-5</v>
      </c>
    </row>
    <row r="374" spans="1:29">
      <c r="A374" s="13" t="s">
        <v>536</v>
      </c>
      <c r="B374" s="13" t="s">
        <v>404</v>
      </c>
      <c r="C374" s="138">
        <v>46275</v>
      </c>
      <c r="D374" s="138" t="s">
        <v>424</v>
      </c>
      <c r="E374" s="28">
        <v>0.98488940000000003</v>
      </c>
      <c r="F374" s="13"/>
      <c r="G374" s="18">
        <v>4250000</v>
      </c>
      <c r="H374" s="18">
        <v>4185779.96</v>
      </c>
      <c r="I374" s="18">
        <v>4250000</v>
      </c>
      <c r="J374" s="18">
        <v>4185779.96</v>
      </c>
      <c r="K374" s="15">
        <v>6839</v>
      </c>
      <c r="L374" s="13" t="s">
        <v>102</v>
      </c>
      <c r="M374" s="13" t="s">
        <v>103</v>
      </c>
      <c r="N374" s="138" t="s">
        <v>350</v>
      </c>
      <c r="O374" s="138" t="s">
        <v>350</v>
      </c>
      <c r="P374" s="28">
        <v>35</v>
      </c>
      <c r="Q374" s="13" t="s">
        <v>54</v>
      </c>
      <c r="R374" s="13" t="s">
        <v>28</v>
      </c>
      <c r="S374" s="13"/>
      <c r="T374" s="13"/>
      <c r="U374" s="13" t="s">
        <v>532</v>
      </c>
      <c r="V374" s="13" t="s">
        <v>532</v>
      </c>
      <c r="W374" s="59">
        <f>+J374/$W$2</f>
        <v>6.8504784324642024E-5</v>
      </c>
      <c r="AC374"/>
    </row>
    <row r="375" spans="1:29">
      <c r="A375" s="13" t="s">
        <v>410</v>
      </c>
      <c r="B375" s="13" t="s">
        <v>404</v>
      </c>
      <c r="C375" s="138">
        <v>46275</v>
      </c>
      <c r="D375" s="138" t="s">
        <v>424</v>
      </c>
      <c r="E375" s="28">
        <v>0.98361546</v>
      </c>
      <c r="F375" s="13"/>
      <c r="G375" s="18">
        <v>25000000</v>
      </c>
      <c r="H375" s="18">
        <v>24590386.550000001</v>
      </c>
      <c r="I375" s="18">
        <v>25000000</v>
      </c>
      <c r="J375" s="18">
        <v>24590386.550000001</v>
      </c>
      <c r="K375" s="15">
        <v>70219553</v>
      </c>
      <c r="L375" s="13" t="s">
        <v>102</v>
      </c>
      <c r="M375" s="13" t="s">
        <v>103</v>
      </c>
      <c r="N375" s="138" t="s">
        <v>355</v>
      </c>
      <c r="O375" s="138" t="s">
        <v>355</v>
      </c>
      <c r="P375" s="28">
        <v>38</v>
      </c>
      <c r="Q375" s="13" t="s">
        <v>54</v>
      </c>
      <c r="R375" s="13" t="s">
        <v>28</v>
      </c>
      <c r="S375" s="13"/>
      <c r="T375" s="13"/>
      <c r="U375" s="13" t="s">
        <v>1189</v>
      </c>
      <c r="V375" s="13" t="s">
        <v>1189</v>
      </c>
      <c r="W375" s="59">
        <f>+J375/$W$2</f>
        <v>4.0244808450641258E-4</v>
      </c>
    </row>
    <row r="376" spans="1:29">
      <c r="A376" s="13" t="s">
        <v>285</v>
      </c>
      <c r="B376" s="13" t="s">
        <v>404</v>
      </c>
      <c r="C376" s="138">
        <v>46275</v>
      </c>
      <c r="D376" s="138" t="s">
        <v>424</v>
      </c>
      <c r="E376" s="28">
        <v>0.98744725</v>
      </c>
      <c r="F376" s="13"/>
      <c r="G376" s="18">
        <v>5500000</v>
      </c>
      <c r="H376" s="18">
        <v>5430959.8499999996</v>
      </c>
      <c r="I376" s="18">
        <v>5500000</v>
      </c>
      <c r="J376" s="18">
        <v>5430959.8499999996</v>
      </c>
      <c r="K376" s="15">
        <v>66554093</v>
      </c>
      <c r="L376" s="13" t="s">
        <v>102</v>
      </c>
      <c r="M376" s="13" t="s">
        <v>103</v>
      </c>
      <c r="N376" s="138" t="s">
        <v>155</v>
      </c>
      <c r="O376" s="138" t="s">
        <v>155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672</v>
      </c>
      <c r="V376" s="13" t="s">
        <v>672</v>
      </c>
      <c r="W376" s="59">
        <f>+J376/$W$2</f>
        <v>8.8883490473789793E-5</v>
      </c>
    </row>
    <row r="377" spans="1:29">
      <c r="A377" s="13" t="s">
        <v>565</v>
      </c>
      <c r="B377" s="13" t="s">
        <v>404</v>
      </c>
      <c r="C377" s="138">
        <v>46275</v>
      </c>
      <c r="D377" s="138" t="s">
        <v>424</v>
      </c>
      <c r="E377" s="28">
        <v>0.98830289000000004</v>
      </c>
      <c r="F377" s="13"/>
      <c r="G377" s="18">
        <v>20000000</v>
      </c>
      <c r="H377" s="18">
        <v>19766057.739999998</v>
      </c>
      <c r="I377" s="18">
        <v>20000000</v>
      </c>
      <c r="J377" s="18">
        <v>19766057.739999998</v>
      </c>
      <c r="K377" s="15">
        <v>9508918</v>
      </c>
      <c r="L377" s="13" t="s">
        <v>102</v>
      </c>
      <c r="M377" s="13" t="s">
        <v>103</v>
      </c>
      <c r="N377" s="138" t="s">
        <v>601</v>
      </c>
      <c r="O377" s="138" t="s">
        <v>601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1333</v>
      </c>
      <c r="V377" s="13" t="s">
        <v>1333</v>
      </c>
      <c r="W377" s="59">
        <f>+J377/$W$2</f>
        <v>3.2349276248795487E-4</v>
      </c>
    </row>
    <row r="378" spans="1:29">
      <c r="A378" s="13" t="s">
        <v>285</v>
      </c>
      <c r="B378" s="13" t="s">
        <v>404</v>
      </c>
      <c r="C378" s="138">
        <v>46275</v>
      </c>
      <c r="D378" s="138" t="s">
        <v>424</v>
      </c>
      <c r="E378" s="28">
        <v>0.98915995000000001</v>
      </c>
      <c r="F378" s="13"/>
      <c r="G378" s="18">
        <v>5000000</v>
      </c>
      <c r="H378" s="18">
        <v>4945799.75</v>
      </c>
      <c r="I378" s="18">
        <v>5000000</v>
      </c>
      <c r="J378" s="18">
        <v>4945799.75</v>
      </c>
      <c r="K378" s="15">
        <v>68370730</v>
      </c>
      <c r="L378" s="13" t="s">
        <v>102</v>
      </c>
      <c r="M378" s="13" t="s">
        <v>103</v>
      </c>
      <c r="N378" s="138" t="s">
        <v>383</v>
      </c>
      <c r="O378" s="138" t="s">
        <v>383</v>
      </c>
      <c r="P378" s="28">
        <v>25</v>
      </c>
      <c r="Q378" s="13" t="s">
        <v>54</v>
      </c>
      <c r="R378" s="13" t="s">
        <v>28</v>
      </c>
      <c r="S378" s="13"/>
      <c r="T378" s="13"/>
      <c r="U378" s="13" t="s">
        <v>1609</v>
      </c>
      <c r="V378" s="13" t="s">
        <v>1609</v>
      </c>
      <c r="W378" s="59">
        <f>+J378/$W$2</f>
        <v>8.0943324404137682E-5</v>
      </c>
    </row>
    <row r="379" spans="1:29">
      <c r="A379" s="13" t="s">
        <v>285</v>
      </c>
      <c r="B379" s="13" t="s">
        <v>404</v>
      </c>
      <c r="C379" s="138">
        <v>46275</v>
      </c>
      <c r="D379" s="138" t="s">
        <v>424</v>
      </c>
      <c r="E379" s="28">
        <v>0.98915995000000001</v>
      </c>
      <c r="F379" s="13"/>
      <c r="G379" s="18">
        <v>5000000</v>
      </c>
      <c r="H379" s="18">
        <v>4945799.75</v>
      </c>
      <c r="I379" s="18">
        <v>5000000</v>
      </c>
      <c r="J379" s="18">
        <v>4945799.75</v>
      </c>
      <c r="K379" s="15">
        <v>68370729</v>
      </c>
      <c r="L379" s="13" t="s">
        <v>102</v>
      </c>
      <c r="M379" s="13" t="s">
        <v>103</v>
      </c>
      <c r="N379" s="138" t="s">
        <v>383</v>
      </c>
      <c r="O379" s="138" t="s">
        <v>383</v>
      </c>
      <c r="P379" s="28">
        <v>25</v>
      </c>
      <c r="Q379" s="13" t="s">
        <v>54</v>
      </c>
      <c r="R379" s="13" t="s">
        <v>28</v>
      </c>
      <c r="S379" s="13"/>
      <c r="T379" s="13"/>
      <c r="U379" s="13" t="s">
        <v>1610</v>
      </c>
      <c r="V379" s="13" t="s">
        <v>1610</v>
      </c>
      <c r="W379" s="59">
        <f>+J379/$W$2</f>
        <v>8.0943324404137682E-5</v>
      </c>
    </row>
    <row r="380" spans="1:29">
      <c r="A380" s="13" t="s">
        <v>285</v>
      </c>
      <c r="B380" s="13" t="s">
        <v>404</v>
      </c>
      <c r="C380" s="138">
        <v>46275</v>
      </c>
      <c r="D380" s="138" t="s">
        <v>424</v>
      </c>
      <c r="E380" s="28">
        <v>0.98873118999999998</v>
      </c>
      <c r="F380" s="13"/>
      <c r="G380" s="18">
        <v>10000000</v>
      </c>
      <c r="H380" s="18">
        <v>9887311.8499999996</v>
      </c>
      <c r="I380" s="18">
        <v>10000000</v>
      </c>
      <c r="J380" s="18">
        <v>9887311.8499999996</v>
      </c>
      <c r="K380" s="15">
        <v>68035372</v>
      </c>
      <c r="L380" s="13" t="s">
        <v>102</v>
      </c>
      <c r="M380" s="13" t="s">
        <v>103</v>
      </c>
      <c r="N380" s="138" t="s">
        <v>420</v>
      </c>
      <c r="O380" s="138" t="s">
        <v>420</v>
      </c>
      <c r="P380" s="28">
        <v>26</v>
      </c>
      <c r="Q380" s="13" t="s">
        <v>54</v>
      </c>
      <c r="R380" s="13" t="s">
        <v>28</v>
      </c>
      <c r="S380" s="13"/>
      <c r="T380" s="13"/>
      <c r="U380" s="13" t="s">
        <v>1290</v>
      </c>
      <c r="V380" s="13" t="s">
        <v>1290</v>
      </c>
      <c r="W380" s="59">
        <f>+J380/$W$2</f>
        <v>1.6181647681134376E-4</v>
      </c>
    </row>
    <row r="381" spans="1:29">
      <c r="A381" s="13" t="s">
        <v>375</v>
      </c>
      <c r="B381" s="13" t="s">
        <v>404</v>
      </c>
      <c r="C381" s="138">
        <v>46275</v>
      </c>
      <c r="D381" s="138" t="s">
        <v>424</v>
      </c>
      <c r="E381" s="28">
        <v>0.98574052000000001</v>
      </c>
      <c r="F381" s="13"/>
      <c r="G381" s="18">
        <v>5000000</v>
      </c>
      <c r="H381" s="18">
        <v>4928702.5999999996</v>
      </c>
      <c r="I381" s="18">
        <v>5000000</v>
      </c>
      <c r="J381" s="18">
        <v>4928702.5999999996</v>
      </c>
      <c r="K381" s="15">
        <v>3049</v>
      </c>
      <c r="L381" s="13" t="s">
        <v>102</v>
      </c>
      <c r="M381" s="13" t="s">
        <v>103</v>
      </c>
      <c r="N381" s="138" t="s">
        <v>161</v>
      </c>
      <c r="O381" s="138" t="s">
        <v>161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1690</v>
      </c>
      <c r="V381" s="13" t="s">
        <v>1690</v>
      </c>
      <c r="W381" s="59">
        <f>+J381/$W$2</f>
        <v>8.0663511183063337E-5</v>
      </c>
    </row>
    <row r="382" spans="1:29">
      <c r="A382" s="13" t="s">
        <v>405</v>
      </c>
      <c r="B382" s="13" t="s">
        <v>404</v>
      </c>
      <c r="C382" s="138">
        <v>46275</v>
      </c>
      <c r="D382" s="138" t="s">
        <v>424</v>
      </c>
      <c r="E382" s="28">
        <v>0.98702003000000005</v>
      </c>
      <c r="F382" s="13"/>
      <c r="G382" s="18">
        <v>10000000</v>
      </c>
      <c r="H382" s="18">
        <v>9870200.3399999999</v>
      </c>
      <c r="I382" s="18">
        <v>10000000</v>
      </c>
      <c r="J382" s="18">
        <v>9870200.3399999999</v>
      </c>
      <c r="K382" s="15">
        <v>672</v>
      </c>
      <c r="L382" s="13" t="s">
        <v>102</v>
      </c>
      <c r="M382" s="13" t="s">
        <v>103</v>
      </c>
      <c r="N382" s="138" t="s">
        <v>312</v>
      </c>
      <c r="O382" s="138" t="s">
        <v>312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1078</v>
      </c>
      <c r="V382" s="13" t="s">
        <v>1078</v>
      </c>
      <c r="W382" s="59">
        <f>+J382/$W$2</f>
        <v>1.6153642857344761E-4</v>
      </c>
    </row>
    <row r="383" spans="1:29">
      <c r="A383" s="13" t="s">
        <v>405</v>
      </c>
      <c r="B383" s="13" t="s">
        <v>404</v>
      </c>
      <c r="C383" s="138">
        <v>46275</v>
      </c>
      <c r="D383" s="138" t="s">
        <v>424</v>
      </c>
      <c r="E383" s="28">
        <v>0.98702002</v>
      </c>
      <c r="F383" s="13"/>
      <c r="G383" s="18">
        <v>5000000</v>
      </c>
      <c r="H383" s="18">
        <v>4935100.0999999996</v>
      </c>
      <c r="I383" s="18">
        <v>5000000</v>
      </c>
      <c r="J383" s="18">
        <v>4935100.0999999996</v>
      </c>
      <c r="K383" s="15">
        <v>779</v>
      </c>
      <c r="L383" s="13" t="s">
        <v>102</v>
      </c>
      <c r="M383" s="13" t="s">
        <v>103</v>
      </c>
      <c r="N383" s="138" t="s">
        <v>421</v>
      </c>
      <c r="O383" s="138" t="s">
        <v>421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1400</v>
      </c>
      <c r="V383" s="13" t="s">
        <v>1400</v>
      </c>
      <c r="W383" s="59">
        <f>+J383/$W$2</f>
        <v>8.0768213141098626E-5</v>
      </c>
    </row>
    <row r="384" spans="1:29">
      <c r="A384" s="13" t="s">
        <v>375</v>
      </c>
      <c r="B384" s="13" t="s">
        <v>404</v>
      </c>
      <c r="C384" s="138">
        <v>46275</v>
      </c>
      <c r="D384" s="138" t="s">
        <v>424</v>
      </c>
      <c r="E384" s="28">
        <v>0.98446438999999997</v>
      </c>
      <c r="F384" s="13"/>
      <c r="G384" s="18">
        <v>2333401.2200000002</v>
      </c>
      <c r="H384" s="18">
        <v>2297150.42</v>
      </c>
      <c r="I384" s="18">
        <v>2333401.2200000002</v>
      </c>
      <c r="J384" s="18">
        <v>2297150.42</v>
      </c>
      <c r="K384" s="15">
        <v>2662</v>
      </c>
      <c r="L384" s="13" t="s">
        <v>102</v>
      </c>
      <c r="M384" s="13" t="s">
        <v>103</v>
      </c>
      <c r="N384" s="138" t="s">
        <v>391</v>
      </c>
      <c r="O384" s="138" t="s">
        <v>391</v>
      </c>
      <c r="P384" s="28">
        <v>36</v>
      </c>
      <c r="Q384" s="13" t="s">
        <v>54</v>
      </c>
      <c r="R384" s="13" t="s">
        <v>28</v>
      </c>
      <c r="S384" s="13"/>
      <c r="T384" s="13"/>
      <c r="U384" s="13" t="s">
        <v>813</v>
      </c>
      <c r="V384" s="13" t="s">
        <v>813</v>
      </c>
      <c r="W384" s="59">
        <f>+J384/$W$2</f>
        <v>3.7595333626510277E-5</v>
      </c>
      <c r="AC384" s="56"/>
    </row>
    <row r="385" spans="1:23">
      <c r="A385" s="13" t="s">
        <v>405</v>
      </c>
      <c r="B385" s="13" t="s">
        <v>404</v>
      </c>
      <c r="C385" s="138">
        <v>46275</v>
      </c>
      <c r="D385" s="138" t="s">
        <v>424</v>
      </c>
      <c r="E385" s="28">
        <v>0.98702003000000005</v>
      </c>
      <c r="F385" s="13"/>
      <c r="G385" s="18">
        <v>10000000</v>
      </c>
      <c r="H385" s="18">
        <v>9870200.3399999999</v>
      </c>
      <c r="I385" s="18">
        <v>10000000</v>
      </c>
      <c r="J385" s="18">
        <v>9870200.3399999999</v>
      </c>
      <c r="K385" s="15">
        <v>637</v>
      </c>
      <c r="L385" s="13" t="s">
        <v>102</v>
      </c>
      <c r="M385" s="13" t="s">
        <v>103</v>
      </c>
      <c r="N385" s="138" t="s">
        <v>344</v>
      </c>
      <c r="O385" s="138" t="s">
        <v>344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1038</v>
      </c>
      <c r="V385" s="13" t="s">
        <v>1038</v>
      </c>
      <c r="W385" s="59">
        <f>+J385/$W$2</f>
        <v>1.6153642857344761E-4</v>
      </c>
    </row>
    <row r="386" spans="1:23">
      <c r="A386" s="13" t="s">
        <v>229</v>
      </c>
      <c r="B386" s="13" t="s">
        <v>404</v>
      </c>
      <c r="C386" s="138">
        <v>46275</v>
      </c>
      <c r="D386" s="138" t="s">
        <v>424</v>
      </c>
      <c r="E386" s="28">
        <v>0.98616665999999997</v>
      </c>
      <c r="F386" s="13"/>
      <c r="G386" s="18">
        <v>50000000</v>
      </c>
      <c r="H386" s="18">
        <v>49308332.82</v>
      </c>
      <c r="I386" s="18">
        <v>50000000</v>
      </c>
      <c r="J386" s="18">
        <v>49308332.82</v>
      </c>
      <c r="K386" s="15">
        <v>4774</v>
      </c>
      <c r="L386" s="13" t="s">
        <v>102</v>
      </c>
      <c r="M386" s="13" t="s">
        <v>103</v>
      </c>
      <c r="N386" s="138" t="s">
        <v>330</v>
      </c>
      <c r="O386" s="138" t="s">
        <v>330</v>
      </c>
      <c r="P386" s="28">
        <v>32</v>
      </c>
      <c r="Q386" s="13" t="s">
        <v>54</v>
      </c>
      <c r="R386" s="13" t="s">
        <v>28</v>
      </c>
      <c r="S386" s="13"/>
      <c r="T386" s="13"/>
      <c r="U386" s="13" t="s">
        <v>955</v>
      </c>
      <c r="V386" s="13" t="s">
        <v>955</v>
      </c>
      <c r="W386" s="59">
        <f>+J386/$W$2</f>
        <v>8.0698382082219347E-4</v>
      </c>
    </row>
    <row r="387" spans="1:23">
      <c r="A387" s="13" t="s">
        <v>1167</v>
      </c>
      <c r="B387" s="13" t="s">
        <v>404</v>
      </c>
      <c r="C387" s="138">
        <v>46275</v>
      </c>
      <c r="D387" s="138" t="s">
        <v>424</v>
      </c>
      <c r="E387" s="28">
        <v>0.98808885000000002</v>
      </c>
      <c r="F387" s="13"/>
      <c r="G387" s="18">
        <v>25000000</v>
      </c>
      <c r="H387" s="18">
        <v>24702221.329999998</v>
      </c>
      <c r="I387" s="18">
        <v>25000000</v>
      </c>
      <c r="J387" s="18">
        <v>24702221.329999998</v>
      </c>
      <c r="K387" s="15">
        <v>322</v>
      </c>
      <c r="L387" s="13" t="s">
        <v>102</v>
      </c>
      <c r="M387" s="13" t="s">
        <v>103</v>
      </c>
      <c r="N387" s="138" t="s">
        <v>419</v>
      </c>
      <c r="O387" s="138" t="s">
        <v>419</v>
      </c>
      <c r="P387" s="28">
        <v>27.5</v>
      </c>
      <c r="Q387" s="13" t="s">
        <v>54</v>
      </c>
      <c r="R387" s="13" t="s">
        <v>28</v>
      </c>
      <c r="S387" s="13"/>
      <c r="T387" s="13"/>
      <c r="U387" s="13" t="s">
        <v>1263</v>
      </c>
      <c r="V387" s="13" t="s">
        <v>1263</v>
      </c>
      <c r="W387" s="59">
        <f>+J387/$W$2</f>
        <v>4.0427838078502861E-4</v>
      </c>
    </row>
    <row r="388" spans="1:23">
      <c r="A388" s="13" t="s">
        <v>307</v>
      </c>
      <c r="B388" s="13" t="s">
        <v>404</v>
      </c>
      <c r="C388" s="138">
        <v>46275</v>
      </c>
      <c r="D388" s="138" t="s">
        <v>424</v>
      </c>
      <c r="E388" s="28">
        <v>0.98574054</v>
      </c>
      <c r="F388" s="13"/>
      <c r="G388" s="18">
        <v>10000000</v>
      </c>
      <c r="H388" s="18">
        <v>9857405.3900000006</v>
      </c>
      <c r="I388" s="18">
        <v>10000000</v>
      </c>
      <c r="J388" s="18">
        <v>9857405.3900000006</v>
      </c>
      <c r="K388" s="15">
        <v>326</v>
      </c>
      <c r="L388" s="13" t="s">
        <v>102</v>
      </c>
      <c r="M388" s="13" t="s">
        <v>103</v>
      </c>
      <c r="N388" s="138" t="s">
        <v>321</v>
      </c>
      <c r="O388" s="138" t="s">
        <v>321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748</v>
      </c>
      <c r="V388" s="13" t="s">
        <v>748</v>
      </c>
      <c r="W388" s="59">
        <f>+J388/$W$2</f>
        <v>1.6132702547568074E-4</v>
      </c>
    </row>
    <row r="389" spans="1:23">
      <c r="A389" s="13" t="s">
        <v>144</v>
      </c>
      <c r="B389" s="13" t="s">
        <v>404</v>
      </c>
      <c r="C389" s="138">
        <v>46275</v>
      </c>
      <c r="D389" s="138" t="s">
        <v>424</v>
      </c>
      <c r="E389" s="28">
        <v>0.98319151999999999</v>
      </c>
      <c r="F389" s="13"/>
      <c r="G389" s="18">
        <v>20000000</v>
      </c>
      <c r="H389" s="18">
        <v>19663830.34</v>
      </c>
      <c r="I389" s="18">
        <v>20000000</v>
      </c>
      <c r="J389" s="18">
        <v>19663830.34</v>
      </c>
      <c r="K389" s="15">
        <v>4319</v>
      </c>
      <c r="L389" s="13" t="s">
        <v>102</v>
      </c>
      <c r="M389" s="13" t="s">
        <v>103</v>
      </c>
      <c r="N389" s="138" t="s">
        <v>162</v>
      </c>
      <c r="O389" s="138" t="s">
        <v>162</v>
      </c>
      <c r="P389" s="28">
        <v>39</v>
      </c>
      <c r="Q389" s="13" t="s">
        <v>54</v>
      </c>
      <c r="R389" s="13" t="s">
        <v>28</v>
      </c>
      <c r="S389" s="13"/>
      <c r="T389" s="13"/>
      <c r="U389" s="13" t="s">
        <v>1047</v>
      </c>
      <c r="V389" s="13" t="s">
        <v>1047</v>
      </c>
      <c r="W389" s="59">
        <f>+J389/$W$2</f>
        <v>3.2181970130079472E-4</v>
      </c>
    </row>
    <row r="390" spans="1:23">
      <c r="A390" s="13" t="s">
        <v>1779</v>
      </c>
      <c r="B390" s="13" t="s">
        <v>404</v>
      </c>
      <c r="C390" s="138">
        <v>46275</v>
      </c>
      <c r="D390" s="138" t="s">
        <v>424</v>
      </c>
      <c r="E390" s="28">
        <v>0.98574063000000001</v>
      </c>
      <c r="F390" s="13"/>
      <c r="G390" s="18">
        <v>4750000</v>
      </c>
      <c r="H390" s="18">
        <v>4682267.99</v>
      </c>
      <c r="I390" s="18">
        <v>4750000</v>
      </c>
      <c r="J390" s="18">
        <v>4682267.99</v>
      </c>
      <c r="K390" s="15">
        <v>935</v>
      </c>
      <c r="L390" s="13" t="s">
        <v>102</v>
      </c>
      <c r="M390" s="13" t="s">
        <v>103</v>
      </c>
      <c r="N390" s="138" t="s">
        <v>388</v>
      </c>
      <c r="O390" s="138" t="s">
        <v>388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1853</v>
      </c>
      <c r="V390" s="13" t="s">
        <v>1853</v>
      </c>
      <c r="W390" s="59">
        <f>+J390/$W$2</f>
        <v>7.6630344134268625E-5</v>
      </c>
    </row>
    <row r="391" spans="1:23">
      <c r="A391" s="13" t="s">
        <v>413</v>
      </c>
      <c r="B391" s="13" t="s">
        <v>404</v>
      </c>
      <c r="C391" s="138">
        <v>46275</v>
      </c>
      <c r="D391" s="138" t="s">
        <v>424</v>
      </c>
      <c r="E391" s="28">
        <v>0.98574057000000004</v>
      </c>
      <c r="F391" s="13"/>
      <c r="G391" s="18">
        <v>16005575.68</v>
      </c>
      <c r="H391" s="18">
        <v>15777345.25</v>
      </c>
      <c r="I391" s="18">
        <v>16005575.68</v>
      </c>
      <c r="J391" s="18">
        <v>15777345.25</v>
      </c>
      <c r="K391" s="15">
        <v>30717</v>
      </c>
      <c r="L391" s="13" t="s">
        <v>102</v>
      </c>
      <c r="M391" s="13" t="s">
        <v>103</v>
      </c>
      <c r="N391" s="138" t="s">
        <v>391</v>
      </c>
      <c r="O391" s="138" t="s">
        <v>391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790</v>
      </c>
      <c r="V391" s="13" t="s">
        <v>790</v>
      </c>
      <c r="W391" s="59">
        <f>+J391/$W$2</f>
        <v>2.5821319894862925E-4</v>
      </c>
    </row>
    <row r="392" spans="1:23">
      <c r="A392" s="13" t="s">
        <v>523</v>
      </c>
      <c r="B392" s="13" t="s">
        <v>404</v>
      </c>
      <c r="C392" s="138">
        <v>46275</v>
      </c>
      <c r="D392" s="138" t="s">
        <v>424</v>
      </c>
      <c r="E392" s="28">
        <v>0.98702003000000005</v>
      </c>
      <c r="F392" s="13"/>
      <c r="G392" s="18">
        <v>10000000</v>
      </c>
      <c r="H392" s="18">
        <v>9870200.3399999999</v>
      </c>
      <c r="I392" s="18">
        <v>10000000</v>
      </c>
      <c r="J392" s="18">
        <v>9870200.3399999999</v>
      </c>
      <c r="K392" s="15">
        <v>3435967</v>
      </c>
      <c r="L392" s="13" t="s">
        <v>102</v>
      </c>
      <c r="M392" s="13" t="s">
        <v>103</v>
      </c>
      <c r="N392" s="138" t="s">
        <v>315</v>
      </c>
      <c r="O392" s="138" t="s">
        <v>315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714</v>
      </c>
      <c r="V392" s="13" t="s">
        <v>714</v>
      </c>
      <c r="W392" s="59">
        <f>+J392/$W$2</f>
        <v>1.6153642857344761E-4</v>
      </c>
    </row>
    <row r="393" spans="1:23">
      <c r="A393" s="13" t="s">
        <v>409</v>
      </c>
      <c r="B393" s="13" t="s">
        <v>404</v>
      </c>
      <c r="C393" s="138">
        <v>46275</v>
      </c>
      <c r="D393" s="138" t="s">
        <v>424</v>
      </c>
      <c r="E393" s="28">
        <v>0.98574052999999995</v>
      </c>
      <c r="F393" s="13"/>
      <c r="G393" s="18">
        <v>12500000</v>
      </c>
      <c r="H393" s="18">
        <v>12321756.68</v>
      </c>
      <c r="I393" s="18">
        <v>12500000</v>
      </c>
      <c r="J393" s="18">
        <v>12321756.68</v>
      </c>
      <c r="K393" s="15">
        <v>1358</v>
      </c>
      <c r="L393" s="13" t="s">
        <v>102</v>
      </c>
      <c r="M393" s="13" t="s">
        <v>103</v>
      </c>
      <c r="N393" s="138" t="s">
        <v>373</v>
      </c>
      <c r="O393" s="138" t="s">
        <v>373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775</v>
      </c>
      <c r="V393" s="13" t="s">
        <v>775</v>
      </c>
      <c r="W393" s="59">
        <f>+J393/$W$2</f>
        <v>2.0165878090355166E-4</v>
      </c>
    </row>
    <row r="394" spans="1:23">
      <c r="A394" s="13" t="s">
        <v>981</v>
      </c>
      <c r="B394" s="13" t="s">
        <v>404</v>
      </c>
      <c r="C394" s="138">
        <v>46275</v>
      </c>
      <c r="D394" s="138" t="s">
        <v>424</v>
      </c>
      <c r="E394" s="28">
        <v>0.98361540000000003</v>
      </c>
      <c r="F394" s="13"/>
      <c r="G394" s="18">
        <v>60000000</v>
      </c>
      <c r="H394" s="18">
        <v>59016923.93</v>
      </c>
      <c r="I394" s="18">
        <v>60000000</v>
      </c>
      <c r="J394" s="18">
        <v>59016923.93</v>
      </c>
      <c r="K394" s="15">
        <v>70379069</v>
      </c>
      <c r="L394" s="13" t="s">
        <v>102</v>
      </c>
      <c r="M394" s="13" t="s">
        <v>103</v>
      </c>
      <c r="N394" s="138" t="s">
        <v>340</v>
      </c>
      <c r="O394" s="138" t="s">
        <v>340</v>
      </c>
      <c r="P394" s="28">
        <v>38</v>
      </c>
      <c r="Q394" s="13" t="s">
        <v>54</v>
      </c>
      <c r="R394" s="13" t="s">
        <v>28</v>
      </c>
      <c r="S394" s="13"/>
      <c r="T394" s="13"/>
      <c r="U394" s="13" t="s">
        <v>1069</v>
      </c>
      <c r="V394" s="13" t="s">
        <v>1069</v>
      </c>
      <c r="W394" s="59">
        <f>+J394/$W$2</f>
        <v>9.6587534078796994E-4</v>
      </c>
    </row>
    <row r="395" spans="1:23">
      <c r="A395" s="13" t="s">
        <v>190</v>
      </c>
      <c r="B395" s="13" t="s">
        <v>404</v>
      </c>
      <c r="C395" s="138">
        <v>46275</v>
      </c>
      <c r="D395" s="138" t="s">
        <v>424</v>
      </c>
      <c r="E395" s="28">
        <v>0.98980372999999999</v>
      </c>
      <c r="F395" s="13"/>
      <c r="G395" s="18">
        <v>28908355.27</v>
      </c>
      <c r="H395" s="18">
        <v>28613597.829999998</v>
      </c>
      <c r="I395" s="18">
        <v>28908355.27</v>
      </c>
      <c r="J395" s="18">
        <v>28613597.829999998</v>
      </c>
      <c r="K395" s="15">
        <v>87</v>
      </c>
      <c r="L395" s="13" t="s">
        <v>102</v>
      </c>
      <c r="M395" s="13" t="s">
        <v>103</v>
      </c>
      <c r="N395" s="138" t="s">
        <v>339</v>
      </c>
      <c r="O395" s="138" t="s">
        <v>339</v>
      </c>
      <c r="P395" s="28">
        <v>23.5</v>
      </c>
      <c r="Q395" s="13" t="s">
        <v>54</v>
      </c>
      <c r="R395" s="13" t="s">
        <v>28</v>
      </c>
      <c r="S395" s="13"/>
      <c r="T395" s="13"/>
      <c r="U395" s="13" t="s">
        <v>1600</v>
      </c>
      <c r="V395" s="13" t="s">
        <v>1600</v>
      </c>
      <c r="W395" s="59">
        <f>+J395/$W$2</f>
        <v>4.6829225779374103E-4</v>
      </c>
    </row>
    <row r="396" spans="1:23">
      <c r="A396" s="13" t="s">
        <v>2043</v>
      </c>
      <c r="B396" s="13" t="s">
        <v>404</v>
      </c>
      <c r="C396" s="138">
        <v>46275</v>
      </c>
      <c r="D396" s="138" t="s">
        <v>424</v>
      </c>
      <c r="E396" s="28">
        <v>0.98787495000000003</v>
      </c>
      <c r="F396" s="13"/>
      <c r="G396" s="18">
        <v>88070645.049999997</v>
      </c>
      <c r="H396" s="18">
        <v>87002783.959999993</v>
      </c>
      <c r="I396" s="18">
        <v>88070645.049999997</v>
      </c>
      <c r="J396" s="18">
        <v>87002783.959999993</v>
      </c>
      <c r="K396" s="15">
        <v>40290785</v>
      </c>
      <c r="L396" s="13" t="s">
        <v>102</v>
      </c>
      <c r="M396" s="13" t="s">
        <v>103</v>
      </c>
      <c r="N396" s="138" t="s">
        <v>342</v>
      </c>
      <c r="O396" s="138" t="s">
        <v>342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2349</v>
      </c>
      <c r="V396" s="13" t="s">
        <v>2349</v>
      </c>
      <c r="W396" s="59">
        <f>+J396/$W$2</f>
        <v>1.4238939953315714E-3</v>
      </c>
    </row>
    <row r="397" spans="1:23">
      <c r="A397" s="13" t="s">
        <v>1460</v>
      </c>
      <c r="B397" s="13" t="s">
        <v>404</v>
      </c>
      <c r="C397" s="138">
        <v>46275</v>
      </c>
      <c r="D397" s="138" t="s">
        <v>424</v>
      </c>
      <c r="E397" s="28">
        <v>0.98702007999999997</v>
      </c>
      <c r="F397" s="13"/>
      <c r="G397" s="18">
        <v>1579236</v>
      </c>
      <c r="H397" s="18">
        <v>1558737.65</v>
      </c>
      <c r="I397" s="18">
        <v>1579236</v>
      </c>
      <c r="J397" s="18">
        <v>1558737.65</v>
      </c>
      <c r="K397" s="15">
        <v>1561</v>
      </c>
      <c r="L397" s="13" t="s">
        <v>102</v>
      </c>
      <c r="M397" s="13" t="s">
        <v>103</v>
      </c>
      <c r="N397" s="138" t="s">
        <v>383</v>
      </c>
      <c r="O397" s="138" t="s">
        <v>383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1659</v>
      </c>
      <c r="V397" s="13" t="s">
        <v>1659</v>
      </c>
      <c r="W397" s="59">
        <f>+J397/$W$2</f>
        <v>2.5510415633971679E-5</v>
      </c>
    </row>
    <row r="398" spans="1:23">
      <c r="A398" s="13" t="s">
        <v>1668</v>
      </c>
      <c r="B398" s="13" t="s">
        <v>404</v>
      </c>
      <c r="C398" s="138">
        <v>46275</v>
      </c>
      <c r="D398" s="138" t="s">
        <v>424</v>
      </c>
      <c r="E398" s="28">
        <v>0.98702007999999997</v>
      </c>
      <c r="F398" s="13"/>
      <c r="G398" s="18">
        <v>2870567.11</v>
      </c>
      <c r="H398" s="18">
        <v>2833307.37</v>
      </c>
      <c r="I398" s="18">
        <v>2870567.11</v>
      </c>
      <c r="J398" s="18">
        <v>2833307.37</v>
      </c>
      <c r="K398" s="15">
        <v>101</v>
      </c>
      <c r="L398" s="13" t="s">
        <v>102</v>
      </c>
      <c r="M398" s="13" t="s">
        <v>103</v>
      </c>
      <c r="N398" s="138" t="s">
        <v>383</v>
      </c>
      <c r="O398" s="138" t="s">
        <v>383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1644</v>
      </c>
      <c r="V398" s="13" t="s">
        <v>1644</v>
      </c>
      <c r="W398" s="59">
        <f>+J398/$W$2</f>
        <v>4.6370117914002521E-5</v>
      </c>
    </row>
    <row r="399" spans="1:23">
      <c r="A399" s="13" t="s">
        <v>518</v>
      </c>
      <c r="B399" s="13" t="s">
        <v>404</v>
      </c>
      <c r="C399" s="138">
        <v>46276</v>
      </c>
      <c r="D399" s="138" t="s">
        <v>424</v>
      </c>
      <c r="E399" s="28">
        <v>0.98260919000000002</v>
      </c>
      <c r="F399" s="13"/>
      <c r="G399" s="18">
        <v>4957711.8099999996</v>
      </c>
      <c r="H399" s="18">
        <v>4871493.21</v>
      </c>
      <c r="I399" s="18">
        <v>4957711.8099999996</v>
      </c>
      <c r="J399" s="18">
        <v>4871493.21</v>
      </c>
      <c r="K399" s="15">
        <v>600</v>
      </c>
      <c r="L399" s="13" t="s">
        <v>102</v>
      </c>
      <c r="M399" s="13" t="s">
        <v>103</v>
      </c>
      <c r="N399" s="138" t="s">
        <v>313</v>
      </c>
      <c r="O399" s="138" t="s">
        <v>313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646</v>
      </c>
      <c r="V399" s="13" t="s">
        <v>646</v>
      </c>
      <c r="W399" s="59">
        <f>+J399/$W$2</f>
        <v>7.972721807622398E-5</v>
      </c>
    </row>
    <row r="400" spans="1:23">
      <c r="A400" s="13" t="s">
        <v>772</v>
      </c>
      <c r="B400" s="13" t="s">
        <v>404</v>
      </c>
      <c r="C400" s="138">
        <v>46276</v>
      </c>
      <c r="D400" s="138" t="s">
        <v>424</v>
      </c>
      <c r="E400" s="28">
        <v>0.98486282999999997</v>
      </c>
      <c r="F400" s="13"/>
      <c r="G400" s="18">
        <v>1070000</v>
      </c>
      <c r="H400" s="18">
        <v>1053803.23</v>
      </c>
      <c r="I400" s="18">
        <v>1070000</v>
      </c>
      <c r="J400" s="18">
        <v>1053803.23</v>
      </c>
      <c r="K400" s="15">
        <v>475</v>
      </c>
      <c r="L400" s="13" t="s">
        <v>102</v>
      </c>
      <c r="M400" s="13" t="s">
        <v>103</v>
      </c>
      <c r="N400" s="138" t="s">
        <v>346</v>
      </c>
      <c r="O400" s="138" t="s">
        <v>346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1483</v>
      </c>
      <c r="V400" s="13" t="s">
        <v>1483</v>
      </c>
      <c r="W400" s="59">
        <f>+J400/$W$2</f>
        <v>1.7246621581073539E-5</v>
      </c>
    </row>
    <row r="401" spans="1:23">
      <c r="A401" s="13" t="s">
        <v>1094</v>
      </c>
      <c r="B401" s="13" t="s">
        <v>404</v>
      </c>
      <c r="C401" s="138">
        <v>46276</v>
      </c>
      <c r="D401" s="138" t="s">
        <v>424</v>
      </c>
      <c r="E401" s="28">
        <v>0.98531477000000001</v>
      </c>
      <c r="F401" s="13"/>
      <c r="G401" s="18">
        <v>5053996</v>
      </c>
      <c r="H401" s="18">
        <v>4979776.91</v>
      </c>
      <c r="I401" s="18">
        <v>5053996</v>
      </c>
      <c r="J401" s="18">
        <v>4979776.91</v>
      </c>
      <c r="K401" s="15">
        <v>90044743</v>
      </c>
      <c r="L401" s="13" t="s">
        <v>102</v>
      </c>
      <c r="M401" s="13" t="s">
        <v>103</v>
      </c>
      <c r="N401" s="138" t="s">
        <v>535</v>
      </c>
      <c r="O401" s="138" t="s">
        <v>535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2340</v>
      </c>
      <c r="V401" s="13" t="s">
        <v>2340</v>
      </c>
      <c r="W401" s="59">
        <f>+J401/$W$2</f>
        <v>8.1499397116990916E-5</v>
      </c>
    </row>
    <row r="402" spans="1:23">
      <c r="A402" s="13" t="s">
        <v>405</v>
      </c>
      <c r="B402" s="13" t="s">
        <v>404</v>
      </c>
      <c r="C402" s="138">
        <v>46276</v>
      </c>
      <c r="D402" s="138" t="s">
        <v>424</v>
      </c>
      <c r="E402" s="28">
        <v>0.98621994999999996</v>
      </c>
      <c r="F402" s="13"/>
      <c r="G402" s="18">
        <v>10000000</v>
      </c>
      <c r="H402" s="18">
        <v>9862199.4600000009</v>
      </c>
      <c r="I402" s="18">
        <v>10000000</v>
      </c>
      <c r="J402" s="18">
        <v>9862199.4600000009</v>
      </c>
      <c r="K402" s="15">
        <v>504</v>
      </c>
      <c r="L402" s="13" t="s">
        <v>102</v>
      </c>
      <c r="M402" s="13" t="s">
        <v>103</v>
      </c>
      <c r="N402" s="138" t="s">
        <v>321</v>
      </c>
      <c r="O402" s="138" t="s">
        <v>321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745</v>
      </c>
      <c r="V402" s="13" t="s">
        <v>745</v>
      </c>
      <c r="W402" s="59">
        <f>+J402/$W$2</f>
        <v>1.6140548557977739E-4</v>
      </c>
    </row>
    <row r="403" spans="1:23">
      <c r="A403" s="13" t="s">
        <v>410</v>
      </c>
      <c r="B403" s="13" t="s">
        <v>404</v>
      </c>
      <c r="C403" s="138">
        <v>46276</v>
      </c>
      <c r="D403" s="138" t="s">
        <v>424</v>
      </c>
      <c r="E403" s="28">
        <v>0.98260924999999999</v>
      </c>
      <c r="F403" s="13"/>
      <c r="G403" s="18">
        <v>25000000</v>
      </c>
      <c r="H403" s="18">
        <v>24565231.27</v>
      </c>
      <c r="I403" s="18">
        <v>25000000</v>
      </c>
      <c r="J403" s="18">
        <v>24565231.27</v>
      </c>
      <c r="K403" s="15">
        <v>70219555</v>
      </c>
      <c r="L403" s="13" t="s">
        <v>102</v>
      </c>
      <c r="M403" s="13" t="s">
        <v>103</v>
      </c>
      <c r="N403" s="138" t="s">
        <v>420</v>
      </c>
      <c r="O403" s="138" t="s">
        <v>420</v>
      </c>
      <c r="P403" s="28">
        <v>38</v>
      </c>
      <c r="Q403" s="13" t="s">
        <v>54</v>
      </c>
      <c r="R403" s="13" t="s">
        <v>28</v>
      </c>
      <c r="S403" s="13"/>
      <c r="T403" s="13"/>
      <c r="U403" s="13" t="s">
        <v>1277</v>
      </c>
      <c r="V403" s="13" t="s">
        <v>1277</v>
      </c>
      <c r="W403" s="59">
        <f>+J403/$W$2</f>
        <v>4.0203639133393486E-4</v>
      </c>
    </row>
    <row r="404" spans="1:23">
      <c r="A404" s="13" t="s">
        <v>410</v>
      </c>
      <c r="B404" s="13" t="s">
        <v>404</v>
      </c>
      <c r="C404" s="138">
        <v>46276</v>
      </c>
      <c r="D404" s="138" t="s">
        <v>424</v>
      </c>
      <c r="E404" s="28">
        <v>0.98260924999999999</v>
      </c>
      <c r="F404" s="13"/>
      <c r="G404" s="18">
        <v>25000000</v>
      </c>
      <c r="H404" s="18">
        <v>24565231.27</v>
      </c>
      <c r="I404" s="18">
        <v>25000000</v>
      </c>
      <c r="J404" s="18">
        <v>24565231.27</v>
      </c>
      <c r="K404" s="15">
        <v>70219554</v>
      </c>
      <c r="L404" s="13" t="s">
        <v>102</v>
      </c>
      <c r="M404" s="13" t="s">
        <v>103</v>
      </c>
      <c r="N404" s="138" t="s">
        <v>420</v>
      </c>
      <c r="O404" s="138" t="s">
        <v>420</v>
      </c>
      <c r="P404" s="28">
        <v>38</v>
      </c>
      <c r="Q404" s="13" t="s">
        <v>54</v>
      </c>
      <c r="R404" s="13" t="s">
        <v>28</v>
      </c>
      <c r="S404" s="13"/>
      <c r="T404" s="13"/>
      <c r="U404" s="13" t="s">
        <v>1278</v>
      </c>
      <c r="V404" s="13" t="s">
        <v>1278</v>
      </c>
      <c r="W404" s="59">
        <f>+J404/$W$2</f>
        <v>4.0203639133393486E-4</v>
      </c>
    </row>
    <row r="405" spans="1:23">
      <c r="A405" s="13" t="s">
        <v>565</v>
      </c>
      <c r="B405" s="13" t="s">
        <v>404</v>
      </c>
      <c r="C405" s="138">
        <v>46276</v>
      </c>
      <c r="D405" s="138" t="s">
        <v>424</v>
      </c>
      <c r="E405" s="28">
        <v>0.98758087999999999</v>
      </c>
      <c r="F405" s="13"/>
      <c r="G405" s="18">
        <v>10000000</v>
      </c>
      <c r="H405" s="18">
        <v>9875808.7799999993</v>
      </c>
      <c r="I405" s="18">
        <v>10000000</v>
      </c>
      <c r="J405" s="18">
        <v>9875808.7799999993</v>
      </c>
      <c r="K405" s="15">
        <v>67936460</v>
      </c>
      <c r="L405" s="13" t="s">
        <v>102</v>
      </c>
      <c r="M405" s="13" t="s">
        <v>103</v>
      </c>
      <c r="N405" s="138" t="s">
        <v>393</v>
      </c>
      <c r="O405" s="138" t="s">
        <v>393</v>
      </c>
      <c r="P405" s="28">
        <v>27</v>
      </c>
      <c r="Q405" s="13" t="s">
        <v>54</v>
      </c>
      <c r="R405" s="13" t="s">
        <v>28</v>
      </c>
      <c r="S405" s="13"/>
      <c r="T405" s="13"/>
      <c r="U405" s="13" t="s">
        <v>1134</v>
      </c>
      <c r="V405" s="13" t="s">
        <v>1134</v>
      </c>
      <c r="W405" s="59">
        <f>+J405/$W$2</f>
        <v>1.6162821671717931E-4</v>
      </c>
    </row>
    <row r="406" spans="1:23">
      <c r="A406" s="13" t="s">
        <v>565</v>
      </c>
      <c r="B406" s="13" t="s">
        <v>404</v>
      </c>
      <c r="C406" s="138">
        <v>46276</v>
      </c>
      <c r="D406" s="138" t="s">
        <v>424</v>
      </c>
      <c r="E406" s="28">
        <v>0.98894552999999996</v>
      </c>
      <c r="F406" s="13"/>
      <c r="G406" s="18">
        <v>15000000</v>
      </c>
      <c r="H406" s="18">
        <v>14834183.01</v>
      </c>
      <c r="I406" s="18">
        <v>15000000</v>
      </c>
      <c r="J406" s="18">
        <v>14834183.01</v>
      </c>
      <c r="K406" s="15">
        <v>68398930</v>
      </c>
      <c r="L406" s="13" t="s">
        <v>102</v>
      </c>
      <c r="M406" s="13" t="s">
        <v>103</v>
      </c>
      <c r="N406" s="138" t="s">
        <v>339</v>
      </c>
      <c r="O406" s="138" t="s">
        <v>339</v>
      </c>
      <c r="P406" s="28">
        <v>24</v>
      </c>
      <c r="Q406" s="13" t="s">
        <v>54</v>
      </c>
      <c r="R406" s="13" t="s">
        <v>28</v>
      </c>
      <c r="S406" s="13"/>
      <c r="T406" s="13"/>
      <c r="U406" s="13" t="s">
        <v>1584</v>
      </c>
      <c r="V406" s="13" t="s">
        <v>1584</v>
      </c>
      <c r="W406" s="59">
        <f>+J406/$W$2</f>
        <v>2.4277733599076219E-4</v>
      </c>
    </row>
    <row r="407" spans="1:23">
      <c r="A407" s="13" t="s">
        <v>285</v>
      </c>
      <c r="B407" s="13" t="s">
        <v>404</v>
      </c>
      <c r="C407" s="138">
        <v>46276</v>
      </c>
      <c r="D407" s="138" t="s">
        <v>424</v>
      </c>
      <c r="E407" s="28">
        <v>0.98803536000000003</v>
      </c>
      <c r="F407" s="13"/>
      <c r="G407" s="18">
        <v>10000000</v>
      </c>
      <c r="H407" s="18">
        <v>9880353.5999999996</v>
      </c>
      <c r="I407" s="18">
        <v>10000000</v>
      </c>
      <c r="J407" s="18">
        <v>9880353.5999999996</v>
      </c>
      <c r="K407" s="15">
        <v>68035375</v>
      </c>
      <c r="L407" s="13" t="s">
        <v>102</v>
      </c>
      <c r="M407" s="13" t="s">
        <v>103</v>
      </c>
      <c r="N407" s="138" t="s">
        <v>420</v>
      </c>
      <c r="O407" s="138" t="s">
        <v>420</v>
      </c>
      <c r="P407" s="28">
        <v>26</v>
      </c>
      <c r="Q407" s="13" t="s">
        <v>54</v>
      </c>
      <c r="R407" s="13" t="s">
        <v>28</v>
      </c>
      <c r="S407" s="13"/>
      <c r="T407" s="13"/>
      <c r="U407" s="13" t="s">
        <v>1291</v>
      </c>
      <c r="V407" s="13" t="s">
        <v>1291</v>
      </c>
      <c r="W407" s="59">
        <f>+J407/$W$2</f>
        <v>1.6170259757734623E-4</v>
      </c>
    </row>
    <row r="408" spans="1:23">
      <c r="A408" s="13" t="s">
        <v>285</v>
      </c>
      <c r="B408" s="13" t="s">
        <v>404</v>
      </c>
      <c r="C408" s="138">
        <v>46276</v>
      </c>
      <c r="D408" s="138" t="s">
        <v>424</v>
      </c>
      <c r="E408" s="28">
        <v>0.98803536000000003</v>
      </c>
      <c r="F408" s="13"/>
      <c r="G408" s="18">
        <v>7000000</v>
      </c>
      <c r="H408" s="18">
        <v>6916247.5199999996</v>
      </c>
      <c r="I408" s="18">
        <v>7000000</v>
      </c>
      <c r="J408" s="18">
        <v>6916247.5199999996</v>
      </c>
      <c r="K408" s="15">
        <v>68156951</v>
      </c>
      <c r="L408" s="13" t="s">
        <v>102</v>
      </c>
      <c r="M408" s="13" t="s">
        <v>103</v>
      </c>
      <c r="N408" s="138" t="s">
        <v>420</v>
      </c>
      <c r="O408" s="138" t="s">
        <v>420</v>
      </c>
      <c r="P408" s="28">
        <v>26</v>
      </c>
      <c r="Q408" s="13" t="s">
        <v>54</v>
      </c>
      <c r="R408" s="13" t="s">
        <v>28</v>
      </c>
      <c r="S408" s="13"/>
      <c r="T408" s="13"/>
      <c r="U408" s="13" t="s">
        <v>1308</v>
      </c>
      <c r="V408" s="13" t="s">
        <v>1308</v>
      </c>
      <c r="W408" s="59">
        <f>+J408/$W$2</f>
        <v>1.1319181830414236E-4</v>
      </c>
    </row>
    <row r="409" spans="1:23">
      <c r="A409" s="13" t="s">
        <v>405</v>
      </c>
      <c r="B409" s="13" t="s">
        <v>404</v>
      </c>
      <c r="C409" s="138">
        <v>46276</v>
      </c>
      <c r="D409" s="138" t="s">
        <v>424</v>
      </c>
      <c r="E409" s="28">
        <v>0.98486284999999996</v>
      </c>
      <c r="F409" s="13"/>
      <c r="G409" s="18">
        <v>10000000</v>
      </c>
      <c r="H409" s="18">
        <v>9848628.4900000002</v>
      </c>
      <c r="I409" s="18">
        <v>10000000</v>
      </c>
      <c r="J409" s="18">
        <v>9848628.4900000002</v>
      </c>
      <c r="K409" s="15">
        <v>666</v>
      </c>
      <c r="L409" s="13" t="s">
        <v>102</v>
      </c>
      <c r="M409" s="13" t="s">
        <v>103</v>
      </c>
      <c r="N409" s="138" t="s">
        <v>340</v>
      </c>
      <c r="O409" s="138" t="s">
        <v>340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1072</v>
      </c>
      <c r="V409" s="13" t="s">
        <v>1072</v>
      </c>
      <c r="W409" s="59">
        <f>+J409/$W$2</f>
        <v>1.6118338208131105E-4</v>
      </c>
    </row>
    <row r="410" spans="1:23">
      <c r="A410" s="13" t="s">
        <v>405</v>
      </c>
      <c r="B410" s="13" t="s">
        <v>404</v>
      </c>
      <c r="C410" s="138">
        <v>46276</v>
      </c>
      <c r="D410" s="138" t="s">
        <v>424</v>
      </c>
      <c r="E410" s="28">
        <v>0.98622001000000004</v>
      </c>
      <c r="F410" s="13"/>
      <c r="G410" s="18">
        <v>5000000</v>
      </c>
      <c r="H410" s="18">
        <v>4931100.0599999996</v>
      </c>
      <c r="I410" s="18">
        <v>5000000</v>
      </c>
      <c r="J410" s="18">
        <v>4931100.0599999996</v>
      </c>
      <c r="K410" s="15">
        <v>787</v>
      </c>
      <c r="L410" s="13" t="s">
        <v>102</v>
      </c>
      <c r="M410" s="13" t="s">
        <v>103</v>
      </c>
      <c r="N410" s="138" t="s">
        <v>421</v>
      </c>
      <c r="O410" s="138" t="s">
        <v>421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1402</v>
      </c>
      <c r="V410" s="13" t="s">
        <v>1402</v>
      </c>
      <c r="W410" s="59">
        <f>+J410/$W$2</f>
        <v>8.0702748190693077E-5</v>
      </c>
    </row>
    <row r="411" spans="1:23">
      <c r="A411" s="13" t="s">
        <v>375</v>
      </c>
      <c r="B411" s="13" t="s">
        <v>404</v>
      </c>
      <c r="C411" s="138">
        <v>46276</v>
      </c>
      <c r="D411" s="138" t="s">
        <v>424</v>
      </c>
      <c r="E411" s="28">
        <v>0.98350941000000003</v>
      </c>
      <c r="F411" s="13"/>
      <c r="G411" s="18">
        <v>2333401.2200000002</v>
      </c>
      <c r="H411" s="18">
        <v>2294922.06</v>
      </c>
      <c r="I411" s="18">
        <v>2333401.2200000002</v>
      </c>
      <c r="J411" s="18">
        <v>2294922.06</v>
      </c>
      <c r="K411" s="15">
        <v>2661</v>
      </c>
      <c r="L411" s="13" t="s">
        <v>102</v>
      </c>
      <c r="M411" s="13" t="s">
        <v>103</v>
      </c>
      <c r="N411" s="138" t="s">
        <v>391</v>
      </c>
      <c r="O411" s="138" t="s">
        <v>391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814</v>
      </c>
      <c r="V411" s="13" t="s">
        <v>814</v>
      </c>
      <c r="W411" s="59">
        <f>+J411/$W$2</f>
        <v>3.7558864121983897E-5</v>
      </c>
    </row>
    <row r="412" spans="1:23">
      <c r="A412" s="13" t="s">
        <v>1417</v>
      </c>
      <c r="B412" s="13" t="s">
        <v>404</v>
      </c>
      <c r="C412" s="138">
        <v>46276</v>
      </c>
      <c r="D412" s="138" t="s">
        <v>424</v>
      </c>
      <c r="E412" s="28">
        <v>0.98531484000000003</v>
      </c>
      <c r="F412" s="13"/>
      <c r="G412" s="18">
        <v>475000000</v>
      </c>
      <c r="H412" s="18">
        <v>468024546.81999999</v>
      </c>
      <c r="I412" s="18">
        <v>475000000</v>
      </c>
      <c r="J412" s="18">
        <v>468024546.81999999</v>
      </c>
      <c r="K412" s="15">
        <v>928</v>
      </c>
      <c r="L412" s="13" t="s">
        <v>102</v>
      </c>
      <c r="M412" s="13" t="s">
        <v>103</v>
      </c>
      <c r="N412" s="138" t="s">
        <v>421</v>
      </c>
      <c r="O412" s="138" t="s">
        <v>421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1392</v>
      </c>
      <c r="V412" s="13" t="s">
        <v>1392</v>
      </c>
      <c r="W412" s="59">
        <f>+J412/$W$2</f>
        <v>7.659724339294325E-3</v>
      </c>
    </row>
    <row r="413" spans="1:23">
      <c r="A413" s="13" t="s">
        <v>1167</v>
      </c>
      <c r="B413" s="13" t="s">
        <v>404</v>
      </c>
      <c r="C413" s="138">
        <v>46276</v>
      </c>
      <c r="D413" s="138" t="s">
        <v>424</v>
      </c>
      <c r="E413" s="28">
        <v>0.98735379999999995</v>
      </c>
      <c r="F413" s="13"/>
      <c r="G413" s="18">
        <v>25000000</v>
      </c>
      <c r="H413" s="18">
        <v>24683845.010000002</v>
      </c>
      <c r="I413" s="18">
        <v>25000000</v>
      </c>
      <c r="J413" s="18">
        <v>24683845.010000002</v>
      </c>
      <c r="K413" s="15">
        <v>323</v>
      </c>
      <c r="L413" s="13" t="s">
        <v>102</v>
      </c>
      <c r="M413" s="13" t="s">
        <v>103</v>
      </c>
      <c r="N413" s="138" t="s">
        <v>419</v>
      </c>
      <c r="O413" s="138" t="s">
        <v>419</v>
      </c>
      <c r="P413" s="28">
        <v>27.5</v>
      </c>
      <c r="Q413" s="13" t="s">
        <v>54</v>
      </c>
      <c r="R413" s="13" t="s">
        <v>28</v>
      </c>
      <c r="S413" s="13"/>
      <c r="T413" s="13"/>
      <c r="U413" s="13" t="s">
        <v>1267</v>
      </c>
      <c r="V413" s="13" t="s">
        <v>1267</v>
      </c>
      <c r="W413" s="59">
        <f>+J413/$W$2</f>
        <v>4.0397763257315165E-4</v>
      </c>
    </row>
    <row r="414" spans="1:23">
      <c r="A414" s="13" t="s">
        <v>1428</v>
      </c>
      <c r="B414" s="13" t="s">
        <v>404</v>
      </c>
      <c r="C414" s="138">
        <v>46276</v>
      </c>
      <c r="D414" s="138" t="s">
        <v>424</v>
      </c>
      <c r="E414" s="28">
        <v>0.98531482999999997</v>
      </c>
      <c r="F414" s="13"/>
      <c r="G414" s="18">
        <v>1274298</v>
      </c>
      <c r="H414" s="18">
        <v>1255584.72</v>
      </c>
      <c r="I414" s="18">
        <v>1274298</v>
      </c>
      <c r="J414" s="18">
        <v>1255584.72</v>
      </c>
      <c r="K414" s="15">
        <v>10333909</v>
      </c>
      <c r="L414" s="13" t="s">
        <v>102</v>
      </c>
      <c r="M414" s="13" t="s">
        <v>103</v>
      </c>
      <c r="N414" s="138" t="s">
        <v>421</v>
      </c>
      <c r="O414" s="138" t="s">
        <v>421</v>
      </c>
      <c r="P414" s="28">
        <v>32</v>
      </c>
      <c r="Q414" s="13" t="s">
        <v>54</v>
      </c>
      <c r="R414" s="13" t="s">
        <v>28</v>
      </c>
      <c r="S414" s="13"/>
      <c r="T414" s="13"/>
      <c r="U414" s="13" t="s">
        <v>1379</v>
      </c>
      <c r="V414" s="13" t="s">
        <v>1379</v>
      </c>
      <c r="W414" s="59">
        <f>+J414/$W$2</f>
        <v>2.0548992366267635E-5</v>
      </c>
    </row>
    <row r="415" spans="1:23">
      <c r="A415" s="13" t="s">
        <v>1779</v>
      </c>
      <c r="B415" s="13" t="s">
        <v>404</v>
      </c>
      <c r="C415" s="138">
        <v>46276</v>
      </c>
      <c r="D415" s="138" t="s">
        <v>424</v>
      </c>
      <c r="E415" s="28">
        <v>0.98486286999999995</v>
      </c>
      <c r="F415" s="13"/>
      <c r="G415" s="18">
        <v>5350000</v>
      </c>
      <c r="H415" s="18">
        <v>5269016.38</v>
      </c>
      <c r="I415" s="18">
        <v>5350000</v>
      </c>
      <c r="J415" s="18">
        <v>5269016.38</v>
      </c>
      <c r="K415" s="15">
        <v>802</v>
      </c>
      <c r="L415" s="13" t="s">
        <v>102</v>
      </c>
      <c r="M415" s="13" t="s">
        <v>103</v>
      </c>
      <c r="N415" s="138" t="s">
        <v>388</v>
      </c>
      <c r="O415" s="138" t="s">
        <v>388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1854</v>
      </c>
      <c r="V415" s="13" t="s">
        <v>1854</v>
      </c>
      <c r="W415" s="59">
        <f>+J415/$W$2</f>
        <v>8.6233111669564708E-5</v>
      </c>
    </row>
    <row r="416" spans="1:23">
      <c r="A416" s="13" t="s">
        <v>1779</v>
      </c>
      <c r="B416" s="13" t="s">
        <v>404</v>
      </c>
      <c r="C416" s="138">
        <v>46276</v>
      </c>
      <c r="D416" s="138" t="s">
        <v>424</v>
      </c>
      <c r="E416" s="28">
        <v>0.98486288</v>
      </c>
      <c r="F416" s="13"/>
      <c r="G416" s="18">
        <v>5000000</v>
      </c>
      <c r="H416" s="18">
        <v>4924314.38</v>
      </c>
      <c r="I416" s="18">
        <v>5000000</v>
      </c>
      <c r="J416" s="18">
        <v>4924314.38</v>
      </c>
      <c r="K416" s="15">
        <v>901</v>
      </c>
      <c r="L416" s="13" t="s">
        <v>102</v>
      </c>
      <c r="M416" s="13" t="s">
        <v>103</v>
      </c>
      <c r="N416" s="138" t="s">
        <v>388</v>
      </c>
      <c r="O416" s="138" t="s">
        <v>388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1858</v>
      </c>
      <c r="V416" s="13" t="s">
        <v>1858</v>
      </c>
      <c r="W416" s="59">
        <f>+J416/$W$2</f>
        <v>8.0591693250075511E-5</v>
      </c>
    </row>
    <row r="417" spans="1:29">
      <c r="A417" s="13" t="s">
        <v>413</v>
      </c>
      <c r="B417" s="13" t="s">
        <v>404</v>
      </c>
      <c r="C417" s="138">
        <v>46276</v>
      </c>
      <c r="D417" s="138" t="s">
        <v>424</v>
      </c>
      <c r="E417" s="28">
        <v>0.98531480999999999</v>
      </c>
      <c r="F417" s="13"/>
      <c r="G417" s="18">
        <v>15355310.449999999</v>
      </c>
      <c r="H417" s="18">
        <v>15129814.76</v>
      </c>
      <c r="I417" s="18">
        <v>15355310.449999999</v>
      </c>
      <c r="J417" s="18">
        <v>15129814.76</v>
      </c>
      <c r="K417" s="15">
        <v>30742</v>
      </c>
      <c r="L417" s="13" t="s">
        <v>102</v>
      </c>
      <c r="M417" s="13" t="s">
        <v>103</v>
      </c>
      <c r="N417" s="138" t="s">
        <v>330</v>
      </c>
      <c r="O417" s="138" t="s">
        <v>330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942</v>
      </c>
      <c r="V417" s="13" t="s">
        <v>942</v>
      </c>
      <c r="W417" s="59">
        <f>+J417/$W$2</f>
        <v>2.4761566707046529E-4</v>
      </c>
    </row>
    <row r="418" spans="1:29">
      <c r="A418" s="13" t="s">
        <v>413</v>
      </c>
      <c r="B418" s="13" t="s">
        <v>404</v>
      </c>
      <c r="C418" s="138">
        <v>46276</v>
      </c>
      <c r="D418" s="138" t="s">
        <v>424</v>
      </c>
      <c r="E418" s="28">
        <v>0.98486282999999997</v>
      </c>
      <c r="F418" s="13"/>
      <c r="G418" s="18">
        <v>16005575.68</v>
      </c>
      <c r="H418" s="18">
        <v>15763296.539999999</v>
      </c>
      <c r="I418" s="18">
        <v>16005575.68</v>
      </c>
      <c r="J418" s="18">
        <v>15763296.539999999</v>
      </c>
      <c r="K418" s="15">
        <v>30718</v>
      </c>
      <c r="L418" s="13" t="s">
        <v>102</v>
      </c>
      <c r="M418" s="13" t="s">
        <v>103</v>
      </c>
      <c r="N418" s="138" t="s">
        <v>391</v>
      </c>
      <c r="O418" s="138" t="s">
        <v>391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789</v>
      </c>
      <c r="V418" s="13" t="s">
        <v>789</v>
      </c>
      <c r="W418" s="59">
        <f>+J418/$W$2</f>
        <v>2.5798327672199855E-4</v>
      </c>
    </row>
    <row r="419" spans="1:29">
      <c r="A419" s="13" t="s">
        <v>189</v>
      </c>
      <c r="B419" s="13" t="s">
        <v>404</v>
      </c>
      <c r="C419" s="138">
        <v>46276</v>
      </c>
      <c r="D419" s="138" t="s">
        <v>424</v>
      </c>
      <c r="E419" s="28">
        <v>0.98803532000000005</v>
      </c>
      <c r="F419" s="13"/>
      <c r="G419" s="18">
        <v>100046704.59999999</v>
      </c>
      <c r="H419" s="18">
        <v>98849677.650000006</v>
      </c>
      <c r="I419" s="18">
        <v>100046704.59999999</v>
      </c>
      <c r="J419" s="18">
        <v>98849677.650000006</v>
      </c>
      <c r="K419" s="15">
        <v>568280</v>
      </c>
      <c r="L419" s="13" t="s">
        <v>102</v>
      </c>
      <c r="M419" s="13" t="s">
        <v>103</v>
      </c>
      <c r="N419" s="138" t="s">
        <v>313</v>
      </c>
      <c r="O419" s="138" t="s">
        <v>313</v>
      </c>
      <c r="P419" s="28">
        <v>26</v>
      </c>
      <c r="Q419" s="13" t="s">
        <v>54</v>
      </c>
      <c r="R419" s="13" t="s">
        <v>28</v>
      </c>
      <c r="S419" s="13"/>
      <c r="T419" s="13"/>
      <c r="U419" s="13" t="s">
        <v>648</v>
      </c>
      <c r="V419" s="13" t="s">
        <v>648</v>
      </c>
      <c r="W419" s="59">
        <f>+J419/$W$2</f>
        <v>1.6177811334291061E-3</v>
      </c>
    </row>
    <row r="420" spans="1:29">
      <c r="A420" s="13" t="s">
        <v>1805</v>
      </c>
      <c r="B420" s="13" t="s">
        <v>404</v>
      </c>
      <c r="C420" s="138">
        <v>46276</v>
      </c>
      <c r="D420" s="138" t="s">
        <v>424</v>
      </c>
      <c r="E420" s="28">
        <v>0.98622001000000004</v>
      </c>
      <c r="F420" s="13"/>
      <c r="G420" s="18">
        <v>1500000</v>
      </c>
      <c r="H420" s="18">
        <v>1479330.02</v>
      </c>
      <c r="I420" s="18">
        <v>1500000</v>
      </c>
      <c r="J420" s="18">
        <v>1479330.02</v>
      </c>
      <c r="K420" s="15">
        <v>1966</v>
      </c>
      <c r="L420" s="13" t="s">
        <v>102</v>
      </c>
      <c r="M420" s="13" t="s">
        <v>103</v>
      </c>
      <c r="N420" s="138" t="s">
        <v>384</v>
      </c>
      <c r="O420" s="138" t="s">
        <v>384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1794</v>
      </c>
      <c r="V420" s="13" t="s">
        <v>1794</v>
      </c>
      <c r="W420" s="59">
        <f>+J420/$W$2</f>
        <v>2.4210824489940073E-5</v>
      </c>
    </row>
    <row r="421" spans="1:29">
      <c r="A421" s="13" t="s">
        <v>190</v>
      </c>
      <c r="B421" s="13" t="s">
        <v>404</v>
      </c>
      <c r="C421" s="138">
        <v>46276</v>
      </c>
      <c r="D421" s="138" t="s">
        <v>424</v>
      </c>
      <c r="E421" s="28">
        <v>0.98917334000000001</v>
      </c>
      <c r="F421" s="13"/>
      <c r="G421" s="18">
        <v>27798498.34</v>
      </c>
      <c r="H421" s="18">
        <v>27497533.48</v>
      </c>
      <c r="I421" s="18">
        <v>27798498.34</v>
      </c>
      <c r="J421" s="18">
        <v>27497533.48</v>
      </c>
      <c r="K421" s="15">
        <v>88</v>
      </c>
      <c r="L421" s="13" t="s">
        <v>102</v>
      </c>
      <c r="M421" s="13" t="s">
        <v>103</v>
      </c>
      <c r="N421" s="138" t="s">
        <v>339</v>
      </c>
      <c r="O421" s="138" t="s">
        <v>339</v>
      </c>
      <c r="P421" s="28">
        <v>23.5</v>
      </c>
      <c r="Q421" s="13" t="s">
        <v>54</v>
      </c>
      <c r="R421" s="13" t="s">
        <v>28</v>
      </c>
      <c r="S421" s="13"/>
      <c r="T421" s="13"/>
      <c r="U421" s="13" t="s">
        <v>1601</v>
      </c>
      <c r="V421" s="13" t="s">
        <v>1601</v>
      </c>
      <c r="W421" s="59">
        <f>+J421/$W$2</f>
        <v>4.5002666611912E-4</v>
      </c>
    </row>
    <row r="422" spans="1:29">
      <c r="A422" s="13" t="s">
        <v>960</v>
      </c>
      <c r="B422" s="13" t="s">
        <v>404</v>
      </c>
      <c r="C422" s="138">
        <v>46276</v>
      </c>
      <c r="D422" s="138" t="s">
        <v>424</v>
      </c>
      <c r="E422" s="28">
        <v>0.98531480000000005</v>
      </c>
      <c r="F422" s="13"/>
      <c r="G422" s="18">
        <v>1000000</v>
      </c>
      <c r="H422" s="18">
        <v>985314.8</v>
      </c>
      <c r="I422" s="18">
        <v>1000000</v>
      </c>
      <c r="J422" s="18">
        <v>985314.8</v>
      </c>
      <c r="K422" s="15">
        <v>67381670</v>
      </c>
      <c r="L422" s="13" t="s">
        <v>102</v>
      </c>
      <c r="M422" s="13" t="s">
        <v>103</v>
      </c>
      <c r="N422" s="138" t="s">
        <v>330</v>
      </c>
      <c r="O422" s="138" t="s">
        <v>330</v>
      </c>
      <c r="P422" s="28">
        <v>32</v>
      </c>
      <c r="Q422" s="13" t="s">
        <v>54</v>
      </c>
      <c r="R422" s="13" t="s">
        <v>28</v>
      </c>
      <c r="S422" s="13"/>
      <c r="T422" s="13"/>
      <c r="U422" s="13" t="s">
        <v>968</v>
      </c>
      <c r="V422" s="13" t="s">
        <v>968</v>
      </c>
      <c r="W422" s="59">
        <f>+J422/$W$2</f>
        <v>1.6125734871614657E-5</v>
      </c>
    </row>
    <row r="423" spans="1:29">
      <c r="A423" s="13" t="s">
        <v>1151</v>
      </c>
      <c r="B423" s="13" t="s">
        <v>404</v>
      </c>
      <c r="C423" s="138">
        <v>46276</v>
      </c>
      <c r="D423" s="138" t="s">
        <v>424</v>
      </c>
      <c r="E423" s="28">
        <v>0.98486288</v>
      </c>
      <c r="F423" s="13"/>
      <c r="G423" s="18">
        <v>2000000</v>
      </c>
      <c r="H423" s="18">
        <v>1969725.75</v>
      </c>
      <c r="I423" s="18">
        <v>2000000</v>
      </c>
      <c r="J423" s="18">
        <v>1969725.75</v>
      </c>
      <c r="K423" s="15">
        <v>13669244</v>
      </c>
      <c r="L423" s="13" t="s">
        <v>102</v>
      </c>
      <c r="M423" s="13" t="s">
        <v>103</v>
      </c>
      <c r="N423" s="138" t="s">
        <v>388</v>
      </c>
      <c r="O423" s="138" t="s">
        <v>388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1863</v>
      </c>
      <c r="V423" s="13" t="s">
        <v>1863</v>
      </c>
      <c r="W423" s="59">
        <f>+J423/$W$2</f>
        <v>3.2236677267298058E-5</v>
      </c>
    </row>
    <row r="424" spans="1:29">
      <c r="A424" s="13" t="s">
        <v>1422</v>
      </c>
      <c r="B424" s="13" t="s">
        <v>404</v>
      </c>
      <c r="C424" s="138">
        <v>46276</v>
      </c>
      <c r="D424" s="138" t="s">
        <v>424</v>
      </c>
      <c r="E424" s="28">
        <v>0.98531484999999996</v>
      </c>
      <c r="F424" s="13"/>
      <c r="G424" s="18">
        <v>1099546.98</v>
      </c>
      <c r="H424" s="18">
        <v>1083399.97</v>
      </c>
      <c r="I424" s="18">
        <v>1099546.98</v>
      </c>
      <c r="J424" s="18">
        <v>1083399.97</v>
      </c>
      <c r="K424" s="15">
        <v>30001147</v>
      </c>
      <c r="L424" s="13" t="s">
        <v>102</v>
      </c>
      <c r="M424" s="13" t="s">
        <v>103</v>
      </c>
      <c r="N424" s="138" t="s">
        <v>421</v>
      </c>
      <c r="O424" s="138" t="s">
        <v>421</v>
      </c>
      <c r="P424" s="28">
        <v>32</v>
      </c>
      <c r="Q424" s="13" t="s">
        <v>54</v>
      </c>
      <c r="R424" s="13" t="s">
        <v>28</v>
      </c>
      <c r="S424" s="13"/>
      <c r="T424" s="13"/>
      <c r="U424" s="13" t="s">
        <v>1383</v>
      </c>
      <c r="V424" s="13" t="s">
        <v>1383</v>
      </c>
      <c r="W424" s="59">
        <f>+J424/$W$2</f>
        <v>1.7731004016315668E-5</v>
      </c>
    </row>
    <row r="425" spans="1:29">
      <c r="A425" s="13" t="s">
        <v>1460</v>
      </c>
      <c r="B425" s="13" t="s">
        <v>404</v>
      </c>
      <c r="C425" s="138">
        <v>46276</v>
      </c>
      <c r="D425" s="138" t="s">
        <v>424</v>
      </c>
      <c r="E425" s="28">
        <v>0.98621999000000005</v>
      </c>
      <c r="F425" s="13"/>
      <c r="G425" s="18">
        <v>1579236</v>
      </c>
      <c r="H425" s="18">
        <v>1557474.11</v>
      </c>
      <c r="I425" s="18">
        <v>1579236</v>
      </c>
      <c r="J425" s="18">
        <v>1557474.11</v>
      </c>
      <c r="K425" s="15">
        <v>1562</v>
      </c>
      <c r="L425" s="13" t="s">
        <v>102</v>
      </c>
      <c r="M425" s="13" t="s">
        <v>103</v>
      </c>
      <c r="N425" s="138" t="s">
        <v>383</v>
      </c>
      <c r="O425" s="138" t="s">
        <v>383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1660</v>
      </c>
      <c r="V425" s="13" t="s">
        <v>1660</v>
      </c>
      <c r="W425" s="59">
        <f>+J425/$W$2</f>
        <v>2.5489736444904716E-5</v>
      </c>
      <c r="AC425" s="56"/>
    </row>
    <row r="426" spans="1:29">
      <c r="A426" s="13" t="s">
        <v>138</v>
      </c>
      <c r="B426" s="13" t="s">
        <v>404</v>
      </c>
      <c r="C426" s="138">
        <v>46279</v>
      </c>
      <c r="D426" s="138" t="s">
        <v>424</v>
      </c>
      <c r="E426" s="28">
        <v>0.98118285999999999</v>
      </c>
      <c r="F426" s="13"/>
      <c r="G426" s="18">
        <v>115000000</v>
      </c>
      <c r="H426" s="18">
        <v>112836029.45</v>
      </c>
      <c r="I426" s="18">
        <v>115000000</v>
      </c>
      <c r="J426" s="18">
        <v>112836029.45</v>
      </c>
      <c r="K426" s="15">
        <v>8427</v>
      </c>
      <c r="L426" s="13" t="s">
        <v>102</v>
      </c>
      <c r="M426" s="13" t="s">
        <v>103</v>
      </c>
      <c r="N426" s="138" t="s">
        <v>353</v>
      </c>
      <c r="O426" s="138" t="s">
        <v>353</v>
      </c>
      <c r="P426" s="28">
        <v>35</v>
      </c>
      <c r="Q426" s="13" t="s">
        <v>54</v>
      </c>
      <c r="R426" s="13" t="s">
        <v>28</v>
      </c>
      <c r="S426" s="13"/>
      <c r="T426" s="13"/>
      <c r="U426" s="13" t="s">
        <v>990</v>
      </c>
      <c r="V426" s="13" t="s">
        <v>990</v>
      </c>
      <c r="W426" s="59">
        <f>+J426/$W$2</f>
        <v>1.8466828011478192E-3</v>
      </c>
    </row>
    <row r="427" spans="1:29">
      <c r="A427" s="13" t="s">
        <v>318</v>
      </c>
      <c r="B427" s="13" t="s">
        <v>404</v>
      </c>
      <c r="C427" s="138">
        <v>46279</v>
      </c>
      <c r="D427" s="138" t="s">
        <v>424</v>
      </c>
      <c r="E427" s="28">
        <v>0.98648650000000004</v>
      </c>
      <c r="F427" s="13"/>
      <c r="G427" s="18">
        <v>9600000</v>
      </c>
      <c r="H427" s="18">
        <v>9470270.3900000006</v>
      </c>
      <c r="I427" s="18">
        <v>9600000</v>
      </c>
      <c r="J427" s="18">
        <v>9470270.3900000006</v>
      </c>
      <c r="K427" s="15">
        <v>33949</v>
      </c>
      <c r="L427" s="13" t="s">
        <v>102</v>
      </c>
      <c r="M427" s="13" t="s">
        <v>103</v>
      </c>
      <c r="N427" s="138" t="s">
        <v>338</v>
      </c>
      <c r="O427" s="138" t="s">
        <v>338</v>
      </c>
      <c r="P427" s="28">
        <v>25</v>
      </c>
      <c r="Q427" s="13" t="s">
        <v>54</v>
      </c>
      <c r="R427" s="13" t="s">
        <v>28</v>
      </c>
      <c r="S427" s="13"/>
      <c r="T427" s="13"/>
      <c r="U427" s="13" t="s">
        <v>1020</v>
      </c>
      <c r="V427" s="13" t="s">
        <v>1020</v>
      </c>
      <c r="W427" s="59">
        <f>+J427/$W$2</f>
        <v>1.5499114544066802E-4</v>
      </c>
    </row>
    <row r="428" spans="1:29">
      <c r="A428" s="13" t="s">
        <v>772</v>
      </c>
      <c r="B428" s="13" t="s">
        <v>404</v>
      </c>
      <c r="C428" s="138">
        <v>46279</v>
      </c>
      <c r="D428" s="138" t="s">
        <v>424</v>
      </c>
      <c r="E428" s="28">
        <v>0.98223903999999995</v>
      </c>
      <c r="F428" s="13"/>
      <c r="G428" s="18">
        <v>1070000</v>
      </c>
      <c r="H428" s="18">
        <v>1050995.77</v>
      </c>
      <c r="I428" s="18">
        <v>1070000</v>
      </c>
      <c r="J428" s="18">
        <v>1050995.77</v>
      </c>
      <c r="K428" s="15">
        <v>476</v>
      </c>
      <c r="L428" s="13" t="s">
        <v>102</v>
      </c>
      <c r="M428" s="13" t="s">
        <v>103</v>
      </c>
      <c r="N428" s="138" t="s">
        <v>346</v>
      </c>
      <c r="O428" s="138" t="s">
        <v>346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1484</v>
      </c>
      <c r="V428" s="13" t="s">
        <v>1484</v>
      </c>
      <c r="W428" s="59">
        <f>+J428/$W$2</f>
        <v>1.720067448312813E-5</v>
      </c>
    </row>
    <row r="429" spans="1:29">
      <c r="A429" s="13" t="s">
        <v>803</v>
      </c>
      <c r="B429" s="13" t="s">
        <v>404</v>
      </c>
      <c r="C429" s="138">
        <v>46279</v>
      </c>
      <c r="D429" s="138" t="s">
        <v>424</v>
      </c>
      <c r="E429" s="28">
        <v>0.98223901000000002</v>
      </c>
      <c r="F429" s="13"/>
      <c r="G429" s="18">
        <v>1524900</v>
      </c>
      <c r="H429" s="18">
        <v>1497816.27</v>
      </c>
      <c r="I429" s="18">
        <v>1524900</v>
      </c>
      <c r="J429" s="18">
        <v>1497816.27</v>
      </c>
      <c r="K429" s="15">
        <v>179</v>
      </c>
      <c r="L429" s="13" t="s">
        <v>102</v>
      </c>
      <c r="M429" s="13" t="s">
        <v>103</v>
      </c>
      <c r="N429" s="138" t="s">
        <v>391</v>
      </c>
      <c r="O429" s="138" t="s">
        <v>391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804</v>
      </c>
      <c r="V429" s="13" t="s">
        <v>804</v>
      </c>
      <c r="W429" s="59">
        <f>+J429/$W$2</f>
        <v>2.4513371824325375E-5</v>
      </c>
      <c r="AC429" s="56"/>
    </row>
    <row r="430" spans="1:29">
      <c r="A430" s="13" t="s">
        <v>284</v>
      </c>
      <c r="B430" s="13" t="s">
        <v>404</v>
      </c>
      <c r="C430" s="138">
        <v>46279</v>
      </c>
      <c r="D430" s="138" t="s">
        <v>424</v>
      </c>
      <c r="E430" s="28">
        <v>0.98648659999999999</v>
      </c>
      <c r="F430" s="13"/>
      <c r="G430" s="18">
        <v>629302.72</v>
      </c>
      <c r="H430" s="18">
        <v>620798.69999999995</v>
      </c>
      <c r="I430" s="18">
        <v>629302.72</v>
      </c>
      <c r="J430" s="18">
        <v>620798.69999999995</v>
      </c>
      <c r="K430" s="15">
        <v>609</v>
      </c>
      <c r="L430" s="13" t="s">
        <v>102</v>
      </c>
      <c r="M430" s="13" t="s">
        <v>103</v>
      </c>
      <c r="N430" s="138" t="s">
        <v>173</v>
      </c>
      <c r="O430" s="138" t="s">
        <v>173</v>
      </c>
      <c r="P430" s="28">
        <v>25</v>
      </c>
      <c r="Q430" s="13" t="s">
        <v>54</v>
      </c>
      <c r="R430" s="13" t="s">
        <v>28</v>
      </c>
      <c r="S430" s="13"/>
      <c r="T430" s="13"/>
      <c r="U430" s="13" t="s">
        <v>1996</v>
      </c>
      <c r="V430" s="13" t="s">
        <v>1996</v>
      </c>
      <c r="W430" s="59">
        <f>+J430/$W$2</f>
        <v>1.0160037426458065E-5</v>
      </c>
    </row>
    <row r="431" spans="1:29">
      <c r="A431" s="13" t="s">
        <v>1094</v>
      </c>
      <c r="B431" s="13" t="s">
        <v>404</v>
      </c>
      <c r="C431" s="138">
        <v>46279</v>
      </c>
      <c r="D431" s="138" t="s">
        <v>424</v>
      </c>
      <c r="E431" s="28">
        <v>0.98382751999999996</v>
      </c>
      <c r="F431" s="13"/>
      <c r="G431" s="18">
        <v>14427072</v>
      </c>
      <c r="H431" s="18">
        <v>14193750.4</v>
      </c>
      <c r="I431" s="18">
        <v>14427072</v>
      </c>
      <c r="J431" s="18">
        <v>14193750.4</v>
      </c>
      <c r="K431" s="15">
        <v>90044546</v>
      </c>
      <c r="L431" s="13" t="s">
        <v>102</v>
      </c>
      <c r="M431" s="13" t="s">
        <v>103</v>
      </c>
      <c r="N431" s="138" t="s">
        <v>387</v>
      </c>
      <c r="O431" s="138" t="s">
        <v>387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1704</v>
      </c>
      <c r="V431" s="13" t="s">
        <v>1704</v>
      </c>
      <c r="W431" s="59">
        <f>+J431/$W$2</f>
        <v>2.3229596854150011E-4</v>
      </c>
    </row>
    <row r="432" spans="1:29">
      <c r="A432" s="13" t="s">
        <v>410</v>
      </c>
      <c r="B432" s="13" t="s">
        <v>404</v>
      </c>
      <c r="C432" s="138">
        <v>46279</v>
      </c>
      <c r="D432" s="138" t="s">
        <v>424</v>
      </c>
      <c r="E432" s="28">
        <v>0.9796028</v>
      </c>
      <c r="F432" s="13"/>
      <c r="G432" s="18">
        <v>3200000</v>
      </c>
      <c r="H432" s="18">
        <v>3134728.96</v>
      </c>
      <c r="I432" s="18">
        <v>3200000</v>
      </c>
      <c r="J432" s="18">
        <v>3134728.96</v>
      </c>
      <c r="K432" s="15">
        <v>155475</v>
      </c>
      <c r="L432" s="13" t="s">
        <v>102</v>
      </c>
      <c r="M432" s="13" t="s">
        <v>103</v>
      </c>
      <c r="N432" s="138" t="s">
        <v>420</v>
      </c>
      <c r="O432" s="138" t="s">
        <v>420</v>
      </c>
      <c r="P432" s="28">
        <v>38</v>
      </c>
      <c r="Q432" s="13" t="s">
        <v>54</v>
      </c>
      <c r="R432" s="13" t="s">
        <v>28</v>
      </c>
      <c r="S432" s="13"/>
      <c r="T432" s="13"/>
      <c r="U432" s="13" t="s">
        <v>1274</v>
      </c>
      <c r="V432" s="13" t="s">
        <v>1274</v>
      </c>
      <c r="W432" s="59">
        <f>+J432/$W$2</f>
        <v>5.1303205943250158E-5</v>
      </c>
    </row>
    <row r="433" spans="1:29">
      <c r="A433" s="13" t="s">
        <v>410</v>
      </c>
      <c r="B433" s="13" t="s">
        <v>404</v>
      </c>
      <c r="C433" s="138">
        <v>46279</v>
      </c>
      <c r="D433" s="138" t="s">
        <v>424</v>
      </c>
      <c r="E433" s="28">
        <v>0.9796028</v>
      </c>
      <c r="F433" s="13"/>
      <c r="G433" s="18">
        <v>42000000</v>
      </c>
      <c r="H433" s="18">
        <v>41143317.649999999</v>
      </c>
      <c r="I433" s="18">
        <v>42000000</v>
      </c>
      <c r="J433" s="18">
        <v>41143317.649999999</v>
      </c>
      <c r="K433" s="15">
        <v>155474</v>
      </c>
      <c r="L433" s="13" t="s">
        <v>102</v>
      </c>
      <c r="M433" s="13" t="s">
        <v>103</v>
      </c>
      <c r="N433" s="138" t="s">
        <v>420</v>
      </c>
      <c r="O433" s="138" t="s">
        <v>420</v>
      </c>
      <c r="P433" s="28">
        <v>38</v>
      </c>
      <c r="Q433" s="13" t="s">
        <v>54</v>
      </c>
      <c r="R433" s="13" t="s">
        <v>28</v>
      </c>
      <c r="S433" s="13"/>
      <c r="T433" s="13"/>
      <c r="U433" s="13" t="s">
        <v>1275</v>
      </c>
      <c r="V433" s="13" t="s">
        <v>1275</v>
      </c>
      <c r="W433" s="59">
        <f>+J433/$W$2</f>
        <v>6.7335457882346207E-4</v>
      </c>
    </row>
    <row r="434" spans="1:29">
      <c r="A434" s="13" t="s">
        <v>410</v>
      </c>
      <c r="B434" s="13" t="s">
        <v>404</v>
      </c>
      <c r="C434" s="138">
        <v>46279</v>
      </c>
      <c r="D434" s="138" t="s">
        <v>424</v>
      </c>
      <c r="E434" s="28">
        <v>0.9796028</v>
      </c>
      <c r="F434" s="13"/>
      <c r="G434" s="18">
        <v>30000000</v>
      </c>
      <c r="H434" s="18">
        <v>29388084.039999999</v>
      </c>
      <c r="I434" s="18">
        <v>30000000</v>
      </c>
      <c r="J434" s="18">
        <v>29388084.039999999</v>
      </c>
      <c r="K434" s="15">
        <v>70219556</v>
      </c>
      <c r="L434" s="13" t="s">
        <v>102</v>
      </c>
      <c r="M434" s="13" t="s">
        <v>103</v>
      </c>
      <c r="N434" s="138" t="s">
        <v>420</v>
      </c>
      <c r="O434" s="138" t="s">
        <v>420</v>
      </c>
      <c r="P434" s="28">
        <v>38</v>
      </c>
      <c r="Q434" s="13" t="s">
        <v>54</v>
      </c>
      <c r="R434" s="13" t="s">
        <v>28</v>
      </c>
      <c r="S434" s="13"/>
      <c r="T434" s="13"/>
      <c r="U434" s="13" t="s">
        <v>1279</v>
      </c>
      <c r="V434" s="13" t="s">
        <v>1279</v>
      </c>
      <c r="W434" s="59">
        <f>+J434/$W$2</f>
        <v>4.8096755637261319E-4</v>
      </c>
    </row>
    <row r="435" spans="1:29">
      <c r="A435" s="13" t="s">
        <v>517</v>
      </c>
      <c r="B435" s="13" t="s">
        <v>404</v>
      </c>
      <c r="C435" s="138">
        <v>46279</v>
      </c>
      <c r="D435" s="138" t="s">
        <v>424</v>
      </c>
      <c r="E435" s="28">
        <v>0.98329750000000005</v>
      </c>
      <c r="F435" s="13"/>
      <c r="G435" s="18">
        <v>10000000</v>
      </c>
      <c r="H435" s="18">
        <v>9832975.0299999993</v>
      </c>
      <c r="I435" s="18">
        <v>10000000</v>
      </c>
      <c r="J435" s="18">
        <v>9832975.0299999993</v>
      </c>
      <c r="K435" s="15">
        <v>14004252</v>
      </c>
      <c r="L435" s="13" t="s">
        <v>102</v>
      </c>
      <c r="M435" s="13" t="s">
        <v>103</v>
      </c>
      <c r="N435" s="138" t="s">
        <v>341</v>
      </c>
      <c r="O435" s="138" t="s">
        <v>341</v>
      </c>
      <c r="P435" s="28">
        <v>31</v>
      </c>
      <c r="Q435" s="13" t="s">
        <v>54</v>
      </c>
      <c r="R435" s="13" t="s">
        <v>28</v>
      </c>
      <c r="S435" s="13"/>
      <c r="T435" s="13"/>
      <c r="U435" s="13" t="s">
        <v>1958</v>
      </c>
      <c r="V435" s="13" t="s">
        <v>1958</v>
      </c>
      <c r="W435" s="59">
        <f>+J435/$W$2</f>
        <v>1.6092719639752408E-4</v>
      </c>
    </row>
    <row r="436" spans="1:29">
      <c r="A436" s="13" t="s">
        <v>565</v>
      </c>
      <c r="B436" s="13" t="s">
        <v>404</v>
      </c>
      <c r="C436" s="138">
        <v>46279</v>
      </c>
      <c r="D436" s="138" t="s">
        <v>424</v>
      </c>
      <c r="E436" s="28">
        <v>0.98542123000000004</v>
      </c>
      <c r="F436" s="13"/>
      <c r="G436" s="18">
        <v>10000000</v>
      </c>
      <c r="H436" s="18">
        <v>9854212.2899999991</v>
      </c>
      <c r="I436" s="18">
        <v>10000000</v>
      </c>
      <c r="J436" s="18">
        <v>9854212.2899999991</v>
      </c>
      <c r="K436" s="15">
        <v>67936475</v>
      </c>
      <c r="L436" s="13" t="s">
        <v>102</v>
      </c>
      <c r="M436" s="13" t="s">
        <v>103</v>
      </c>
      <c r="N436" s="138" t="s">
        <v>393</v>
      </c>
      <c r="O436" s="138" t="s">
        <v>393</v>
      </c>
      <c r="P436" s="28">
        <v>27</v>
      </c>
      <c r="Q436" s="13" t="s">
        <v>54</v>
      </c>
      <c r="R436" s="13" t="s">
        <v>28</v>
      </c>
      <c r="S436" s="13"/>
      <c r="T436" s="13"/>
      <c r="U436" s="13" t="s">
        <v>1135</v>
      </c>
      <c r="V436" s="13" t="s">
        <v>1135</v>
      </c>
      <c r="W436" s="59">
        <f>+J436/$W$2</f>
        <v>1.6127476696498082E-4</v>
      </c>
    </row>
    <row r="437" spans="1:29">
      <c r="A437" s="13" t="s">
        <v>466</v>
      </c>
      <c r="B437" s="13" t="s">
        <v>404</v>
      </c>
      <c r="C437" s="138">
        <v>46279</v>
      </c>
      <c r="D437" s="138" t="s">
        <v>424</v>
      </c>
      <c r="E437" s="28">
        <v>0.98488936999999999</v>
      </c>
      <c r="F437" s="13"/>
      <c r="G437" s="18">
        <v>10000000</v>
      </c>
      <c r="H437" s="18">
        <v>9848893.6799999997</v>
      </c>
      <c r="I437" s="18">
        <v>10000000</v>
      </c>
      <c r="J437" s="18">
        <v>9848893.6799999997</v>
      </c>
      <c r="K437" s="15">
        <v>360563</v>
      </c>
      <c r="L437" s="13" t="s">
        <v>102</v>
      </c>
      <c r="M437" s="13" t="s">
        <v>103</v>
      </c>
      <c r="N437" s="138" t="s">
        <v>308</v>
      </c>
      <c r="O437" s="138" t="s">
        <v>308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545</v>
      </c>
      <c r="V437" s="13" t="s">
        <v>545</v>
      </c>
      <c r="W437" s="59">
        <f>+J437/$W$2</f>
        <v>1.6118772220045937E-4</v>
      </c>
    </row>
    <row r="438" spans="1:29">
      <c r="A438" s="13" t="s">
        <v>285</v>
      </c>
      <c r="B438" s="13" t="s">
        <v>404</v>
      </c>
      <c r="C438" s="138">
        <v>46279</v>
      </c>
      <c r="D438" s="138" t="s">
        <v>424</v>
      </c>
      <c r="E438" s="28">
        <v>0.98542121999999999</v>
      </c>
      <c r="F438" s="13"/>
      <c r="G438" s="18">
        <v>12500000</v>
      </c>
      <c r="H438" s="18">
        <v>12317765.23</v>
      </c>
      <c r="I438" s="18">
        <v>12500000</v>
      </c>
      <c r="J438" s="18">
        <v>12317765.23</v>
      </c>
      <c r="K438" s="15">
        <v>67924258</v>
      </c>
      <c r="L438" s="13" t="s">
        <v>102</v>
      </c>
      <c r="M438" s="13" t="s">
        <v>103</v>
      </c>
      <c r="N438" s="138" t="s">
        <v>390</v>
      </c>
      <c r="O438" s="138" t="s">
        <v>390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1103</v>
      </c>
      <c r="V438" s="13" t="s">
        <v>1103</v>
      </c>
      <c r="W438" s="59">
        <f>+J438/$W$2</f>
        <v>2.0159345653772128E-4</v>
      </c>
    </row>
    <row r="439" spans="1:29">
      <c r="A439" s="13" t="s">
        <v>285</v>
      </c>
      <c r="B439" s="13" t="s">
        <v>404</v>
      </c>
      <c r="C439" s="138">
        <v>46279</v>
      </c>
      <c r="D439" s="138" t="s">
        <v>424</v>
      </c>
      <c r="E439" s="28">
        <v>0.98595354999999996</v>
      </c>
      <c r="F439" s="13"/>
      <c r="G439" s="18">
        <v>10000000</v>
      </c>
      <c r="H439" s="18">
        <v>9859535.4499999993</v>
      </c>
      <c r="I439" s="18">
        <v>10000000</v>
      </c>
      <c r="J439" s="18">
        <v>9859535.4499999993</v>
      </c>
      <c r="K439" s="15">
        <v>68035377</v>
      </c>
      <c r="L439" s="13" t="s">
        <v>102</v>
      </c>
      <c r="M439" s="13" t="s">
        <v>103</v>
      </c>
      <c r="N439" s="138" t="s">
        <v>420</v>
      </c>
      <c r="O439" s="138" t="s">
        <v>420</v>
      </c>
      <c r="P439" s="28">
        <v>26</v>
      </c>
      <c r="Q439" s="13" t="s">
        <v>54</v>
      </c>
      <c r="R439" s="13" t="s">
        <v>28</v>
      </c>
      <c r="S439" s="13"/>
      <c r="T439" s="13"/>
      <c r="U439" s="13" t="s">
        <v>1289</v>
      </c>
      <c r="V439" s="13" t="s">
        <v>1289</v>
      </c>
      <c r="W439" s="59">
        <f>+J439/$W$2</f>
        <v>1.6136188619513873E-4</v>
      </c>
    </row>
    <row r="440" spans="1:29">
      <c r="A440" s="13" t="s">
        <v>375</v>
      </c>
      <c r="B440" s="13" t="s">
        <v>404</v>
      </c>
      <c r="C440" s="138">
        <v>46279</v>
      </c>
      <c r="D440" s="138" t="s">
        <v>424</v>
      </c>
      <c r="E440" s="28">
        <v>0.98223906999999999</v>
      </c>
      <c r="F440" s="13"/>
      <c r="G440" s="18">
        <v>5000000</v>
      </c>
      <c r="H440" s="18">
        <v>4911195.37</v>
      </c>
      <c r="I440" s="18">
        <v>5000000</v>
      </c>
      <c r="J440" s="18">
        <v>4911195.37</v>
      </c>
      <c r="K440" s="15">
        <v>3048</v>
      </c>
      <c r="L440" s="13" t="s">
        <v>102</v>
      </c>
      <c r="M440" s="13" t="s">
        <v>103</v>
      </c>
      <c r="N440" s="138" t="s">
        <v>161</v>
      </c>
      <c r="O440" s="138" t="s">
        <v>161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1691</v>
      </c>
      <c r="V440" s="13" t="s">
        <v>1691</v>
      </c>
      <c r="W440" s="59">
        <f>+J440/$W$2</f>
        <v>8.0376986562387412E-5</v>
      </c>
    </row>
    <row r="441" spans="1:29">
      <c r="A441" s="13" t="s">
        <v>375</v>
      </c>
      <c r="B441" s="13" t="s">
        <v>404</v>
      </c>
      <c r="C441" s="138">
        <v>46279</v>
      </c>
      <c r="D441" s="138" t="s">
        <v>424</v>
      </c>
      <c r="E441" s="28">
        <v>0.98012896000000005</v>
      </c>
      <c r="F441" s="13"/>
      <c r="G441" s="18">
        <v>2687954.26</v>
      </c>
      <c r="H441" s="18">
        <v>2634541.8199999998</v>
      </c>
      <c r="I441" s="18">
        <v>2687954.26</v>
      </c>
      <c r="J441" s="18">
        <v>2634541.8199999998</v>
      </c>
      <c r="K441" s="15">
        <v>2817</v>
      </c>
      <c r="L441" s="13" t="s">
        <v>102</v>
      </c>
      <c r="M441" s="13" t="s">
        <v>103</v>
      </c>
      <c r="N441" s="138" t="s">
        <v>355</v>
      </c>
      <c r="O441" s="138" t="s">
        <v>355</v>
      </c>
      <c r="P441" s="28">
        <v>37</v>
      </c>
      <c r="Q441" s="13" t="s">
        <v>54</v>
      </c>
      <c r="R441" s="13" t="s">
        <v>28</v>
      </c>
      <c r="S441" s="13"/>
      <c r="T441" s="13"/>
      <c r="U441" s="13" t="s">
        <v>1196</v>
      </c>
      <c r="V441" s="13" t="s">
        <v>1196</v>
      </c>
      <c r="W441" s="59">
        <f>+J441/$W$2</f>
        <v>4.3117106225848973E-5</v>
      </c>
    </row>
    <row r="442" spans="1:29">
      <c r="A442" s="13" t="s">
        <v>375</v>
      </c>
      <c r="B442" s="13" t="s">
        <v>404</v>
      </c>
      <c r="C442" s="138">
        <v>46279</v>
      </c>
      <c r="D442" s="138" t="s">
        <v>424</v>
      </c>
      <c r="E442" s="28">
        <v>0.98065561999999995</v>
      </c>
      <c r="F442" s="13"/>
      <c r="G442" s="18">
        <v>2333401.2200000002</v>
      </c>
      <c r="H442" s="18">
        <v>2288263.02</v>
      </c>
      <c r="I442" s="18">
        <v>2333401.2200000002</v>
      </c>
      <c r="J442" s="18">
        <v>2288263.02</v>
      </c>
      <c r="K442" s="15">
        <v>2660</v>
      </c>
      <c r="L442" s="13" t="s">
        <v>102</v>
      </c>
      <c r="M442" s="13" t="s">
        <v>103</v>
      </c>
      <c r="N442" s="138" t="s">
        <v>391</v>
      </c>
      <c r="O442" s="138" t="s">
        <v>391</v>
      </c>
      <c r="P442" s="28">
        <v>36</v>
      </c>
      <c r="Q442" s="13" t="s">
        <v>54</v>
      </c>
      <c r="R442" s="13" t="s">
        <v>28</v>
      </c>
      <c r="S442" s="13"/>
      <c r="T442" s="13"/>
      <c r="U442" s="13" t="s">
        <v>810</v>
      </c>
      <c r="V442" s="13" t="s">
        <v>810</v>
      </c>
      <c r="W442" s="59">
        <f>+J442/$W$2</f>
        <v>3.7449881780970168E-5</v>
      </c>
    </row>
    <row r="443" spans="1:29">
      <c r="A443" s="13" t="s">
        <v>394</v>
      </c>
      <c r="B443" s="13" t="s">
        <v>404</v>
      </c>
      <c r="C443" s="138">
        <v>46279</v>
      </c>
      <c r="D443" s="138" t="s">
        <v>424</v>
      </c>
      <c r="E443" s="28">
        <v>0.98171063999999997</v>
      </c>
      <c r="F443" s="13"/>
      <c r="G443" s="18">
        <v>440000000</v>
      </c>
      <c r="H443" s="18">
        <v>431952683.62</v>
      </c>
      <c r="I443" s="18">
        <v>440000000</v>
      </c>
      <c r="J443" s="18">
        <v>431952683.62</v>
      </c>
      <c r="K443" s="15">
        <v>178</v>
      </c>
      <c r="L443" s="13" t="s">
        <v>102</v>
      </c>
      <c r="M443" s="13" t="s">
        <v>103</v>
      </c>
      <c r="N443" s="138" t="s">
        <v>354</v>
      </c>
      <c r="O443" s="138" t="s">
        <v>354</v>
      </c>
      <c r="P443" s="28">
        <v>34</v>
      </c>
      <c r="Q443" s="13" t="s">
        <v>54</v>
      </c>
      <c r="R443" s="13" t="s">
        <v>28</v>
      </c>
      <c r="S443" s="13"/>
      <c r="T443" s="13"/>
      <c r="U443" s="13" t="s">
        <v>989</v>
      </c>
      <c r="V443" s="13" t="s">
        <v>989</v>
      </c>
      <c r="W443" s="59">
        <f>+J443/$W$2</f>
        <v>7.0693695589861905E-3</v>
      </c>
      <c r="AC443" s="56"/>
    </row>
    <row r="444" spans="1:29">
      <c r="A444" s="13" t="s">
        <v>405</v>
      </c>
      <c r="B444" s="13" t="s">
        <v>404</v>
      </c>
      <c r="C444" s="138">
        <v>46279</v>
      </c>
      <c r="D444" s="138" t="s">
        <v>424</v>
      </c>
      <c r="E444" s="28">
        <v>0.98382756000000005</v>
      </c>
      <c r="F444" s="13"/>
      <c r="G444" s="18">
        <v>10000000</v>
      </c>
      <c r="H444" s="18">
        <v>9838275.6199999992</v>
      </c>
      <c r="I444" s="18">
        <v>10000000</v>
      </c>
      <c r="J444" s="18">
        <v>9838275.6199999992</v>
      </c>
      <c r="K444" s="15">
        <v>701</v>
      </c>
      <c r="L444" s="13" t="s">
        <v>102</v>
      </c>
      <c r="M444" s="13" t="s">
        <v>103</v>
      </c>
      <c r="N444" s="138" t="s">
        <v>393</v>
      </c>
      <c r="O444" s="138" t="s">
        <v>393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1129</v>
      </c>
      <c r="V444" s="13" t="s">
        <v>1129</v>
      </c>
      <c r="W444" s="59">
        <f>+J444/$W$2</f>
        <v>1.6101394624539313E-4</v>
      </c>
      <c r="AC444" s="56"/>
    </row>
    <row r="445" spans="1:29">
      <c r="A445" s="13" t="s">
        <v>405</v>
      </c>
      <c r="B445" s="13" t="s">
        <v>404</v>
      </c>
      <c r="C445" s="138">
        <v>46279</v>
      </c>
      <c r="D445" s="138" t="s">
        <v>424</v>
      </c>
      <c r="E445" s="28">
        <v>0.98382751000000002</v>
      </c>
      <c r="F445" s="13"/>
      <c r="G445" s="18">
        <v>10000000</v>
      </c>
      <c r="H445" s="18">
        <v>9838275.0800000001</v>
      </c>
      <c r="I445" s="18">
        <v>10000000</v>
      </c>
      <c r="J445" s="18">
        <v>9838275.0800000001</v>
      </c>
      <c r="K445" s="15">
        <v>723</v>
      </c>
      <c r="L445" s="13" t="s">
        <v>102</v>
      </c>
      <c r="M445" s="13" t="s">
        <v>103</v>
      </c>
      <c r="N445" s="138" t="s">
        <v>163</v>
      </c>
      <c r="O445" s="138" t="s">
        <v>163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1138</v>
      </c>
      <c r="V445" s="13" t="s">
        <v>1138</v>
      </c>
      <c r="W445" s="59">
        <f>+J445/$W$2</f>
        <v>1.6101393740771322E-4</v>
      </c>
    </row>
    <row r="446" spans="1:29">
      <c r="A446" s="13" t="s">
        <v>1167</v>
      </c>
      <c r="B446" s="13" t="s">
        <v>404</v>
      </c>
      <c r="C446" s="138">
        <v>46279</v>
      </c>
      <c r="D446" s="138" t="s">
        <v>424</v>
      </c>
      <c r="E446" s="28">
        <v>0.98515525999999998</v>
      </c>
      <c r="F446" s="13"/>
      <c r="G446" s="18">
        <v>25000000</v>
      </c>
      <c r="H446" s="18">
        <v>24628881.460000001</v>
      </c>
      <c r="I446" s="18">
        <v>25000000</v>
      </c>
      <c r="J446" s="18">
        <v>24628881.460000001</v>
      </c>
      <c r="K446" s="15">
        <v>324</v>
      </c>
      <c r="L446" s="13" t="s">
        <v>102</v>
      </c>
      <c r="M446" s="13" t="s">
        <v>103</v>
      </c>
      <c r="N446" s="138" t="s">
        <v>419</v>
      </c>
      <c r="O446" s="138" t="s">
        <v>419</v>
      </c>
      <c r="P446" s="28">
        <v>27.5</v>
      </c>
      <c r="Q446" s="13" t="s">
        <v>54</v>
      </c>
      <c r="R446" s="13" t="s">
        <v>28</v>
      </c>
      <c r="S446" s="13"/>
      <c r="T446" s="13"/>
      <c r="U446" s="13" t="s">
        <v>1268</v>
      </c>
      <c r="V446" s="13" t="s">
        <v>1268</v>
      </c>
      <c r="W446" s="59">
        <f>+J446/$W$2</f>
        <v>4.0307809504981119E-4</v>
      </c>
    </row>
    <row r="447" spans="1:29">
      <c r="A447" s="13" t="s">
        <v>406</v>
      </c>
      <c r="B447" s="13" t="s">
        <v>404</v>
      </c>
      <c r="C447" s="138">
        <v>46279</v>
      </c>
      <c r="D447" s="138" t="s">
        <v>424</v>
      </c>
      <c r="E447" s="28">
        <v>0.98223897000000004</v>
      </c>
      <c r="F447" s="13"/>
      <c r="G447" s="18">
        <v>140000000</v>
      </c>
      <c r="H447" s="18">
        <v>137513456.22</v>
      </c>
      <c r="I447" s="18">
        <v>140000000</v>
      </c>
      <c r="J447" s="18">
        <v>137513456.22</v>
      </c>
      <c r="K447" s="15">
        <v>68766942</v>
      </c>
      <c r="L447" s="13" t="s">
        <v>102</v>
      </c>
      <c r="M447" s="13" t="s">
        <v>103</v>
      </c>
      <c r="N447" s="138" t="s">
        <v>416</v>
      </c>
      <c r="O447" s="138" t="s">
        <v>416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2039</v>
      </c>
      <c r="V447" s="13" t="s">
        <v>2039</v>
      </c>
      <c r="W447" s="59">
        <f>+J447/$W$2</f>
        <v>2.2505553923305621E-3</v>
      </c>
    </row>
    <row r="448" spans="1:29">
      <c r="A448" s="13" t="s">
        <v>406</v>
      </c>
      <c r="B448" s="13" t="s">
        <v>404</v>
      </c>
      <c r="C448" s="138">
        <v>46279</v>
      </c>
      <c r="D448" s="138" t="s">
        <v>424</v>
      </c>
      <c r="E448" s="28">
        <v>0.98223897000000004</v>
      </c>
      <c r="F448" s="13"/>
      <c r="G448" s="18">
        <v>160000000</v>
      </c>
      <c r="H448" s="18">
        <v>157158235.68000001</v>
      </c>
      <c r="I448" s="18">
        <v>160000000</v>
      </c>
      <c r="J448" s="18">
        <v>157158235.68000001</v>
      </c>
      <c r="K448" s="15">
        <v>68766943</v>
      </c>
      <c r="L448" s="13" t="s">
        <v>102</v>
      </c>
      <c r="M448" s="13" t="s">
        <v>103</v>
      </c>
      <c r="N448" s="138" t="s">
        <v>416</v>
      </c>
      <c r="O448" s="138" t="s">
        <v>416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2040</v>
      </c>
      <c r="V448" s="13" t="s">
        <v>2040</v>
      </c>
      <c r="W448" s="59">
        <f>+J448/$W$2</f>
        <v>2.5720633055206425E-3</v>
      </c>
    </row>
    <row r="449" spans="1:29">
      <c r="A449" s="13" t="s">
        <v>1779</v>
      </c>
      <c r="B449" s="13" t="s">
        <v>404</v>
      </c>
      <c r="C449" s="138">
        <v>46279</v>
      </c>
      <c r="D449" s="138" t="s">
        <v>424</v>
      </c>
      <c r="E449" s="28">
        <v>0.98223908000000004</v>
      </c>
      <c r="F449" s="13"/>
      <c r="G449" s="18">
        <v>4750000</v>
      </c>
      <c r="H449" s="18">
        <v>4665635.6100000003</v>
      </c>
      <c r="I449" s="18">
        <v>4750000</v>
      </c>
      <c r="J449" s="18">
        <v>4665635.6100000003</v>
      </c>
      <c r="K449" s="15">
        <v>936</v>
      </c>
      <c r="L449" s="13" t="s">
        <v>102</v>
      </c>
      <c r="M449" s="13" t="s">
        <v>103</v>
      </c>
      <c r="N449" s="138" t="s">
        <v>388</v>
      </c>
      <c r="O449" s="138" t="s">
        <v>388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1855</v>
      </c>
      <c r="V449" s="13" t="s">
        <v>1855</v>
      </c>
      <c r="W449" s="59">
        <f>+J449/$W$2</f>
        <v>7.635813737337967E-5</v>
      </c>
    </row>
    <row r="450" spans="1:29">
      <c r="A450" s="13" t="s">
        <v>413</v>
      </c>
      <c r="B450" s="13" t="s">
        <v>404</v>
      </c>
      <c r="C450" s="138">
        <v>46279</v>
      </c>
      <c r="D450" s="138" t="s">
        <v>424</v>
      </c>
      <c r="E450" s="28">
        <v>0.98276790999999997</v>
      </c>
      <c r="F450" s="13"/>
      <c r="G450" s="18">
        <v>15355310.449999999</v>
      </c>
      <c r="H450" s="18">
        <v>15090706.34</v>
      </c>
      <c r="I450" s="18">
        <v>15355310.449999999</v>
      </c>
      <c r="J450" s="18">
        <v>15090706.34</v>
      </c>
      <c r="K450" s="15">
        <v>30743</v>
      </c>
      <c r="L450" s="13" t="s">
        <v>102</v>
      </c>
      <c r="M450" s="13" t="s">
        <v>103</v>
      </c>
      <c r="N450" s="138" t="s">
        <v>330</v>
      </c>
      <c r="O450" s="138" t="s">
        <v>330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940</v>
      </c>
      <c r="V450" s="13" t="s">
        <v>940</v>
      </c>
      <c r="W450" s="59">
        <f>+J450/$W$2</f>
        <v>2.4697561577704342E-4</v>
      </c>
    </row>
    <row r="451" spans="1:29">
      <c r="A451" s="13" t="s">
        <v>413</v>
      </c>
      <c r="B451" s="13" t="s">
        <v>404</v>
      </c>
      <c r="C451" s="138">
        <v>46279</v>
      </c>
      <c r="D451" s="138" t="s">
        <v>424</v>
      </c>
      <c r="E451" s="28">
        <v>0.98223901999999996</v>
      </c>
      <c r="F451" s="13"/>
      <c r="G451" s="18">
        <v>16005575.68</v>
      </c>
      <c r="H451" s="18">
        <v>15721300.91</v>
      </c>
      <c r="I451" s="18">
        <v>16005575.68</v>
      </c>
      <c r="J451" s="18">
        <v>15721300.91</v>
      </c>
      <c r="K451" s="15">
        <v>30719</v>
      </c>
      <c r="L451" s="13" t="s">
        <v>102</v>
      </c>
      <c r="M451" s="13" t="s">
        <v>103</v>
      </c>
      <c r="N451" s="138" t="s">
        <v>391</v>
      </c>
      <c r="O451" s="138" t="s">
        <v>391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788</v>
      </c>
      <c r="V451" s="13" t="s">
        <v>788</v>
      </c>
      <c r="W451" s="59">
        <f>+J451/$W$2</f>
        <v>2.5729597313623446E-4</v>
      </c>
    </row>
    <row r="452" spans="1:29">
      <c r="A452" s="13" t="s">
        <v>1808</v>
      </c>
      <c r="B452" s="13" t="s">
        <v>404</v>
      </c>
      <c r="C452" s="138">
        <v>46279</v>
      </c>
      <c r="D452" s="138" t="s">
        <v>424</v>
      </c>
      <c r="E452" s="28">
        <v>0.98382758000000003</v>
      </c>
      <c r="F452" s="13"/>
      <c r="G452" s="18">
        <v>2531177</v>
      </c>
      <c r="H452" s="18">
        <v>2490241.7400000002</v>
      </c>
      <c r="I452" s="18">
        <v>2531177</v>
      </c>
      <c r="J452" s="18">
        <v>2490241.7400000002</v>
      </c>
      <c r="K452" s="15">
        <v>391</v>
      </c>
      <c r="L452" s="13" t="s">
        <v>102</v>
      </c>
      <c r="M452" s="13" t="s">
        <v>103</v>
      </c>
      <c r="N452" s="138" t="s">
        <v>384</v>
      </c>
      <c r="O452" s="138" t="s">
        <v>384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1787</v>
      </c>
      <c r="V452" s="13" t="s">
        <v>1787</v>
      </c>
      <c r="W452" s="59">
        <f>+J452/$W$2</f>
        <v>4.0755480446927582E-5</v>
      </c>
    </row>
    <row r="453" spans="1:29">
      <c r="A453" s="13" t="s">
        <v>2231</v>
      </c>
      <c r="B453" s="13" t="s">
        <v>404</v>
      </c>
      <c r="C453" s="138">
        <v>46279</v>
      </c>
      <c r="D453" s="138" t="s">
        <v>424</v>
      </c>
      <c r="E453" s="28">
        <v>0.98488942999999995</v>
      </c>
      <c r="F453" s="13"/>
      <c r="G453" s="18">
        <v>7298115.0499999998</v>
      </c>
      <c r="H453" s="18">
        <v>7187836.3899999997</v>
      </c>
      <c r="I453" s="18">
        <v>7298115.0499999998</v>
      </c>
      <c r="J453" s="18">
        <v>7187836.3899999997</v>
      </c>
      <c r="K453" s="15">
        <v>90046035</v>
      </c>
      <c r="L453" s="13" t="s">
        <v>102</v>
      </c>
      <c r="M453" s="13" t="s">
        <v>103</v>
      </c>
      <c r="N453" s="138" t="s">
        <v>639</v>
      </c>
      <c r="O453" s="138" t="s">
        <v>639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2151</v>
      </c>
      <c r="V453" s="13" t="s">
        <v>2151</v>
      </c>
      <c r="W453" s="59">
        <f>+J453/$W$2</f>
        <v>1.1763666183201936E-4</v>
      </c>
    </row>
    <row r="454" spans="1:29">
      <c r="A454" s="13" t="s">
        <v>1151</v>
      </c>
      <c r="B454" s="13" t="s">
        <v>404</v>
      </c>
      <c r="C454" s="138">
        <v>46279</v>
      </c>
      <c r="D454" s="138" t="s">
        <v>424</v>
      </c>
      <c r="E454" s="28">
        <v>0.98223908000000004</v>
      </c>
      <c r="F454" s="13"/>
      <c r="G454" s="18">
        <v>1500000</v>
      </c>
      <c r="H454" s="18">
        <v>1473358.62</v>
      </c>
      <c r="I454" s="18">
        <v>1500000</v>
      </c>
      <c r="J454" s="18">
        <v>1473358.62</v>
      </c>
      <c r="K454" s="15">
        <v>13669245</v>
      </c>
      <c r="L454" s="13" t="s">
        <v>102</v>
      </c>
      <c r="M454" s="13" t="s">
        <v>103</v>
      </c>
      <c r="N454" s="138" t="s">
        <v>388</v>
      </c>
      <c r="O454" s="138" t="s">
        <v>388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1864</v>
      </c>
      <c r="V454" s="13" t="s">
        <v>1864</v>
      </c>
      <c r="W454" s="59">
        <f>+J454/$W$2</f>
        <v>2.411309611601089E-5</v>
      </c>
    </row>
    <row r="455" spans="1:29">
      <c r="A455" s="13" t="s">
        <v>1460</v>
      </c>
      <c r="B455" s="13" t="s">
        <v>404</v>
      </c>
      <c r="C455" s="138">
        <v>46279</v>
      </c>
      <c r="D455" s="138" t="s">
        <v>424</v>
      </c>
      <c r="E455" s="28">
        <v>0.98382756999999998</v>
      </c>
      <c r="F455" s="13"/>
      <c r="G455" s="18">
        <v>1579236</v>
      </c>
      <c r="H455" s="18">
        <v>1553695.91</v>
      </c>
      <c r="I455" s="18">
        <v>1579236</v>
      </c>
      <c r="J455" s="18">
        <v>1553695.91</v>
      </c>
      <c r="K455" s="15">
        <v>1563</v>
      </c>
      <c r="L455" s="13" t="s">
        <v>102</v>
      </c>
      <c r="M455" s="13" t="s">
        <v>103</v>
      </c>
      <c r="N455" s="138" t="s">
        <v>383</v>
      </c>
      <c r="O455" s="138" t="s">
        <v>383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1661</v>
      </c>
      <c r="V455" s="13" t="s">
        <v>1661</v>
      </c>
      <c r="W455" s="59">
        <f>+J455/$W$2</f>
        <v>2.5427902144342156E-5</v>
      </c>
    </row>
    <row r="456" spans="1:29">
      <c r="A456" s="13" t="s">
        <v>1668</v>
      </c>
      <c r="B456" s="13" t="s">
        <v>404</v>
      </c>
      <c r="C456" s="138">
        <v>46279</v>
      </c>
      <c r="D456" s="138" t="s">
        <v>424</v>
      </c>
      <c r="E456" s="28">
        <v>0.98382756000000005</v>
      </c>
      <c r="F456" s="13"/>
      <c r="G456" s="18">
        <v>2870567.11</v>
      </c>
      <c r="H456" s="18">
        <v>2824143.05</v>
      </c>
      <c r="I456" s="18">
        <v>2870567.11</v>
      </c>
      <c r="J456" s="18">
        <v>2824143.05</v>
      </c>
      <c r="K456" s="15">
        <v>102</v>
      </c>
      <c r="L456" s="13" t="s">
        <v>102</v>
      </c>
      <c r="M456" s="13" t="s">
        <v>103</v>
      </c>
      <c r="N456" s="138" t="s">
        <v>383</v>
      </c>
      <c r="O456" s="138" t="s">
        <v>383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1646</v>
      </c>
      <c r="V456" s="13" t="s">
        <v>1646</v>
      </c>
      <c r="W456" s="59">
        <f>+J456/$W$2</f>
        <v>4.6220133975266754E-5</v>
      </c>
    </row>
    <row r="457" spans="1:29">
      <c r="A457" s="13" t="s">
        <v>1349</v>
      </c>
      <c r="B457" s="13" t="s">
        <v>404</v>
      </c>
      <c r="C457" s="138">
        <v>46280</v>
      </c>
      <c r="D457" s="138" t="s">
        <v>424</v>
      </c>
      <c r="E457" s="28">
        <v>0.98303266</v>
      </c>
      <c r="F457" s="13"/>
      <c r="G457" s="18">
        <v>2000000</v>
      </c>
      <c r="H457" s="18">
        <v>1966065.32</v>
      </c>
      <c r="I457" s="18">
        <v>2000000</v>
      </c>
      <c r="J457" s="18">
        <v>1966065.32</v>
      </c>
      <c r="K457" s="15">
        <v>9803</v>
      </c>
      <c r="L457" s="13" t="s">
        <v>102</v>
      </c>
      <c r="M457" s="13" t="s">
        <v>103</v>
      </c>
      <c r="N457" s="138" t="s">
        <v>173</v>
      </c>
      <c r="O457" s="138" t="s">
        <v>173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2003</v>
      </c>
      <c r="V457" s="13" t="s">
        <v>2003</v>
      </c>
      <c r="W457" s="59">
        <f>+J457/$W$2</f>
        <v>3.2176770399263492E-5</v>
      </c>
    </row>
    <row r="458" spans="1:29">
      <c r="A458" s="13" t="s">
        <v>1604</v>
      </c>
      <c r="B458" s="13" t="s">
        <v>404</v>
      </c>
      <c r="C458" s="138">
        <v>46280</v>
      </c>
      <c r="D458" s="138" t="s">
        <v>424</v>
      </c>
      <c r="E458" s="28">
        <v>0.98461975000000002</v>
      </c>
      <c r="F458" s="13"/>
      <c r="G458" s="18">
        <v>500000000</v>
      </c>
      <c r="H458" s="18">
        <v>492309876.30000001</v>
      </c>
      <c r="I458" s="18">
        <v>500000000</v>
      </c>
      <c r="J458" s="18">
        <v>492309876.30000001</v>
      </c>
      <c r="K458" s="15">
        <v>60855163</v>
      </c>
      <c r="L458" s="13" t="s">
        <v>102</v>
      </c>
      <c r="M458" s="13" t="s">
        <v>103</v>
      </c>
      <c r="N458" s="138" t="s">
        <v>339</v>
      </c>
      <c r="O458" s="138" t="s">
        <v>339</v>
      </c>
      <c r="P458" s="28">
        <v>27.15</v>
      </c>
      <c r="Q458" s="13" t="s">
        <v>54</v>
      </c>
      <c r="R458" s="13" t="s">
        <v>28</v>
      </c>
      <c r="S458" s="13"/>
      <c r="T458" s="13"/>
      <c r="U458" s="13" t="s">
        <v>1581</v>
      </c>
      <c r="V458" s="13" t="s">
        <v>1581</v>
      </c>
      <c r="W458" s="59">
        <f>+J458/$W$2</f>
        <v>8.0571798372369996E-3</v>
      </c>
    </row>
    <row r="459" spans="1:29">
      <c r="A459" s="13" t="s">
        <v>1604</v>
      </c>
      <c r="B459" s="13" t="s">
        <v>404</v>
      </c>
      <c r="C459" s="138">
        <v>46280</v>
      </c>
      <c r="D459" s="138" t="s">
        <v>424</v>
      </c>
      <c r="E459" s="28">
        <v>0.98461975000000002</v>
      </c>
      <c r="F459" s="13"/>
      <c r="G459" s="18">
        <v>1000000000</v>
      </c>
      <c r="H459" s="18">
        <v>984619752.60000002</v>
      </c>
      <c r="I459" s="18">
        <v>1000000000</v>
      </c>
      <c r="J459" s="18">
        <v>984619752.60000002</v>
      </c>
      <c r="K459" s="15">
        <v>60855162</v>
      </c>
      <c r="L459" s="13" t="s">
        <v>102</v>
      </c>
      <c r="M459" s="13" t="s">
        <v>103</v>
      </c>
      <c r="N459" s="138" t="s">
        <v>339</v>
      </c>
      <c r="O459" s="138" t="s">
        <v>339</v>
      </c>
      <c r="P459" s="28">
        <v>27.15</v>
      </c>
      <c r="Q459" s="13" t="s">
        <v>54</v>
      </c>
      <c r="R459" s="13" t="s">
        <v>28</v>
      </c>
      <c r="S459" s="13"/>
      <c r="T459" s="13"/>
      <c r="U459" s="13" t="s">
        <v>1582</v>
      </c>
      <c r="V459" s="13" t="s">
        <v>1582</v>
      </c>
      <c r="W459" s="59">
        <f>+J459/$W$2</f>
        <v>1.6114359674473999E-2</v>
      </c>
    </row>
    <row r="460" spans="1:29">
      <c r="A460" s="13" t="s">
        <v>305</v>
      </c>
      <c r="B460" s="13" t="s">
        <v>404</v>
      </c>
      <c r="C460" s="138">
        <v>46280</v>
      </c>
      <c r="D460" s="138" t="s">
        <v>424</v>
      </c>
      <c r="E460" s="28">
        <v>0.98414581999999995</v>
      </c>
      <c r="F460" s="13"/>
      <c r="G460" s="18">
        <v>500000000</v>
      </c>
      <c r="H460" s="18">
        <v>492072908.25</v>
      </c>
      <c r="I460" s="18">
        <v>500000000</v>
      </c>
      <c r="J460" s="18">
        <v>492072908.25</v>
      </c>
      <c r="K460" s="15">
        <v>156966</v>
      </c>
      <c r="L460" s="13" t="s">
        <v>102</v>
      </c>
      <c r="M460" s="13" t="s">
        <v>103</v>
      </c>
      <c r="N460" s="138" t="s">
        <v>343</v>
      </c>
      <c r="O460" s="138" t="s">
        <v>343</v>
      </c>
      <c r="P460" s="28">
        <v>28</v>
      </c>
      <c r="Q460" s="13" t="s">
        <v>54</v>
      </c>
      <c r="R460" s="13" t="s">
        <v>28</v>
      </c>
      <c r="S460" s="13"/>
      <c r="T460" s="13"/>
      <c r="U460" s="13" t="s">
        <v>1455</v>
      </c>
      <c r="V460" s="13" t="s">
        <v>1455</v>
      </c>
      <c r="W460" s="59">
        <f>+J460/$W$2</f>
        <v>8.053301600609129E-3</v>
      </c>
    </row>
    <row r="461" spans="1:29">
      <c r="A461" s="13" t="s">
        <v>1032</v>
      </c>
      <c r="B461" s="13" t="s">
        <v>404</v>
      </c>
      <c r="C461" s="138">
        <v>46280</v>
      </c>
      <c r="D461" s="138" t="s">
        <v>424</v>
      </c>
      <c r="E461" s="28">
        <v>0.98136747000000002</v>
      </c>
      <c r="F461" s="13"/>
      <c r="G461" s="18">
        <v>19470985</v>
      </c>
      <c r="H461" s="18">
        <v>19108191.219999999</v>
      </c>
      <c r="I461" s="18">
        <v>19470985</v>
      </c>
      <c r="J461" s="18">
        <v>19108191.219999999</v>
      </c>
      <c r="K461" s="15">
        <v>1064</v>
      </c>
      <c r="L461" s="13" t="s">
        <v>102</v>
      </c>
      <c r="M461" s="13" t="s">
        <v>103</v>
      </c>
      <c r="N461" s="138" t="s">
        <v>344</v>
      </c>
      <c r="O461" s="138" t="s">
        <v>344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1033</v>
      </c>
      <c r="V461" s="13" t="s">
        <v>1033</v>
      </c>
      <c r="W461" s="59">
        <f>+J461/$W$2</f>
        <v>3.1272607037855817E-4</v>
      </c>
    </row>
    <row r="462" spans="1:29">
      <c r="A462" s="13" t="s">
        <v>772</v>
      </c>
      <c r="B462" s="13" t="s">
        <v>404</v>
      </c>
      <c r="C462" s="138">
        <v>46280</v>
      </c>
      <c r="D462" s="138" t="s">
        <v>424</v>
      </c>
      <c r="E462" s="28">
        <v>0.98136749999999995</v>
      </c>
      <c r="F462" s="13"/>
      <c r="G462" s="18">
        <v>1070000</v>
      </c>
      <c r="H462" s="18">
        <v>1050063.22</v>
      </c>
      <c r="I462" s="18">
        <v>1070000</v>
      </c>
      <c r="J462" s="18">
        <v>1050063.22</v>
      </c>
      <c r="K462" s="15">
        <v>478</v>
      </c>
      <c r="L462" s="13" t="s">
        <v>102</v>
      </c>
      <c r="M462" s="13" t="s">
        <v>103</v>
      </c>
      <c r="N462" s="138" t="s">
        <v>346</v>
      </c>
      <c r="O462" s="138" t="s">
        <v>346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1485</v>
      </c>
      <c r="V462" s="13" t="s">
        <v>1485</v>
      </c>
      <c r="W462" s="59">
        <f>+J462/$W$2</f>
        <v>1.7185412300874779E-5</v>
      </c>
    </row>
    <row r="463" spans="1:29">
      <c r="A463" s="13" t="s">
        <v>772</v>
      </c>
      <c r="B463" s="13" t="s">
        <v>404</v>
      </c>
      <c r="C463" s="138">
        <v>46280</v>
      </c>
      <c r="D463" s="138" t="s">
        <v>424</v>
      </c>
      <c r="E463" s="28">
        <v>0.98136749999999995</v>
      </c>
      <c r="F463" s="13"/>
      <c r="G463" s="18">
        <v>1070000</v>
      </c>
      <c r="H463" s="18">
        <v>1050063.22</v>
      </c>
      <c r="I463" s="18">
        <v>1070000</v>
      </c>
      <c r="J463" s="18">
        <v>1050063.22</v>
      </c>
      <c r="K463" s="15">
        <v>477</v>
      </c>
      <c r="L463" s="13" t="s">
        <v>102</v>
      </c>
      <c r="M463" s="13" t="s">
        <v>103</v>
      </c>
      <c r="N463" s="138" t="s">
        <v>346</v>
      </c>
      <c r="O463" s="138" t="s">
        <v>346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1486</v>
      </c>
      <c r="V463" s="13" t="s">
        <v>1486</v>
      </c>
      <c r="W463" s="59">
        <f>+J463/$W$2</f>
        <v>1.7185412300874779E-5</v>
      </c>
      <c r="AC463" s="56"/>
    </row>
    <row r="464" spans="1:29">
      <c r="A464" s="13" t="s">
        <v>1054</v>
      </c>
      <c r="B464" s="13" t="s">
        <v>404</v>
      </c>
      <c r="C464" s="138">
        <v>46280</v>
      </c>
      <c r="D464" s="138" t="s">
        <v>424</v>
      </c>
      <c r="E464" s="28">
        <v>0.98303260999999997</v>
      </c>
      <c r="F464" s="13"/>
      <c r="G464" s="18">
        <v>2700000</v>
      </c>
      <c r="H464" s="18">
        <v>2654188.06</v>
      </c>
      <c r="I464" s="18">
        <v>2700000</v>
      </c>
      <c r="J464" s="18">
        <v>2654188.06</v>
      </c>
      <c r="K464" s="15">
        <v>6277</v>
      </c>
      <c r="L464" s="13" t="s">
        <v>102</v>
      </c>
      <c r="M464" s="13" t="s">
        <v>103</v>
      </c>
      <c r="N464" s="138" t="s">
        <v>162</v>
      </c>
      <c r="O464" s="138" t="s">
        <v>162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1050</v>
      </c>
      <c r="V464" s="13" t="s">
        <v>1050</v>
      </c>
      <c r="W464" s="59">
        <f>+J464/$W$2</f>
        <v>4.3438638042344693E-5</v>
      </c>
    </row>
    <row r="465" spans="1:29">
      <c r="A465" s="13" t="s">
        <v>410</v>
      </c>
      <c r="B465" s="13" t="s">
        <v>404</v>
      </c>
      <c r="C465" s="138">
        <v>46280</v>
      </c>
      <c r="D465" s="138" t="s">
        <v>424</v>
      </c>
      <c r="E465" s="28">
        <v>0.97860484000000003</v>
      </c>
      <c r="F465" s="13"/>
      <c r="G465" s="18">
        <v>25000000</v>
      </c>
      <c r="H465" s="18">
        <v>24465121.02</v>
      </c>
      <c r="I465" s="18">
        <v>25000000</v>
      </c>
      <c r="J465" s="18">
        <v>24465121.02</v>
      </c>
      <c r="K465" s="15">
        <v>155476</v>
      </c>
      <c r="L465" s="13" t="s">
        <v>102</v>
      </c>
      <c r="M465" s="13" t="s">
        <v>103</v>
      </c>
      <c r="N465" s="138" t="s">
        <v>420</v>
      </c>
      <c r="O465" s="138" t="s">
        <v>420</v>
      </c>
      <c r="P465" s="28">
        <v>38</v>
      </c>
      <c r="Q465" s="13" t="s">
        <v>54</v>
      </c>
      <c r="R465" s="13" t="s">
        <v>28</v>
      </c>
      <c r="S465" s="13"/>
      <c r="T465" s="13"/>
      <c r="U465" s="13" t="s">
        <v>1276</v>
      </c>
      <c r="V465" s="13" t="s">
        <v>1276</v>
      </c>
      <c r="W465" s="59">
        <f>+J465/$W$2</f>
        <v>4.0039797958021814E-4</v>
      </c>
    </row>
    <row r="466" spans="1:29">
      <c r="A466" s="13" t="s">
        <v>467</v>
      </c>
      <c r="B466" s="13" t="s">
        <v>404</v>
      </c>
      <c r="C466" s="138">
        <v>46280</v>
      </c>
      <c r="D466" s="138" t="s">
        <v>424</v>
      </c>
      <c r="E466" s="28">
        <v>0.97750404000000002</v>
      </c>
      <c r="F466" s="13"/>
      <c r="G466" s="18">
        <v>9975100.8000000007</v>
      </c>
      <c r="H466" s="18">
        <v>9750701.2899999991</v>
      </c>
      <c r="I466" s="18">
        <v>9975100.8000000007</v>
      </c>
      <c r="J466" s="18">
        <v>9750701.2899999991</v>
      </c>
      <c r="K466" s="15">
        <v>1179209</v>
      </c>
      <c r="L466" s="13" t="s">
        <v>102</v>
      </c>
      <c r="M466" s="13" t="s">
        <v>103</v>
      </c>
      <c r="N466" s="138" t="s">
        <v>306</v>
      </c>
      <c r="O466" s="138" t="s">
        <v>306</v>
      </c>
      <c r="P466" s="28">
        <v>40</v>
      </c>
      <c r="Q466" s="13" t="s">
        <v>54</v>
      </c>
      <c r="R466" s="13" t="s">
        <v>28</v>
      </c>
      <c r="S466" s="13"/>
      <c r="T466" s="13"/>
      <c r="U466" s="13" t="s">
        <v>455</v>
      </c>
      <c r="V466" s="13" t="s">
        <v>455</v>
      </c>
      <c r="W466" s="59">
        <f>+J466/$W$2</f>
        <v>1.5958069828531042E-4</v>
      </c>
    </row>
    <row r="467" spans="1:29">
      <c r="A467" s="13" t="s">
        <v>178</v>
      </c>
      <c r="B467" s="13" t="s">
        <v>404</v>
      </c>
      <c r="C467" s="138">
        <v>46280</v>
      </c>
      <c r="D467" s="138" t="s">
        <v>424</v>
      </c>
      <c r="E467" s="28">
        <v>0.98358889999999999</v>
      </c>
      <c r="F467" s="13"/>
      <c r="G467" s="18">
        <v>42000000</v>
      </c>
      <c r="H467" s="18">
        <v>41310733.990000002</v>
      </c>
      <c r="I467" s="18">
        <v>42000000</v>
      </c>
      <c r="J467" s="18">
        <v>41310733.990000002</v>
      </c>
      <c r="K467" s="15">
        <v>7579</v>
      </c>
      <c r="L467" s="13" t="s">
        <v>102</v>
      </c>
      <c r="M467" s="13" t="s">
        <v>103</v>
      </c>
      <c r="N467" s="138" t="s">
        <v>350</v>
      </c>
      <c r="O467" s="138" t="s">
        <v>350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524</v>
      </c>
      <c r="V467" s="13" t="s">
        <v>524</v>
      </c>
      <c r="W467" s="59">
        <f>+J467/$W$2</f>
        <v>6.7609452702277473E-4</v>
      </c>
      <c r="AC467" s="56"/>
    </row>
    <row r="468" spans="1:29">
      <c r="A468" s="13" t="s">
        <v>565</v>
      </c>
      <c r="B468" s="13" t="s">
        <v>404</v>
      </c>
      <c r="C468" s="138">
        <v>46280</v>
      </c>
      <c r="D468" s="138" t="s">
        <v>424</v>
      </c>
      <c r="E468" s="28">
        <v>0.98470342</v>
      </c>
      <c r="F468" s="13"/>
      <c r="G468" s="18">
        <v>20000000</v>
      </c>
      <c r="H468" s="18">
        <v>19694068.390000001</v>
      </c>
      <c r="I468" s="18">
        <v>20000000</v>
      </c>
      <c r="J468" s="18">
        <v>19694068.390000001</v>
      </c>
      <c r="K468" s="15">
        <v>67970034</v>
      </c>
      <c r="L468" s="13" t="s">
        <v>102</v>
      </c>
      <c r="M468" s="13" t="s">
        <v>103</v>
      </c>
      <c r="N468" s="138" t="s">
        <v>393</v>
      </c>
      <c r="O468" s="138" t="s">
        <v>393</v>
      </c>
      <c r="P468" s="28">
        <v>27</v>
      </c>
      <c r="Q468" s="13" t="s">
        <v>54</v>
      </c>
      <c r="R468" s="13" t="s">
        <v>28</v>
      </c>
      <c r="S468" s="13"/>
      <c r="T468" s="13"/>
      <c r="U468" s="13" t="s">
        <v>1130</v>
      </c>
      <c r="V468" s="13" t="s">
        <v>1130</v>
      </c>
      <c r="W468" s="59">
        <f>+J468/$W$2</f>
        <v>3.2231457946291572E-4</v>
      </c>
    </row>
    <row r="469" spans="1:29">
      <c r="A469" s="13" t="s">
        <v>565</v>
      </c>
      <c r="B469" s="13" t="s">
        <v>404</v>
      </c>
      <c r="C469" s="138">
        <v>46280</v>
      </c>
      <c r="D469" s="138" t="s">
        <v>424</v>
      </c>
      <c r="E469" s="28">
        <v>0.98470342</v>
      </c>
      <c r="F469" s="13"/>
      <c r="G469" s="18">
        <v>10000000</v>
      </c>
      <c r="H469" s="18">
        <v>9847034.1899999995</v>
      </c>
      <c r="I469" s="18">
        <v>10000000</v>
      </c>
      <c r="J469" s="18">
        <v>9847034.1899999995</v>
      </c>
      <c r="K469" s="15">
        <v>67936487</v>
      </c>
      <c r="L469" s="13" t="s">
        <v>102</v>
      </c>
      <c r="M469" s="13" t="s">
        <v>103</v>
      </c>
      <c r="N469" s="138" t="s">
        <v>393</v>
      </c>
      <c r="O469" s="138" t="s">
        <v>393</v>
      </c>
      <c r="P469" s="28">
        <v>27</v>
      </c>
      <c r="Q469" s="13" t="s">
        <v>54</v>
      </c>
      <c r="R469" s="13" t="s">
        <v>28</v>
      </c>
      <c r="S469" s="13"/>
      <c r="T469" s="13"/>
      <c r="U469" s="13" t="s">
        <v>1136</v>
      </c>
      <c r="V469" s="13" t="s">
        <v>1136</v>
      </c>
      <c r="W469" s="59">
        <f>+J469/$W$2</f>
        <v>1.6115728964962749E-4</v>
      </c>
    </row>
    <row r="470" spans="1:29">
      <c r="A470" s="13" t="s">
        <v>565</v>
      </c>
      <c r="B470" s="13" t="s">
        <v>404</v>
      </c>
      <c r="C470" s="138">
        <v>46280</v>
      </c>
      <c r="D470" s="138" t="s">
        <v>424</v>
      </c>
      <c r="E470" s="28">
        <v>0.98414597999999998</v>
      </c>
      <c r="F470" s="13"/>
      <c r="G470" s="18">
        <v>10950000</v>
      </c>
      <c r="H470" s="18">
        <v>10776398.49</v>
      </c>
      <c r="I470" s="18">
        <v>10950000</v>
      </c>
      <c r="J470" s="18">
        <v>10776398.49</v>
      </c>
      <c r="K470" s="15">
        <v>90000867</v>
      </c>
      <c r="L470" s="13" t="s">
        <v>102</v>
      </c>
      <c r="M470" s="13" t="s">
        <v>103</v>
      </c>
      <c r="N470" s="138" t="s">
        <v>535</v>
      </c>
      <c r="O470" s="138" t="s">
        <v>535</v>
      </c>
      <c r="P470" s="28">
        <v>28</v>
      </c>
      <c r="Q470" s="13" t="s">
        <v>54</v>
      </c>
      <c r="R470" s="13" t="s">
        <v>28</v>
      </c>
      <c r="S470" s="13"/>
      <c r="T470" s="13"/>
      <c r="U470" s="13" t="s">
        <v>2328</v>
      </c>
      <c r="V470" s="13" t="s">
        <v>2328</v>
      </c>
      <c r="W470" s="59">
        <f>+J470/$W$2</f>
        <v>1.7636733450122593E-4</v>
      </c>
    </row>
    <row r="471" spans="1:29">
      <c r="A471" s="13" t="s">
        <v>285</v>
      </c>
      <c r="B471" s="13" t="s">
        <v>404</v>
      </c>
      <c r="C471" s="138">
        <v>46280</v>
      </c>
      <c r="D471" s="138" t="s">
        <v>424</v>
      </c>
      <c r="E471" s="28">
        <v>0.98582044000000002</v>
      </c>
      <c r="F471" s="13"/>
      <c r="G471" s="18">
        <v>5000000</v>
      </c>
      <c r="H471" s="18">
        <v>4929102.2</v>
      </c>
      <c r="I471" s="18">
        <v>5000000</v>
      </c>
      <c r="J471" s="18">
        <v>4929102.2</v>
      </c>
      <c r="K471" s="15">
        <v>8742</v>
      </c>
      <c r="L471" s="13" t="s">
        <v>102</v>
      </c>
      <c r="M471" s="13" t="s">
        <v>103</v>
      </c>
      <c r="N471" s="138" t="s">
        <v>339</v>
      </c>
      <c r="O471" s="138" t="s">
        <v>339</v>
      </c>
      <c r="P471" s="28">
        <v>25</v>
      </c>
      <c r="Q471" s="13" t="s">
        <v>54</v>
      </c>
      <c r="R471" s="13" t="s">
        <v>28</v>
      </c>
      <c r="S471" s="13"/>
      <c r="T471" s="13"/>
      <c r="U471" s="13" t="s">
        <v>1586</v>
      </c>
      <c r="V471" s="13" t="s">
        <v>1586</v>
      </c>
      <c r="W471" s="59">
        <f>+J471/$W$2</f>
        <v>8.0670051066210029E-5</v>
      </c>
    </row>
    <row r="472" spans="1:29">
      <c r="A472" s="13" t="s">
        <v>375</v>
      </c>
      <c r="B472" s="13" t="s">
        <v>404</v>
      </c>
      <c r="C472" s="138">
        <v>46280</v>
      </c>
      <c r="D472" s="138" t="s">
        <v>424</v>
      </c>
      <c r="E472" s="28">
        <v>0.97915609000000003</v>
      </c>
      <c r="F472" s="13"/>
      <c r="G472" s="18">
        <v>2687954.26</v>
      </c>
      <c r="H472" s="18">
        <v>2631926.7799999998</v>
      </c>
      <c r="I472" s="18">
        <v>2687954.26</v>
      </c>
      <c r="J472" s="18">
        <v>2631926.7799999998</v>
      </c>
      <c r="K472" s="15">
        <v>2818</v>
      </c>
      <c r="L472" s="13" t="s">
        <v>102</v>
      </c>
      <c r="M472" s="13" t="s">
        <v>103</v>
      </c>
      <c r="N472" s="138" t="s">
        <v>355</v>
      </c>
      <c r="O472" s="138" t="s">
        <v>355</v>
      </c>
      <c r="P472" s="28">
        <v>37</v>
      </c>
      <c r="Q472" s="13" t="s">
        <v>54</v>
      </c>
      <c r="R472" s="13" t="s">
        <v>28</v>
      </c>
      <c r="S472" s="13"/>
      <c r="T472" s="13"/>
      <c r="U472" s="13" t="s">
        <v>1194</v>
      </c>
      <c r="V472" s="13" t="s">
        <v>1194</v>
      </c>
      <c r="W472" s="59">
        <f>+J472/$W$2</f>
        <v>4.3074308287851222E-5</v>
      </c>
    </row>
    <row r="473" spans="1:29">
      <c r="A473" s="13" t="s">
        <v>1906</v>
      </c>
      <c r="B473" s="13" t="s">
        <v>1907</v>
      </c>
      <c r="C473" s="138">
        <v>46280</v>
      </c>
      <c r="D473" s="138" t="s">
        <v>424</v>
      </c>
      <c r="E473" s="28">
        <v>0.98862369000000005</v>
      </c>
      <c r="F473" s="13" t="s">
        <v>2579</v>
      </c>
      <c r="G473" s="18">
        <v>4708.03</v>
      </c>
      <c r="H473" s="18">
        <v>4654.47</v>
      </c>
      <c r="I473" s="18">
        <v>7203285.5800000001</v>
      </c>
      <c r="J473" s="18">
        <v>7121338.79</v>
      </c>
      <c r="K473" s="15">
        <v>101</v>
      </c>
      <c r="L473" s="13" t="s">
        <v>102</v>
      </c>
      <c r="M473" s="13" t="s">
        <v>103</v>
      </c>
      <c r="N473" s="138" t="s">
        <v>464</v>
      </c>
      <c r="O473" s="138" t="s">
        <v>464</v>
      </c>
      <c r="P473" s="28">
        <v>20</v>
      </c>
      <c r="Q473" s="13" t="s">
        <v>54</v>
      </c>
      <c r="R473" s="13" t="s">
        <v>28</v>
      </c>
      <c r="S473" s="13"/>
      <c r="T473" s="13"/>
      <c r="U473" s="13" t="s">
        <v>2578</v>
      </c>
      <c r="V473" s="13" t="s">
        <v>2578</v>
      </c>
      <c r="W473" s="59">
        <f>+J473/$W$2</f>
        <v>1.1654835719354374E-4</v>
      </c>
    </row>
    <row r="474" spans="1:29">
      <c r="A474" s="13" t="s">
        <v>1426</v>
      </c>
      <c r="B474" s="13" t="s">
        <v>404</v>
      </c>
      <c r="C474" s="138">
        <v>46280</v>
      </c>
      <c r="D474" s="138" t="s">
        <v>424</v>
      </c>
      <c r="E474" s="28">
        <v>0.98192195000000004</v>
      </c>
      <c r="F474" s="13"/>
      <c r="G474" s="18">
        <v>3580581.29</v>
      </c>
      <c r="H474" s="18">
        <v>3515851.37</v>
      </c>
      <c r="I474" s="18">
        <v>3580581.29</v>
      </c>
      <c r="J474" s="18">
        <v>3515851.37</v>
      </c>
      <c r="K474" s="15">
        <v>10030703</v>
      </c>
      <c r="L474" s="13" t="s">
        <v>102</v>
      </c>
      <c r="M474" s="13" t="s">
        <v>103</v>
      </c>
      <c r="N474" s="138" t="s">
        <v>421</v>
      </c>
      <c r="O474" s="138" t="s">
        <v>421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1381</v>
      </c>
      <c r="V474" s="13" t="s">
        <v>1381</v>
      </c>
      <c r="W474" s="59">
        <f>+J474/$W$2</f>
        <v>5.7540683485748069E-5</v>
      </c>
    </row>
    <row r="475" spans="1:29">
      <c r="A475" s="13" t="s">
        <v>394</v>
      </c>
      <c r="B475" s="13" t="s">
        <v>404</v>
      </c>
      <c r="C475" s="138">
        <v>46280</v>
      </c>
      <c r="D475" s="138" t="s">
        <v>424</v>
      </c>
      <c r="E475" s="28">
        <v>0.98081372</v>
      </c>
      <c r="F475" s="13"/>
      <c r="G475" s="18">
        <v>42000000</v>
      </c>
      <c r="H475" s="18">
        <v>41194176.329999998</v>
      </c>
      <c r="I475" s="18">
        <v>42000000</v>
      </c>
      <c r="J475" s="18">
        <v>41194176.329999998</v>
      </c>
      <c r="K475" s="15">
        <v>179</v>
      </c>
      <c r="L475" s="13" t="s">
        <v>102</v>
      </c>
      <c r="M475" s="13" t="s">
        <v>103</v>
      </c>
      <c r="N475" s="138" t="s">
        <v>353</v>
      </c>
      <c r="O475" s="138" t="s">
        <v>353</v>
      </c>
      <c r="P475" s="28">
        <v>34</v>
      </c>
      <c r="Q475" s="13" t="s">
        <v>54</v>
      </c>
      <c r="R475" s="13" t="s">
        <v>28</v>
      </c>
      <c r="S475" s="13"/>
      <c r="T475" s="13"/>
      <c r="U475" s="13" t="s">
        <v>991</v>
      </c>
      <c r="V475" s="13" t="s">
        <v>991</v>
      </c>
      <c r="W475" s="59">
        <f>+J475/$W$2</f>
        <v>6.7418693574086577E-4</v>
      </c>
    </row>
    <row r="476" spans="1:29">
      <c r="A476" s="13" t="s">
        <v>405</v>
      </c>
      <c r="B476" s="13" t="s">
        <v>404</v>
      </c>
      <c r="C476" s="138">
        <v>46280</v>
      </c>
      <c r="D476" s="138" t="s">
        <v>424</v>
      </c>
      <c r="E476" s="28">
        <v>0.98303258999999998</v>
      </c>
      <c r="F476" s="13"/>
      <c r="G476" s="18">
        <v>10000000</v>
      </c>
      <c r="H476" s="18">
        <v>9830325.9199999999</v>
      </c>
      <c r="I476" s="18">
        <v>10000000</v>
      </c>
      <c r="J476" s="18">
        <v>9830325.9199999999</v>
      </c>
      <c r="K476" s="15">
        <v>638</v>
      </c>
      <c r="L476" s="13" t="s">
        <v>102</v>
      </c>
      <c r="M476" s="13" t="s">
        <v>103</v>
      </c>
      <c r="N476" s="138" t="s">
        <v>344</v>
      </c>
      <c r="O476" s="138" t="s">
        <v>344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1039</v>
      </c>
      <c r="V476" s="13" t="s">
        <v>1039</v>
      </c>
      <c r="W476" s="59">
        <f>+J476/$W$2</f>
        <v>1.6088384086738718E-4</v>
      </c>
    </row>
    <row r="477" spans="1:29">
      <c r="A477" s="13" t="s">
        <v>1167</v>
      </c>
      <c r="B477" s="13" t="s">
        <v>404</v>
      </c>
      <c r="C477" s="138">
        <v>46280</v>
      </c>
      <c r="D477" s="138" t="s">
        <v>424</v>
      </c>
      <c r="E477" s="28">
        <v>0.98442456</v>
      </c>
      <c r="F477" s="13"/>
      <c r="G477" s="18">
        <v>25000000</v>
      </c>
      <c r="H477" s="18">
        <v>24610613.98</v>
      </c>
      <c r="I477" s="18">
        <v>25000000</v>
      </c>
      <c r="J477" s="18">
        <v>24610613.98</v>
      </c>
      <c r="K477" s="15">
        <v>325</v>
      </c>
      <c r="L477" s="13" t="s">
        <v>102</v>
      </c>
      <c r="M477" s="13" t="s">
        <v>103</v>
      </c>
      <c r="N477" s="138" t="s">
        <v>419</v>
      </c>
      <c r="O477" s="138" t="s">
        <v>419</v>
      </c>
      <c r="P477" s="28">
        <v>27.5</v>
      </c>
      <c r="Q477" s="13" t="s">
        <v>54</v>
      </c>
      <c r="R477" s="13" t="s">
        <v>28</v>
      </c>
      <c r="S477" s="13"/>
      <c r="T477" s="13"/>
      <c r="U477" s="13" t="s">
        <v>1261</v>
      </c>
      <c r="V477" s="13" t="s">
        <v>1261</v>
      </c>
      <c r="W477" s="59">
        <f>+J477/$W$2</f>
        <v>4.0277912812142187E-4</v>
      </c>
    </row>
    <row r="478" spans="1:29">
      <c r="A478" s="13" t="s">
        <v>1779</v>
      </c>
      <c r="B478" s="13" t="s">
        <v>404</v>
      </c>
      <c r="C478" s="138">
        <v>46280</v>
      </c>
      <c r="D478" s="138" t="s">
        <v>424</v>
      </c>
      <c r="E478" s="28">
        <v>0.98136754000000004</v>
      </c>
      <c r="F478" s="13"/>
      <c r="G478" s="18">
        <v>5350000</v>
      </c>
      <c r="H478" s="18">
        <v>5250316.3600000003</v>
      </c>
      <c r="I478" s="18">
        <v>5350000</v>
      </c>
      <c r="J478" s="18">
        <v>5250316.3600000003</v>
      </c>
      <c r="K478" s="15">
        <v>803</v>
      </c>
      <c r="L478" s="13" t="s">
        <v>102</v>
      </c>
      <c r="M478" s="13" t="s">
        <v>103</v>
      </c>
      <c r="N478" s="138" t="s">
        <v>388</v>
      </c>
      <c r="O478" s="138" t="s">
        <v>388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1856</v>
      </c>
      <c r="V478" s="13" t="s">
        <v>1856</v>
      </c>
      <c r="W478" s="59">
        <f>+J478/$W$2</f>
        <v>8.5927065759553123E-5</v>
      </c>
    </row>
    <row r="479" spans="1:29">
      <c r="A479" s="13" t="s">
        <v>1779</v>
      </c>
      <c r="B479" s="13" t="s">
        <v>404</v>
      </c>
      <c r="C479" s="138">
        <v>46280</v>
      </c>
      <c r="D479" s="138" t="s">
        <v>424</v>
      </c>
      <c r="E479" s="28">
        <v>0.98136754000000004</v>
      </c>
      <c r="F479" s="13"/>
      <c r="G479" s="18">
        <v>5000000</v>
      </c>
      <c r="H479" s="18">
        <v>4906837.71</v>
      </c>
      <c r="I479" s="18">
        <v>5000000</v>
      </c>
      <c r="J479" s="18">
        <v>4906837.71</v>
      </c>
      <c r="K479" s="15">
        <v>902</v>
      </c>
      <c r="L479" s="13" t="s">
        <v>102</v>
      </c>
      <c r="M479" s="13" t="s">
        <v>103</v>
      </c>
      <c r="N479" s="138" t="s">
        <v>388</v>
      </c>
      <c r="O479" s="138" t="s">
        <v>388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1859</v>
      </c>
      <c r="V479" s="13" t="s">
        <v>1859</v>
      </c>
      <c r="W479" s="59">
        <f>+J479/$W$2</f>
        <v>8.0305668776619205E-5</v>
      </c>
    </row>
    <row r="480" spans="1:29">
      <c r="A480" s="13" t="s">
        <v>413</v>
      </c>
      <c r="B480" s="13" t="s">
        <v>404</v>
      </c>
      <c r="C480" s="138">
        <v>46280</v>
      </c>
      <c r="D480" s="138" t="s">
        <v>424</v>
      </c>
      <c r="E480" s="28">
        <v>0.98192193000000005</v>
      </c>
      <c r="F480" s="13"/>
      <c r="G480" s="18">
        <v>15355310.449999999</v>
      </c>
      <c r="H480" s="18">
        <v>15077716.01</v>
      </c>
      <c r="I480" s="18">
        <v>15355310.449999999</v>
      </c>
      <c r="J480" s="18">
        <v>15077716.01</v>
      </c>
      <c r="K480" s="15">
        <v>30744</v>
      </c>
      <c r="L480" s="13" t="s">
        <v>102</v>
      </c>
      <c r="M480" s="13" t="s">
        <v>103</v>
      </c>
      <c r="N480" s="138" t="s">
        <v>330</v>
      </c>
      <c r="O480" s="138" t="s">
        <v>330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941</v>
      </c>
      <c r="V480" s="13" t="s">
        <v>941</v>
      </c>
      <c r="W480" s="59">
        <f>+J480/$W$2</f>
        <v>2.4676301507575E-4</v>
      </c>
    </row>
    <row r="481" spans="1:29">
      <c r="A481" s="13" t="s">
        <v>413</v>
      </c>
      <c r="B481" s="13" t="s">
        <v>404</v>
      </c>
      <c r="C481" s="138">
        <v>46280</v>
      </c>
      <c r="D481" s="138" t="s">
        <v>424</v>
      </c>
      <c r="E481" s="28">
        <v>0.98136749999999995</v>
      </c>
      <c r="F481" s="13"/>
      <c r="G481" s="18">
        <v>16005575.68</v>
      </c>
      <c r="H481" s="18">
        <v>15707351.74</v>
      </c>
      <c r="I481" s="18">
        <v>16005575.68</v>
      </c>
      <c r="J481" s="18">
        <v>15707351.74</v>
      </c>
      <c r="K481" s="15">
        <v>30720</v>
      </c>
      <c r="L481" s="13" t="s">
        <v>102</v>
      </c>
      <c r="M481" s="13" t="s">
        <v>103</v>
      </c>
      <c r="N481" s="138" t="s">
        <v>391</v>
      </c>
      <c r="O481" s="138" t="s">
        <v>391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787</v>
      </c>
      <c r="V481" s="13" t="s">
        <v>787</v>
      </c>
      <c r="W481" s="59">
        <f>+J481/$W$2</f>
        <v>2.5706767998860377E-4</v>
      </c>
    </row>
    <row r="482" spans="1:29">
      <c r="A482" s="13" t="s">
        <v>721</v>
      </c>
      <c r="B482" s="13" t="s">
        <v>404</v>
      </c>
      <c r="C482" s="138">
        <v>46280</v>
      </c>
      <c r="D482" s="138" t="s">
        <v>424</v>
      </c>
      <c r="E482" s="28">
        <v>0.98470340000000001</v>
      </c>
      <c r="F482" s="13"/>
      <c r="G482" s="18">
        <v>150000000</v>
      </c>
      <c r="H482" s="18">
        <v>147705509.34</v>
      </c>
      <c r="I482" s="18">
        <v>150000000</v>
      </c>
      <c r="J482" s="18">
        <v>147705509.34</v>
      </c>
      <c r="K482" s="15">
        <v>67980</v>
      </c>
      <c r="L482" s="13" t="s">
        <v>102</v>
      </c>
      <c r="M482" s="13" t="s">
        <v>103</v>
      </c>
      <c r="N482" s="138" t="s">
        <v>309</v>
      </c>
      <c r="O482" s="138" t="s">
        <v>309</v>
      </c>
      <c r="P482" s="28">
        <v>27</v>
      </c>
      <c r="Q482" s="13" t="s">
        <v>54</v>
      </c>
      <c r="R482" s="13" t="s">
        <v>28</v>
      </c>
      <c r="S482" s="13"/>
      <c r="T482" s="13"/>
      <c r="U482" s="13" t="s">
        <v>715</v>
      </c>
      <c r="V482" s="13" t="s">
        <v>715</v>
      </c>
      <c r="W482" s="59">
        <f>+J482/$W$2</f>
        <v>2.4173592872994928E-3</v>
      </c>
    </row>
    <row r="483" spans="1:29">
      <c r="A483" s="13" t="s">
        <v>2518</v>
      </c>
      <c r="B483" s="13" t="s">
        <v>404</v>
      </c>
      <c r="C483" s="138">
        <v>46280</v>
      </c>
      <c r="D483" s="138" t="s">
        <v>424</v>
      </c>
      <c r="E483" s="28">
        <v>0.98136760999999995</v>
      </c>
      <c r="F483" s="13"/>
      <c r="G483" s="18">
        <v>41056810.280000001</v>
      </c>
      <c r="H483" s="18">
        <v>40291823.810000002</v>
      </c>
      <c r="I483" s="18">
        <v>41056810.280000001</v>
      </c>
      <c r="J483" s="18">
        <v>40291823.810000002</v>
      </c>
      <c r="K483" s="15">
        <v>68813941</v>
      </c>
      <c r="L483" s="13" t="s">
        <v>102</v>
      </c>
      <c r="M483" s="13" t="s">
        <v>103</v>
      </c>
      <c r="N483" s="138" t="s">
        <v>170</v>
      </c>
      <c r="O483" s="138" t="s">
        <v>170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2496</v>
      </c>
      <c r="V483" s="13" t="s">
        <v>2496</v>
      </c>
      <c r="W483" s="59">
        <f>+J483/$W$2</f>
        <v>6.5941896767801589E-4</v>
      </c>
      <c r="AC483" s="56"/>
    </row>
    <row r="484" spans="1:29">
      <c r="A484" s="13" t="s">
        <v>2583</v>
      </c>
      <c r="B484" s="13" t="s">
        <v>404</v>
      </c>
      <c r="C484" s="138">
        <v>46280</v>
      </c>
      <c r="D484" s="138" t="s">
        <v>424</v>
      </c>
      <c r="E484" s="28">
        <v>0.97915638000000005</v>
      </c>
      <c r="F484" s="13"/>
      <c r="G484" s="18">
        <v>14918805.560000001</v>
      </c>
      <c r="H484" s="18">
        <v>14607843.609999999</v>
      </c>
      <c r="I484" s="18">
        <v>14918805.560000001</v>
      </c>
      <c r="J484" s="18">
        <v>14607843.609999999</v>
      </c>
      <c r="K484" s="15">
        <v>99</v>
      </c>
      <c r="L484" s="13" t="s">
        <v>102</v>
      </c>
      <c r="M484" s="13" t="s">
        <v>103</v>
      </c>
      <c r="N484" s="138" t="s">
        <v>464</v>
      </c>
      <c r="O484" s="138" t="s">
        <v>464</v>
      </c>
      <c r="P484" s="28">
        <v>37</v>
      </c>
      <c r="Q484" s="13" t="s">
        <v>54</v>
      </c>
      <c r="R484" s="13" t="s">
        <v>28</v>
      </c>
      <c r="S484" s="13"/>
      <c r="T484" s="13"/>
      <c r="U484" s="13" t="s">
        <v>2537</v>
      </c>
      <c r="V484" s="13" t="s">
        <v>2537</v>
      </c>
      <c r="W484" s="59">
        <f>+J484/$W$2</f>
        <v>2.3907304863468031E-4</v>
      </c>
    </row>
    <row r="485" spans="1:29">
      <c r="A485" s="13" t="s">
        <v>174</v>
      </c>
      <c r="B485" s="13" t="s">
        <v>404</v>
      </c>
      <c r="C485" s="138">
        <v>46280</v>
      </c>
      <c r="D485" s="138" t="s">
        <v>424</v>
      </c>
      <c r="E485" s="28">
        <v>0.97860488999999995</v>
      </c>
      <c r="F485" s="13"/>
      <c r="G485" s="18">
        <v>158200000</v>
      </c>
      <c r="H485" s="18">
        <v>154815292.94999999</v>
      </c>
      <c r="I485" s="18">
        <v>158200000</v>
      </c>
      <c r="J485" s="18">
        <v>154815292.94999999</v>
      </c>
      <c r="K485" s="15">
        <v>70395880</v>
      </c>
      <c r="L485" s="13" t="s">
        <v>102</v>
      </c>
      <c r="M485" s="13" t="s">
        <v>103</v>
      </c>
      <c r="N485" s="138" t="s">
        <v>385</v>
      </c>
      <c r="O485" s="138" t="s">
        <v>385</v>
      </c>
      <c r="P485" s="28">
        <v>38</v>
      </c>
      <c r="Q485" s="13" t="s">
        <v>54</v>
      </c>
      <c r="R485" s="13" t="s">
        <v>28</v>
      </c>
      <c r="S485" s="13"/>
      <c r="T485" s="13"/>
      <c r="U485" s="13" t="s">
        <v>1903</v>
      </c>
      <c r="V485" s="13" t="s">
        <v>1903</v>
      </c>
      <c r="W485" s="59">
        <f>+J485/$W$2</f>
        <v>2.5337185315627586E-3</v>
      </c>
    </row>
    <row r="486" spans="1:29">
      <c r="A486" s="13" t="s">
        <v>981</v>
      </c>
      <c r="B486" s="13" t="s">
        <v>404</v>
      </c>
      <c r="C486" s="138">
        <v>46280</v>
      </c>
      <c r="D486" s="138" t="s">
        <v>424</v>
      </c>
      <c r="E486" s="28">
        <v>0.97860480999999999</v>
      </c>
      <c r="F486" s="13"/>
      <c r="G486" s="18">
        <v>60000000</v>
      </c>
      <c r="H486" s="18">
        <v>58716288.890000001</v>
      </c>
      <c r="I486" s="18">
        <v>60000000</v>
      </c>
      <c r="J486" s="18">
        <v>58716288.890000001</v>
      </c>
      <c r="K486" s="15">
        <v>70379071</v>
      </c>
      <c r="L486" s="13" t="s">
        <v>102</v>
      </c>
      <c r="M486" s="13" t="s">
        <v>103</v>
      </c>
      <c r="N486" s="138" t="s">
        <v>340</v>
      </c>
      <c r="O486" s="138" t="s">
        <v>340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1067</v>
      </c>
      <c r="V486" s="13" t="s">
        <v>1067</v>
      </c>
      <c r="W486" s="59">
        <f>+J486/$W$2</f>
        <v>9.6095512549418036E-4</v>
      </c>
    </row>
    <row r="487" spans="1:29">
      <c r="A487" s="13" t="s">
        <v>190</v>
      </c>
      <c r="B487" s="13" t="s">
        <v>404</v>
      </c>
      <c r="C487" s="138">
        <v>46280</v>
      </c>
      <c r="D487" s="138" t="s">
        <v>424</v>
      </c>
      <c r="E487" s="28">
        <v>0.98665986000000006</v>
      </c>
      <c r="F487" s="13"/>
      <c r="G487" s="18">
        <v>32857753.120000001</v>
      </c>
      <c r="H487" s="18">
        <v>32419426.210000001</v>
      </c>
      <c r="I487" s="18">
        <v>32857753.120000001</v>
      </c>
      <c r="J487" s="18">
        <v>32419426.210000001</v>
      </c>
      <c r="K487" s="15">
        <v>89</v>
      </c>
      <c r="L487" s="13" t="s">
        <v>102</v>
      </c>
      <c r="M487" s="13" t="s">
        <v>103</v>
      </c>
      <c r="N487" s="138" t="s">
        <v>339</v>
      </c>
      <c r="O487" s="138" t="s">
        <v>339</v>
      </c>
      <c r="P487" s="28">
        <v>23.5</v>
      </c>
      <c r="Q487" s="13" t="s">
        <v>54</v>
      </c>
      <c r="R487" s="13" t="s">
        <v>28</v>
      </c>
      <c r="S487" s="13"/>
      <c r="T487" s="13"/>
      <c r="U487" s="13" t="s">
        <v>1602</v>
      </c>
      <c r="V487" s="13" t="s">
        <v>1602</v>
      </c>
      <c r="W487" s="59">
        <f>+J487/$W$2</f>
        <v>5.3057872646623718E-4</v>
      </c>
    </row>
    <row r="488" spans="1:29">
      <c r="A488" s="13" t="s">
        <v>960</v>
      </c>
      <c r="B488" s="13" t="s">
        <v>404</v>
      </c>
      <c r="C488" s="138">
        <v>46280</v>
      </c>
      <c r="D488" s="138" t="s">
        <v>424</v>
      </c>
      <c r="E488" s="28">
        <v>0.98192193000000005</v>
      </c>
      <c r="F488" s="13"/>
      <c r="G488" s="18">
        <v>1000000</v>
      </c>
      <c r="H488" s="18">
        <v>981921.93</v>
      </c>
      <c r="I488" s="18">
        <v>1000000</v>
      </c>
      <c r="J488" s="18">
        <v>981921.93</v>
      </c>
      <c r="K488" s="15">
        <v>67381897</v>
      </c>
      <c r="L488" s="13" t="s">
        <v>102</v>
      </c>
      <c r="M488" s="13" t="s">
        <v>103</v>
      </c>
      <c r="N488" s="138" t="s">
        <v>330</v>
      </c>
      <c r="O488" s="138" t="s">
        <v>330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961</v>
      </c>
      <c r="V488" s="13" t="s">
        <v>961</v>
      </c>
      <c r="W488" s="59">
        <f>+J488/$W$2</f>
        <v>1.6070206910323649E-5</v>
      </c>
    </row>
    <row r="489" spans="1:29">
      <c r="A489" s="13" t="s">
        <v>1030</v>
      </c>
      <c r="B489" s="13" t="s">
        <v>404</v>
      </c>
      <c r="C489" s="138">
        <v>46280</v>
      </c>
      <c r="D489" s="138" t="s">
        <v>424</v>
      </c>
      <c r="E489" s="28">
        <v>0.98303258999999998</v>
      </c>
      <c r="F489" s="13"/>
      <c r="G489" s="18">
        <v>2500000</v>
      </c>
      <c r="H489" s="18">
        <v>2457581.48</v>
      </c>
      <c r="I489" s="18">
        <v>2500000</v>
      </c>
      <c r="J489" s="18">
        <v>2457581.48</v>
      </c>
      <c r="K489" s="15">
        <v>346</v>
      </c>
      <c r="L489" s="13" t="s">
        <v>102</v>
      </c>
      <c r="M489" s="13" t="s">
        <v>103</v>
      </c>
      <c r="N489" s="138" t="s">
        <v>343</v>
      </c>
      <c r="O489" s="138" t="s">
        <v>343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1474</v>
      </c>
      <c r="V489" s="13" t="s">
        <v>1474</v>
      </c>
      <c r="W489" s="59">
        <f>+J489/$W$2</f>
        <v>4.0220960216846795E-5</v>
      </c>
    </row>
    <row r="490" spans="1:29">
      <c r="A490" s="13" t="s">
        <v>1460</v>
      </c>
      <c r="B490" s="13" t="s">
        <v>404</v>
      </c>
      <c r="C490" s="138">
        <v>46280</v>
      </c>
      <c r="D490" s="138" t="s">
        <v>424</v>
      </c>
      <c r="E490" s="28">
        <v>0.98303264000000001</v>
      </c>
      <c r="F490" s="13"/>
      <c r="G490" s="18">
        <v>1579238.43</v>
      </c>
      <c r="H490" s="18">
        <v>1552442.92</v>
      </c>
      <c r="I490" s="18">
        <v>1579238.43</v>
      </c>
      <c r="J490" s="18">
        <v>1552442.92</v>
      </c>
      <c r="K490" s="15">
        <v>1564</v>
      </c>
      <c r="L490" s="13" t="s">
        <v>102</v>
      </c>
      <c r="M490" s="13" t="s">
        <v>103</v>
      </c>
      <c r="N490" s="138" t="s">
        <v>383</v>
      </c>
      <c r="O490" s="138" t="s">
        <v>383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1662</v>
      </c>
      <c r="V490" s="13" t="s">
        <v>1662</v>
      </c>
      <c r="W490" s="59">
        <f>+J490/$W$2</f>
        <v>2.5407395617355264E-5</v>
      </c>
    </row>
    <row r="491" spans="1:29">
      <c r="A491" s="13" t="s">
        <v>1349</v>
      </c>
      <c r="B491" s="13" t="s">
        <v>404</v>
      </c>
      <c r="C491" s="138">
        <v>46281</v>
      </c>
      <c r="D491" s="138" t="s">
        <v>424</v>
      </c>
      <c r="E491" s="28">
        <v>0.98223897999999998</v>
      </c>
      <c r="F491" s="13"/>
      <c r="G491" s="18">
        <v>2200000</v>
      </c>
      <c r="H491" s="18">
        <v>2160925.7599999998</v>
      </c>
      <c r="I491" s="18">
        <v>2200000</v>
      </c>
      <c r="J491" s="18">
        <v>2160925.7599999998</v>
      </c>
      <c r="K491" s="15">
        <v>9794</v>
      </c>
      <c r="L491" s="13" t="s">
        <v>102</v>
      </c>
      <c r="M491" s="13" t="s">
        <v>103</v>
      </c>
      <c r="N491" s="138" t="s">
        <v>601</v>
      </c>
      <c r="O491" s="138" t="s">
        <v>601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1338</v>
      </c>
      <c r="V491" s="13" t="s">
        <v>1338</v>
      </c>
      <c r="W491" s="59">
        <f>+J491/$W$2</f>
        <v>3.5365870768410662E-5</v>
      </c>
    </row>
    <row r="492" spans="1:29">
      <c r="A492" s="13" t="s">
        <v>318</v>
      </c>
      <c r="B492" s="13" t="s">
        <v>404</v>
      </c>
      <c r="C492" s="138">
        <v>46281</v>
      </c>
      <c r="D492" s="138" t="s">
        <v>424</v>
      </c>
      <c r="E492" s="28">
        <v>0.98515523999999999</v>
      </c>
      <c r="F492" s="13"/>
      <c r="G492" s="18">
        <v>9600000</v>
      </c>
      <c r="H492" s="18">
        <v>9457490.2599999998</v>
      </c>
      <c r="I492" s="18">
        <v>9600000</v>
      </c>
      <c r="J492" s="18">
        <v>9457490.2599999998</v>
      </c>
      <c r="K492" s="15">
        <v>33950</v>
      </c>
      <c r="L492" s="13" t="s">
        <v>102</v>
      </c>
      <c r="M492" s="13" t="s">
        <v>103</v>
      </c>
      <c r="N492" s="138" t="s">
        <v>338</v>
      </c>
      <c r="O492" s="138" t="s">
        <v>338</v>
      </c>
      <c r="P492" s="28">
        <v>25</v>
      </c>
      <c r="Q492" s="13" t="s">
        <v>54</v>
      </c>
      <c r="R492" s="13" t="s">
        <v>28</v>
      </c>
      <c r="S492" s="13"/>
      <c r="T492" s="13"/>
      <c r="U492" s="13" t="s">
        <v>1021</v>
      </c>
      <c r="V492" s="13" t="s">
        <v>1021</v>
      </c>
      <c r="W492" s="59">
        <f>+J492/$W$2</f>
        <v>1.5478198488811694E-4</v>
      </c>
    </row>
    <row r="493" spans="1:29">
      <c r="A493" s="13" t="s">
        <v>318</v>
      </c>
      <c r="B493" s="13" t="s">
        <v>404</v>
      </c>
      <c r="C493" s="138">
        <v>46281</v>
      </c>
      <c r="D493" s="138" t="s">
        <v>424</v>
      </c>
      <c r="E493" s="28">
        <v>0.98515523999999999</v>
      </c>
      <c r="F493" s="13"/>
      <c r="G493" s="18">
        <v>9600000</v>
      </c>
      <c r="H493" s="18">
        <v>9457490.2599999998</v>
      </c>
      <c r="I493" s="18">
        <v>9600000</v>
      </c>
      <c r="J493" s="18">
        <v>9457490.2599999998</v>
      </c>
      <c r="K493" s="15">
        <v>33951</v>
      </c>
      <c r="L493" s="13" t="s">
        <v>102</v>
      </c>
      <c r="M493" s="13" t="s">
        <v>103</v>
      </c>
      <c r="N493" s="138" t="s">
        <v>338</v>
      </c>
      <c r="O493" s="138" t="s">
        <v>338</v>
      </c>
      <c r="P493" s="28">
        <v>25</v>
      </c>
      <c r="Q493" s="13" t="s">
        <v>54</v>
      </c>
      <c r="R493" s="13" t="s">
        <v>28</v>
      </c>
      <c r="S493" s="13"/>
      <c r="T493" s="13"/>
      <c r="U493" s="13" t="s">
        <v>1022</v>
      </c>
      <c r="V493" s="13" t="s">
        <v>1022</v>
      </c>
      <c r="W493" s="59">
        <f>+J493/$W$2</f>
        <v>1.5478198488811694E-4</v>
      </c>
    </row>
    <row r="494" spans="1:29">
      <c r="A494" s="13" t="s">
        <v>135</v>
      </c>
      <c r="B494" s="13" t="s">
        <v>404</v>
      </c>
      <c r="C494" s="138">
        <v>46281</v>
      </c>
      <c r="D494" s="138" t="s">
        <v>424</v>
      </c>
      <c r="E494" s="28">
        <v>0.98049754</v>
      </c>
      <c r="F494" s="13"/>
      <c r="G494" s="18">
        <v>80000000</v>
      </c>
      <c r="H494" s="18">
        <v>78439802.969999999</v>
      </c>
      <c r="I494" s="18">
        <v>80000000</v>
      </c>
      <c r="J494" s="18">
        <v>78439802.969999999</v>
      </c>
      <c r="K494" s="15">
        <v>804</v>
      </c>
      <c r="L494" s="13" t="s">
        <v>102</v>
      </c>
      <c r="M494" s="13" t="s">
        <v>103</v>
      </c>
      <c r="N494" s="138" t="s">
        <v>173</v>
      </c>
      <c r="O494" s="138" t="s">
        <v>173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2024</v>
      </c>
      <c r="V494" s="13" t="s">
        <v>2024</v>
      </c>
      <c r="W494" s="59">
        <f>+J494/$W$2</f>
        <v>1.2837516152968693E-3</v>
      </c>
    </row>
    <row r="495" spans="1:29">
      <c r="A495" s="13" t="s">
        <v>348</v>
      </c>
      <c r="B495" s="13" t="s">
        <v>404</v>
      </c>
      <c r="C495" s="138">
        <v>46281</v>
      </c>
      <c r="D495" s="138" t="s">
        <v>424</v>
      </c>
      <c r="E495" s="28">
        <v>0.98107734999999996</v>
      </c>
      <c r="F495" s="13"/>
      <c r="G495" s="18">
        <v>6428571.6600000001</v>
      </c>
      <c r="H495" s="18">
        <v>6306926.0599999996</v>
      </c>
      <c r="I495" s="18">
        <v>6428571.6600000001</v>
      </c>
      <c r="J495" s="18">
        <v>6306926.0599999996</v>
      </c>
      <c r="K495" s="15">
        <v>3486</v>
      </c>
      <c r="L495" s="13" t="s">
        <v>102</v>
      </c>
      <c r="M495" s="13" t="s">
        <v>103</v>
      </c>
      <c r="N495" s="138" t="s">
        <v>421</v>
      </c>
      <c r="O495" s="138" t="s">
        <v>421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1371</v>
      </c>
      <c r="V495" s="13" t="s">
        <v>1371</v>
      </c>
      <c r="W495" s="59">
        <f>+J495/$W$2</f>
        <v>1.0321961823615886E-4</v>
      </c>
    </row>
    <row r="496" spans="1:29">
      <c r="A496" s="13" t="s">
        <v>772</v>
      </c>
      <c r="B496" s="13" t="s">
        <v>404</v>
      </c>
      <c r="C496" s="138">
        <v>46281</v>
      </c>
      <c r="D496" s="138" t="s">
        <v>424</v>
      </c>
      <c r="E496" s="28">
        <v>0.98049752000000001</v>
      </c>
      <c r="F496" s="13"/>
      <c r="G496" s="18">
        <v>1070000</v>
      </c>
      <c r="H496" s="18">
        <v>1049132.3500000001</v>
      </c>
      <c r="I496" s="18">
        <v>1070000</v>
      </c>
      <c r="J496" s="18">
        <v>1049132.3500000001</v>
      </c>
      <c r="K496" s="15">
        <v>479</v>
      </c>
      <c r="L496" s="13" t="s">
        <v>102</v>
      </c>
      <c r="M496" s="13" t="s">
        <v>103</v>
      </c>
      <c r="N496" s="138" t="s">
        <v>346</v>
      </c>
      <c r="O496" s="138" t="s">
        <v>346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1487</v>
      </c>
      <c r="V496" s="13" t="s">
        <v>1487</v>
      </c>
      <c r="W496" s="59">
        <f>+J496/$W$2</f>
        <v>1.717017761362565E-5</v>
      </c>
    </row>
    <row r="497" spans="1:29">
      <c r="A497" s="13" t="s">
        <v>772</v>
      </c>
      <c r="B497" s="13" t="s">
        <v>404</v>
      </c>
      <c r="C497" s="138">
        <v>46281</v>
      </c>
      <c r="D497" s="138" t="s">
        <v>424</v>
      </c>
      <c r="E497" s="28">
        <v>0.98049752000000001</v>
      </c>
      <c r="F497" s="13"/>
      <c r="G497" s="18">
        <v>1070000</v>
      </c>
      <c r="H497" s="18">
        <v>1049132.3500000001</v>
      </c>
      <c r="I497" s="18">
        <v>1070000</v>
      </c>
      <c r="J497" s="18">
        <v>1049132.3500000001</v>
      </c>
      <c r="K497" s="15">
        <v>480</v>
      </c>
      <c r="L497" s="13" t="s">
        <v>102</v>
      </c>
      <c r="M497" s="13" t="s">
        <v>103</v>
      </c>
      <c r="N497" s="138" t="s">
        <v>346</v>
      </c>
      <c r="O497" s="138" t="s">
        <v>346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1488</v>
      </c>
      <c r="V497" s="13" t="s">
        <v>1488</v>
      </c>
      <c r="W497" s="59">
        <f>+J497/$W$2</f>
        <v>1.717017761362565E-5</v>
      </c>
    </row>
    <row r="498" spans="1:29">
      <c r="A498" s="13" t="s">
        <v>772</v>
      </c>
      <c r="B498" s="13" t="s">
        <v>404</v>
      </c>
      <c r="C498" s="138">
        <v>46281</v>
      </c>
      <c r="D498" s="138" t="s">
        <v>424</v>
      </c>
      <c r="E498" s="28">
        <v>0.98049750999999996</v>
      </c>
      <c r="F498" s="13"/>
      <c r="G498" s="18">
        <v>1200000</v>
      </c>
      <c r="H498" s="18">
        <v>1176597.01</v>
      </c>
      <c r="I498" s="18">
        <v>1200000</v>
      </c>
      <c r="J498" s="18">
        <v>1176597.01</v>
      </c>
      <c r="K498" s="15">
        <v>481</v>
      </c>
      <c r="L498" s="13" t="s">
        <v>102</v>
      </c>
      <c r="M498" s="13" t="s">
        <v>103</v>
      </c>
      <c r="N498" s="138" t="s">
        <v>346</v>
      </c>
      <c r="O498" s="138" t="s">
        <v>346</v>
      </c>
      <c r="P498" s="28">
        <v>33</v>
      </c>
      <c r="Q498" s="13" t="s">
        <v>54</v>
      </c>
      <c r="R498" s="13" t="s">
        <v>28</v>
      </c>
      <c r="S498" s="13"/>
      <c r="T498" s="13"/>
      <c r="U498" s="13" t="s">
        <v>1489</v>
      </c>
      <c r="V498" s="13" t="s">
        <v>1489</v>
      </c>
      <c r="W498" s="59">
        <f>+J498/$W$2</f>
        <v>1.9256273664005187E-5</v>
      </c>
    </row>
    <row r="499" spans="1:29">
      <c r="A499" s="13" t="s">
        <v>801</v>
      </c>
      <c r="B499" s="13" t="s">
        <v>404</v>
      </c>
      <c r="C499" s="138">
        <v>46281</v>
      </c>
      <c r="D499" s="138" t="s">
        <v>424</v>
      </c>
      <c r="E499" s="28">
        <v>0.98049752000000001</v>
      </c>
      <c r="F499" s="13"/>
      <c r="G499" s="18">
        <v>3424300</v>
      </c>
      <c r="H499" s="18">
        <v>3357517.66</v>
      </c>
      <c r="I499" s="18">
        <v>3424300</v>
      </c>
      <c r="J499" s="18">
        <v>3357517.66</v>
      </c>
      <c r="K499" s="15">
        <v>1391</v>
      </c>
      <c r="L499" s="13" t="s">
        <v>102</v>
      </c>
      <c r="M499" s="13" t="s">
        <v>103</v>
      </c>
      <c r="N499" s="138" t="s">
        <v>391</v>
      </c>
      <c r="O499" s="138" t="s">
        <v>391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802</v>
      </c>
      <c r="V499" s="13" t="s">
        <v>802</v>
      </c>
      <c r="W499" s="59">
        <f>+J499/$W$2</f>
        <v>5.4949382280590977E-5</v>
      </c>
    </row>
    <row r="500" spans="1:29">
      <c r="A500" s="13" t="s">
        <v>284</v>
      </c>
      <c r="B500" s="13" t="s">
        <v>404</v>
      </c>
      <c r="C500" s="138">
        <v>46281</v>
      </c>
      <c r="D500" s="138" t="s">
        <v>424</v>
      </c>
      <c r="E500" s="28">
        <v>0.98457063</v>
      </c>
      <c r="F500" s="13"/>
      <c r="G500" s="18">
        <v>73000000</v>
      </c>
      <c r="H500" s="18">
        <v>71873656</v>
      </c>
      <c r="I500" s="18">
        <v>73000000</v>
      </c>
      <c r="J500" s="18">
        <v>71873656</v>
      </c>
      <c r="K500" s="15">
        <v>68343292</v>
      </c>
      <c r="L500" s="13" t="s">
        <v>102</v>
      </c>
      <c r="M500" s="13" t="s">
        <v>103</v>
      </c>
      <c r="N500" s="138" t="s">
        <v>343</v>
      </c>
      <c r="O500" s="138" t="s">
        <v>343</v>
      </c>
      <c r="P500" s="28">
        <v>26</v>
      </c>
      <c r="Q500" s="13" t="s">
        <v>54</v>
      </c>
      <c r="R500" s="13" t="s">
        <v>28</v>
      </c>
      <c r="S500" s="13"/>
      <c r="T500" s="13"/>
      <c r="U500" s="13" t="s">
        <v>1471</v>
      </c>
      <c r="V500" s="13" t="s">
        <v>1471</v>
      </c>
      <c r="W500" s="59">
        <f>+J500/$W$2</f>
        <v>1.1762895684806886E-3</v>
      </c>
    </row>
    <row r="501" spans="1:29">
      <c r="A501" s="13" t="s">
        <v>405</v>
      </c>
      <c r="B501" s="13" t="s">
        <v>404</v>
      </c>
      <c r="C501" s="138">
        <v>46281</v>
      </c>
      <c r="D501" s="138" t="s">
        <v>424</v>
      </c>
      <c r="E501" s="28">
        <v>0.98107732000000003</v>
      </c>
      <c r="F501" s="13"/>
      <c r="G501" s="18">
        <v>2000000</v>
      </c>
      <c r="H501" s="18">
        <v>1962154.63</v>
      </c>
      <c r="I501" s="18">
        <v>2000000</v>
      </c>
      <c r="J501" s="18">
        <v>1962154.63</v>
      </c>
      <c r="K501" s="15">
        <v>1006</v>
      </c>
      <c r="L501" s="13" t="s">
        <v>102</v>
      </c>
      <c r="M501" s="13" t="s">
        <v>103</v>
      </c>
      <c r="N501" s="138" t="s">
        <v>345</v>
      </c>
      <c r="O501" s="138" t="s">
        <v>345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2427</v>
      </c>
      <c r="V501" s="13" t="s">
        <v>2427</v>
      </c>
      <c r="W501" s="59">
        <f>+J501/$W$2</f>
        <v>3.2112767757564535E-5</v>
      </c>
      <c r="AC501" s="56"/>
    </row>
    <row r="502" spans="1:29">
      <c r="A502" s="13" t="s">
        <v>405</v>
      </c>
      <c r="B502" s="13" t="s">
        <v>404</v>
      </c>
      <c r="C502" s="138">
        <v>46281</v>
      </c>
      <c r="D502" s="138" t="s">
        <v>424</v>
      </c>
      <c r="E502" s="28">
        <v>0.98223901000000002</v>
      </c>
      <c r="F502" s="13"/>
      <c r="G502" s="18">
        <v>7500000</v>
      </c>
      <c r="H502" s="18">
        <v>7366792.5899999999</v>
      </c>
      <c r="I502" s="18">
        <v>7500000</v>
      </c>
      <c r="J502" s="18">
        <v>7366792.5899999999</v>
      </c>
      <c r="K502" s="15">
        <v>512</v>
      </c>
      <c r="L502" s="13" t="s">
        <v>102</v>
      </c>
      <c r="M502" s="13" t="s">
        <v>103</v>
      </c>
      <c r="N502" s="138" t="s">
        <v>326</v>
      </c>
      <c r="O502" s="138" t="s">
        <v>326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759</v>
      </c>
      <c r="V502" s="13" t="s">
        <v>759</v>
      </c>
      <c r="W502" s="59">
        <f>+J502/$W$2</f>
        <v>1.2056547223335673E-4</v>
      </c>
    </row>
    <row r="503" spans="1:29">
      <c r="A503" s="13" t="s">
        <v>467</v>
      </c>
      <c r="B503" s="13" t="s">
        <v>404</v>
      </c>
      <c r="C503" s="138">
        <v>46281</v>
      </c>
      <c r="D503" s="138" t="s">
        <v>424</v>
      </c>
      <c r="E503" s="28">
        <v>0.97645800000000005</v>
      </c>
      <c r="F503" s="13"/>
      <c r="G503" s="18">
        <v>9974100</v>
      </c>
      <c r="H503" s="18">
        <v>9739289.7599999998</v>
      </c>
      <c r="I503" s="18">
        <v>9974100</v>
      </c>
      <c r="J503" s="18">
        <v>9739289.7599999998</v>
      </c>
      <c r="K503" s="15">
        <v>1179211</v>
      </c>
      <c r="L503" s="13" t="s">
        <v>102</v>
      </c>
      <c r="M503" s="13" t="s">
        <v>103</v>
      </c>
      <c r="N503" s="138" t="s">
        <v>306</v>
      </c>
      <c r="O503" s="138" t="s">
        <v>306</v>
      </c>
      <c r="P503" s="28">
        <v>40</v>
      </c>
      <c r="Q503" s="13" t="s">
        <v>54</v>
      </c>
      <c r="R503" s="13" t="s">
        <v>28</v>
      </c>
      <c r="S503" s="13"/>
      <c r="T503" s="13"/>
      <c r="U503" s="13" t="s">
        <v>449</v>
      </c>
      <c r="V503" s="13" t="s">
        <v>449</v>
      </c>
      <c r="W503" s="59">
        <f>+J503/$W$2</f>
        <v>1.5939393634155453E-4</v>
      </c>
    </row>
    <row r="504" spans="1:29">
      <c r="A504" s="13" t="s">
        <v>467</v>
      </c>
      <c r="B504" s="13" t="s">
        <v>404</v>
      </c>
      <c r="C504" s="138">
        <v>46281</v>
      </c>
      <c r="D504" s="138" t="s">
        <v>424</v>
      </c>
      <c r="E504" s="28">
        <v>0.97645800000000005</v>
      </c>
      <c r="F504" s="13"/>
      <c r="G504" s="18">
        <v>9973400</v>
      </c>
      <c r="H504" s="18">
        <v>9738606.2400000002</v>
      </c>
      <c r="I504" s="18">
        <v>9973400</v>
      </c>
      <c r="J504" s="18">
        <v>9738606.2400000002</v>
      </c>
      <c r="K504" s="15">
        <v>1179210</v>
      </c>
      <c r="L504" s="13" t="s">
        <v>102</v>
      </c>
      <c r="M504" s="13" t="s">
        <v>103</v>
      </c>
      <c r="N504" s="138" t="s">
        <v>306</v>
      </c>
      <c r="O504" s="138" t="s">
        <v>306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457</v>
      </c>
      <c r="V504" s="13" t="s">
        <v>457</v>
      </c>
      <c r="W504" s="59">
        <f>+J504/$W$2</f>
        <v>1.5938274980269461E-4</v>
      </c>
    </row>
    <row r="505" spans="1:29">
      <c r="A505" s="13" t="s">
        <v>467</v>
      </c>
      <c r="B505" s="13" t="s">
        <v>404</v>
      </c>
      <c r="C505" s="138">
        <v>46281</v>
      </c>
      <c r="D505" s="138" t="s">
        <v>424</v>
      </c>
      <c r="E505" s="28">
        <v>0.97645800000000005</v>
      </c>
      <c r="F505" s="13"/>
      <c r="G505" s="18">
        <v>9973360.4700000007</v>
      </c>
      <c r="H505" s="18">
        <v>9738567.6300000008</v>
      </c>
      <c r="I505" s="18">
        <v>9973360.4700000007</v>
      </c>
      <c r="J505" s="18">
        <v>9738567.6300000008</v>
      </c>
      <c r="K505" s="15">
        <v>1179212</v>
      </c>
      <c r="L505" s="13" t="s">
        <v>102</v>
      </c>
      <c r="M505" s="13" t="s">
        <v>103</v>
      </c>
      <c r="N505" s="138" t="s">
        <v>306</v>
      </c>
      <c r="O505" s="138" t="s">
        <v>306</v>
      </c>
      <c r="P505" s="28">
        <v>40</v>
      </c>
      <c r="Q505" s="13" t="s">
        <v>54</v>
      </c>
      <c r="R505" s="13" t="s">
        <v>28</v>
      </c>
      <c r="S505" s="13"/>
      <c r="T505" s="13"/>
      <c r="U505" s="13" t="s">
        <v>462</v>
      </c>
      <c r="V505" s="13" t="s">
        <v>462</v>
      </c>
      <c r="W505" s="59">
        <f>+J505/$W$2</f>
        <v>1.5938211790857978E-4</v>
      </c>
    </row>
    <row r="506" spans="1:29">
      <c r="A506" s="13" t="s">
        <v>516</v>
      </c>
      <c r="B506" s="13" t="s">
        <v>404</v>
      </c>
      <c r="C506" s="138">
        <v>46281</v>
      </c>
      <c r="D506" s="138" t="s">
        <v>424</v>
      </c>
      <c r="E506" s="28">
        <v>0.98049752999999995</v>
      </c>
      <c r="F506" s="13"/>
      <c r="G506" s="18">
        <v>5000000</v>
      </c>
      <c r="H506" s="18">
        <v>4902487.6500000004</v>
      </c>
      <c r="I506" s="18">
        <v>5000000</v>
      </c>
      <c r="J506" s="18">
        <v>4902487.6500000004</v>
      </c>
      <c r="K506" s="15">
        <v>3817584</v>
      </c>
      <c r="L506" s="13" t="s">
        <v>102</v>
      </c>
      <c r="M506" s="13" t="s">
        <v>103</v>
      </c>
      <c r="N506" s="138" t="s">
        <v>422</v>
      </c>
      <c r="O506" s="138" t="s">
        <v>422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2266</v>
      </c>
      <c r="V506" s="13" t="s">
        <v>2266</v>
      </c>
      <c r="W506" s="59">
        <f>+J506/$W$2</f>
        <v>8.0234475373012958E-5</v>
      </c>
    </row>
    <row r="507" spans="1:29">
      <c r="A507" s="13" t="s">
        <v>565</v>
      </c>
      <c r="B507" s="13" t="s">
        <v>404</v>
      </c>
      <c r="C507" s="138">
        <v>46281</v>
      </c>
      <c r="D507" s="138" t="s">
        <v>424</v>
      </c>
      <c r="E507" s="28">
        <v>0.98515520000000001</v>
      </c>
      <c r="F507" s="13"/>
      <c r="G507" s="18">
        <v>32000000</v>
      </c>
      <c r="H507" s="18">
        <v>31524966.300000001</v>
      </c>
      <c r="I507" s="18">
        <v>32000000</v>
      </c>
      <c r="J507" s="18">
        <v>31524966.300000001</v>
      </c>
      <c r="K507" s="15">
        <v>5310</v>
      </c>
      <c r="L507" s="13" t="s">
        <v>102</v>
      </c>
      <c r="M507" s="13" t="s">
        <v>103</v>
      </c>
      <c r="N507" s="138" t="s">
        <v>346</v>
      </c>
      <c r="O507" s="138" t="s">
        <v>346</v>
      </c>
      <c r="P507" s="28">
        <v>25</v>
      </c>
      <c r="Q507" s="13" t="s">
        <v>54</v>
      </c>
      <c r="R507" s="13" t="s">
        <v>28</v>
      </c>
      <c r="S507" s="13"/>
      <c r="T507" s="13"/>
      <c r="U507" s="13" t="s">
        <v>1523</v>
      </c>
      <c r="V507" s="13" t="s">
        <v>1523</v>
      </c>
      <c r="W507" s="59">
        <f>+J507/$W$2</f>
        <v>5.1593992944223193E-4</v>
      </c>
    </row>
    <row r="508" spans="1:29">
      <c r="A508" s="13" t="s">
        <v>466</v>
      </c>
      <c r="B508" s="13" t="s">
        <v>404</v>
      </c>
      <c r="C508" s="138">
        <v>46281</v>
      </c>
      <c r="D508" s="138" t="s">
        <v>424</v>
      </c>
      <c r="E508" s="28">
        <v>0.98340340000000004</v>
      </c>
      <c r="F508" s="13"/>
      <c r="G508" s="18">
        <v>10000000</v>
      </c>
      <c r="H508" s="18">
        <v>9834034.0199999996</v>
      </c>
      <c r="I508" s="18">
        <v>10000000</v>
      </c>
      <c r="J508" s="18">
        <v>9834034.0199999996</v>
      </c>
      <c r="K508" s="15">
        <v>360564</v>
      </c>
      <c r="L508" s="13" t="s">
        <v>102</v>
      </c>
      <c r="M508" s="13" t="s">
        <v>103</v>
      </c>
      <c r="N508" s="138" t="s">
        <v>308</v>
      </c>
      <c r="O508" s="138" t="s">
        <v>308</v>
      </c>
      <c r="P508" s="28">
        <v>28</v>
      </c>
      <c r="Q508" s="13" t="s">
        <v>54</v>
      </c>
      <c r="R508" s="13" t="s">
        <v>28</v>
      </c>
      <c r="S508" s="13"/>
      <c r="T508" s="13"/>
      <c r="U508" s="13" t="s">
        <v>547</v>
      </c>
      <c r="V508" s="13" t="s">
        <v>547</v>
      </c>
      <c r="W508" s="59">
        <f>+J508/$W$2</f>
        <v>1.6094452790616648E-4</v>
      </c>
    </row>
    <row r="509" spans="1:29">
      <c r="A509" s="13" t="s">
        <v>375</v>
      </c>
      <c r="B509" s="13" t="s">
        <v>404</v>
      </c>
      <c r="C509" s="138">
        <v>46281</v>
      </c>
      <c r="D509" s="138" t="s">
        <v>424</v>
      </c>
      <c r="E509" s="28">
        <v>0.98049755000000005</v>
      </c>
      <c r="F509" s="13"/>
      <c r="G509" s="18">
        <v>5000000</v>
      </c>
      <c r="H509" s="18">
        <v>4902487.75</v>
      </c>
      <c r="I509" s="18">
        <v>5000000</v>
      </c>
      <c r="J509" s="18">
        <v>4902487.75</v>
      </c>
      <c r="K509" s="15">
        <v>3047</v>
      </c>
      <c r="L509" s="13" t="s">
        <v>102</v>
      </c>
      <c r="M509" s="13" t="s">
        <v>103</v>
      </c>
      <c r="N509" s="138" t="s">
        <v>161</v>
      </c>
      <c r="O509" s="138" t="s">
        <v>161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1692</v>
      </c>
      <c r="V509" s="13" t="s">
        <v>1692</v>
      </c>
      <c r="W509" s="59">
        <f>+J509/$W$2</f>
        <v>8.0234477009620352E-5</v>
      </c>
    </row>
    <row r="510" spans="1:29">
      <c r="A510" s="13" t="s">
        <v>285</v>
      </c>
      <c r="B510" s="13" t="s">
        <v>404</v>
      </c>
      <c r="C510" s="138">
        <v>46281</v>
      </c>
      <c r="D510" s="138" t="s">
        <v>424</v>
      </c>
      <c r="E510" s="28">
        <v>0.98515522</v>
      </c>
      <c r="F510" s="13"/>
      <c r="G510" s="18">
        <v>10000000</v>
      </c>
      <c r="H510" s="18">
        <v>9851552.2200000007</v>
      </c>
      <c r="I510" s="18">
        <v>10000000</v>
      </c>
      <c r="J510" s="18">
        <v>9851552.2200000007</v>
      </c>
      <c r="K510" s="15">
        <v>187</v>
      </c>
      <c r="L510" s="13" t="s">
        <v>102</v>
      </c>
      <c r="M510" s="13" t="s">
        <v>103</v>
      </c>
      <c r="N510" s="138" t="s">
        <v>339</v>
      </c>
      <c r="O510" s="138" t="s">
        <v>339</v>
      </c>
      <c r="P510" s="28">
        <v>25</v>
      </c>
      <c r="Q510" s="13" t="s">
        <v>54</v>
      </c>
      <c r="R510" s="13" t="s">
        <v>28</v>
      </c>
      <c r="S510" s="13"/>
      <c r="T510" s="13"/>
      <c r="U510" s="13" t="s">
        <v>1556</v>
      </c>
      <c r="V510" s="13" t="s">
        <v>1556</v>
      </c>
      <c r="W510" s="59">
        <f>+J510/$W$2</f>
        <v>1.6123123206267356E-4</v>
      </c>
      <c r="AC510" s="56"/>
    </row>
    <row r="511" spans="1:29">
      <c r="A511" s="13" t="s">
        <v>405</v>
      </c>
      <c r="B511" s="13" t="s">
        <v>404</v>
      </c>
      <c r="C511" s="138">
        <v>46281</v>
      </c>
      <c r="D511" s="138" t="s">
        <v>424</v>
      </c>
      <c r="E511" s="28">
        <v>0.98223899000000003</v>
      </c>
      <c r="F511" s="13"/>
      <c r="G511" s="18">
        <v>3300000</v>
      </c>
      <c r="H511" s="18">
        <v>3241388.66</v>
      </c>
      <c r="I511" s="18">
        <v>3300000</v>
      </c>
      <c r="J511" s="18">
        <v>3241388.66</v>
      </c>
      <c r="K511" s="15">
        <v>920</v>
      </c>
      <c r="L511" s="13" t="s">
        <v>102</v>
      </c>
      <c r="M511" s="13" t="s">
        <v>103</v>
      </c>
      <c r="N511" s="138" t="s">
        <v>422</v>
      </c>
      <c r="O511" s="138" t="s">
        <v>422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2246</v>
      </c>
      <c r="V511" s="13" t="s">
        <v>2246</v>
      </c>
      <c r="W511" s="59">
        <f>+J511/$W$2</f>
        <v>5.3048806479937483E-5</v>
      </c>
    </row>
    <row r="512" spans="1:29">
      <c r="A512" s="13" t="s">
        <v>1426</v>
      </c>
      <c r="B512" s="13" t="s">
        <v>404</v>
      </c>
      <c r="C512" s="138">
        <v>46281</v>
      </c>
      <c r="D512" s="138" t="s">
        <v>424</v>
      </c>
      <c r="E512" s="28">
        <v>0.98107734999999996</v>
      </c>
      <c r="F512" s="13"/>
      <c r="G512" s="18">
        <v>2994166.19</v>
      </c>
      <c r="H512" s="18">
        <v>2937508.64</v>
      </c>
      <c r="I512" s="18">
        <v>2994166.19</v>
      </c>
      <c r="J512" s="18">
        <v>2937508.64</v>
      </c>
      <c r="K512" s="15">
        <v>10030705</v>
      </c>
      <c r="L512" s="13" t="s">
        <v>102</v>
      </c>
      <c r="M512" s="13" t="s">
        <v>103</v>
      </c>
      <c r="N512" s="138" t="s">
        <v>421</v>
      </c>
      <c r="O512" s="138" t="s">
        <v>421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1382</v>
      </c>
      <c r="V512" s="13" t="s">
        <v>1382</v>
      </c>
      <c r="W512" s="59">
        <f>+J512/$W$2</f>
        <v>4.8075483603531931E-5</v>
      </c>
    </row>
    <row r="513" spans="1:29">
      <c r="A513" s="13" t="s">
        <v>405</v>
      </c>
      <c r="B513" s="13" t="s">
        <v>404</v>
      </c>
      <c r="C513" s="138">
        <v>46281</v>
      </c>
      <c r="D513" s="138" t="s">
        <v>424</v>
      </c>
      <c r="E513" s="28">
        <v>0.98223901999999996</v>
      </c>
      <c r="F513" s="13"/>
      <c r="G513" s="18">
        <v>10000000</v>
      </c>
      <c r="H513" s="18">
        <v>9822390.25</v>
      </c>
      <c r="I513" s="18">
        <v>10000000</v>
      </c>
      <c r="J513" s="18">
        <v>9822390.25</v>
      </c>
      <c r="K513" s="15">
        <v>579</v>
      </c>
      <c r="L513" s="13" t="s">
        <v>102</v>
      </c>
      <c r="M513" s="13" t="s">
        <v>103</v>
      </c>
      <c r="N513" s="138" t="s">
        <v>164</v>
      </c>
      <c r="O513" s="138" t="s">
        <v>164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869</v>
      </c>
      <c r="V513" s="13" t="s">
        <v>869</v>
      </c>
      <c r="W513" s="59">
        <f>+J513/$W$2</f>
        <v>1.6075396510539859E-4</v>
      </c>
    </row>
    <row r="514" spans="1:29">
      <c r="A514" s="13" t="s">
        <v>1779</v>
      </c>
      <c r="B514" s="13" t="s">
        <v>404</v>
      </c>
      <c r="C514" s="138">
        <v>46281</v>
      </c>
      <c r="D514" s="138" t="s">
        <v>424</v>
      </c>
      <c r="E514" s="28">
        <v>0.98049754</v>
      </c>
      <c r="F514" s="13"/>
      <c r="G514" s="18">
        <v>5350000</v>
      </c>
      <c r="H514" s="18">
        <v>5245661.8499999996</v>
      </c>
      <c r="I514" s="18">
        <v>5350000</v>
      </c>
      <c r="J514" s="18">
        <v>5245661.8499999996</v>
      </c>
      <c r="K514" s="15">
        <v>804</v>
      </c>
      <c r="L514" s="13" t="s">
        <v>102</v>
      </c>
      <c r="M514" s="13" t="s">
        <v>103</v>
      </c>
      <c r="N514" s="138" t="s">
        <v>388</v>
      </c>
      <c r="O514" s="138" t="s">
        <v>388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1860</v>
      </c>
      <c r="V514" s="13" t="s">
        <v>1860</v>
      </c>
      <c r="W514" s="59">
        <f>+J514/$W$2</f>
        <v>8.5850889704735625E-5</v>
      </c>
    </row>
    <row r="515" spans="1:29">
      <c r="A515" s="13" t="s">
        <v>413</v>
      </c>
      <c r="B515" s="13" t="s">
        <v>404</v>
      </c>
      <c r="C515" s="138">
        <v>46281</v>
      </c>
      <c r="D515" s="138" t="s">
        <v>424</v>
      </c>
      <c r="E515" s="28">
        <v>0.98107734000000002</v>
      </c>
      <c r="F515" s="13"/>
      <c r="G515" s="18">
        <v>15355310.449999999</v>
      </c>
      <c r="H515" s="18">
        <v>15064747.08</v>
      </c>
      <c r="I515" s="18">
        <v>15355310.449999999</v>
      </c>
      <c r="J515" s="18">
        <v>15064747.08</v>
      </c>
      <c r="K515" s="15">
        <v>30745</v>
      </c>
      <c r="L515" s="13" t="s">
        <v>102</v>
      </c>
      <c r="M515" s="13" t="s">
        <v>103</v>
      </c>
      <c r="N515" s="138" t="s">
        <v>330</v>
      </c>
      <c r="O515" s="138" t="s">
        <v>330</v>
      </c>
      <c r="P515" s="28">
        <v>32</v>
      </c>
      <c r="Q515" s="13" t="s">
        <v>54</v>
      </c>
      <c r="R515" s="13" t="s">
        <v>28</v>
      </c>
      <c r="S515" s="13"/>
      <c r="T515" s="13"/>
      <c r="U515" s="13" t="s">
        <v>952</v>
      </c>
      <c r="V515" s="13" t="s">
        <v>952</v>
      </c>
      <c r="W515" s="59">
        <f>+J515/$W$2</f>
        <v>2.465507646084389E-4</v>
      </c>
    </row>
    <row r="516" spans="1:29">
      <c r="A516" s="13" t="s">
        <v>413</v>
      </c>
      <c r="B516" s="13" t="s">
        <v>404</v>
      </c>
      <c r="C516" s="138">
        <v>46281</v>
      </c>
      <c r="D516" s="138" t="s">
        <v>424</v>
      </c>
      <c r="E516" s="28">
        <v>0.98049752000000001</v>
      </c>
      <c r="F516" s="13"/>
      <c r="G516" s="18">
        <v>16005575.68</v>
      </c>
      <c r="H516" s="18">
        <v>15693427.279999999</v>
      </c>
      <c r="I516" s="18">
        <v>16005575.68</v>
      </c>
      <c r="J516" s="18">
        <v>15693427.279999999</v>
      </c>
      <c r="K516" s="15">
        <v>30721</v>
      </c>
      <c r="L516" s="13" t="s">
        <v>102</v>
      </c>
      <c r="M516" s="13" t="s">
        <v>103</v>
      </c>
      <c r="N516" s="138" t="s">
        <v>391</v>
      </c>
      <c r="O516" s="138" t="s">
        <v>391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786</v>
      </c>
      <c r="V516" s="13" t="s">
        <v>786</v>
      </c>
      <c r="W516" s="59">
        <f>+J516/$W$2</f>
        <v>2.5683979124666018E-4</v>
      </c>
      <c r="AC516" s="56"/>
    </row>
    <row r="517" spans="1:29">
      <c r="A517" s="13" t="s">
        <v>2522</v>
      </c>
      <c r="B517" s="13" t="s">
        <v>404</v>
      </c>
      <c r="C517" s="138">
        <v>46281</v>
      </c>
      <c r="D517" s="138" t="s">
        <v>424</v>
      </c>
      <c r="E517" s="28">
        <v>0.98049757999999998</v>
      </c>
      <c r="F517" s="13"/>
      <c r="G517" s="18">
        <v>40178584.170000002</v>
      </c>
      <c r="H517" s="18">
        <v>39395004.710000001</v>
      </c>
      <c r="I517" s="18">
        <v>40178584.170000002</v>
      </c>
      <c r="J517" s="18">
        <v>39395004.710000001</v>
      </c>
      <c r="K517" s="15">
        <v>78799359</v>
      </c>
      <c r="L517" s="13" t="s">
        <v>102</v>
      </c>
      <c r="M517" s="13" t="s">
        <v>103</v>
      </c>
      <c r="N517" s="138" t="s">
        <v>170</v>
      </c>
      <c r="O517" s="138" t="s">
        <v>170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2499</v>
      </c>
      <c r="V517" s="13" t="s">
        <v>2499</v>
      </c>
      <c r="W517" s="59">
        <f>+J517/$W$2</f>
        <v>6.447415599760306E-4</v>
      </c>
    </row>
    <row r="518" spans="1:29">
      <c r="A518" s="13" t="s">
        <v>356</v>
      </c>
      <c r="B518" s="13" t="s">
        <v>404</v>
      </c>
      <c r="C518" s="138">
        <v>46281</v>
      </c>
      <c r="D518" s="138" t="s">
        <v>424</v>
      </c>
      <c r="E518" s="28">
        <v>0.98107734000000002</v>
      </c>
      <c r="F518" s="13"/>
      <c r="G518" s="18">
        <v>10000000</v>
      </c>
      <c r="H518" s="18">
        <v>9810773.3599999994</v>
      </c>
      <c r="I518" s="18">
        <v>10000000</v>
      </c>
      <c r="J518" s="18">
        <v>9810773.3599999994</v>
      </c>
      <c r="K518" s="15">
        <v>13795877</v>
      </c>
      <c r="L518" s="13" t="s">
        <v>102</v>
      </c>
      <c r="M518" s="13" t="s">
        <v>103</v>
      </c>
      <c r="N518" s="138" t="s">
        <v>330</v>
      </c>
      <c r="O518" s="138" t="s">
        <v>330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943</v>
      </c>
      <c r="V518" s="13" t="s">
        <v>943</v>
      </c>
      <c r="W518" s="59">
        <f>+J518/$W$2</f>
        <v>1.605638422246982E-4</v>
      </c>
    </row>
    <row r="519" spans="1:29">
      <c r="A519" s="13" t="s">
        <v>356</v>
      </c>
      <c r="B519" s="13" t="s">
        <v>404</v>
      </c>
      <c r="C519" s="138">
        <v>46281</v>
      </c>
      <c r="D519" s="138" t="s">
        <v>424</v>
      </c>
      <c r="E519" s="28">
        <v>0.98049755999999999</v>
      </c>
      <c r="F519" s="13"/>
      <c r="G519" s="18">
        <v>40000000</v>
      </c>
      <c r="H519" s="18">
        <v>39219902.270000003</v>
      </c>
      <c r="I519" s="18">
        <v>40000000</v>
      </c>
      <c r="J519" s="18">
        <v>39219902.270000003</v>
      </c>
      <c r="K519" s="15">
        <v>13662782</v>
      </c>
      <c r="L519" s="13" t="s">
        <v>102</v>
      </c>
      <c r="M519" s="13" t="s">
        <v>103</v>
      </c>
      <c r="N519" s="138" t="s">
        <v>282</v>
      </c>
      <c r="O519" s="138" t="s">
        <v>282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841</v>
      </c>
      <c r="V519" s="13" t="s">
        <v>841</v>
      </c>
      <c r="W519" s="59">
        <f>+J519/$W$2</f>
        <v>6.4187582049580279E-4</v>
      </c>
    </row>
    <row r="520" spans="1:29">
      <c r="A520" s="13" t="s">
        <v>189</v>
      </c>
      <c r="B520" s="13" t="s">
        <v>404</v>
      </c>
      <c r="C520" s="138">
        <v>46281</v>
      </c>
      <c r="D520" s="138" t="s">
        <v>424</v>
      </c>
      <c r="E520" s="28">
        <v>0.98049757999999998</v>
      </c>
      <c r="F520" s="13"/>
      <c r="G520" s="18">
        <v>54981002.380000003</v>
      </c>
      <c r="H520" s="18">
        <v>53908739.969999999</v>
      </c>
      <c r="I520" s="18">
        <v>54981002.380000003</v>
      </c>
      <c r="J520" s="18">
        <v>53908739.969999999</v>
      </c>
      <c r="K520" s="15">
        <v>615566</v>
      </c>
      <c r="L520" s="13" t="s">
        <v>102</v>
      </c>
      <c r="M520" s="13" t="s">
        <v>103</v>
      </c>
      <c r="N520" s="138" t="s">
        <v>170</v>
      </c>
      <c r="O520" s="138" t="s">
        <v>170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2503</v>
      </c>
      <c r="V520" s="13" t="s">
        <v>2503</v>
      </c>
      <c r="W520" s="59">
        <f>+J520/$W$2</f>
        <v>8.8227442439617852E-4</v>
      </c>
    </row>
    <row r="521" spans="1:29">
      <c r="A521" s="13" t="s">
        <v>189</v>
      </c>
      <c r="B521" s="13" t="s">
        <v>404</v>
      </c>
      <c r="C521" s="138">
        <v>46281</v>
      </c>
      <c r="D521" s="138" t="s">
        <v>424</v>
      </c>
      <c r="E521" s="28">
        <v>0.98049757999999998</v>
      </c>
      <c r="F521" s="13"/>
      <c r="G521" s="18">
        <v>62834653.810000002</v>
      </c>
      <c r="H521" s="18">
        <v>61609226.219999999</v>
      </c>
      <c r="I521" s="18">
        <v>62834653.810000002</v>
      </c>
      <c r="J521" s="18">
        <v>61609226.219999999</v>
      </c>
      <c r="K521" s="15">
        <v>625081</v>
      </c>
      <c r="L521" s="13" t="s">
        <v>102</v>
      </c>
      <c r="M521" s="13" t="s">
        <v>103</v>
      </c>
      <c r="N521" s="138" t="s">
        <v>170</v>
      </c>
      <c r="O521" s="138" t="s">
        <v>170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2504</v>
      </c>
      <c r="V521" s="13" t="s">
        <v>2504</v>
      </c>
      <c r="W521" s="59">
        <f>+J521/$W$2</f>
        <v>1.0083011517426207E-3</v>
      </c>
    </row>
    <row r="522" spans="1:29">
      <c r="A522" s="13" t="s">
        <v>189</v>
      </c>
      <c r="B522" s="13" t="s">
        <v>404</v>
      </c>
      <c r="C522" s="138">
        <v>46281</v>
      </c>
      <c r="D522" s="138" t="s">
        <v>424</v>
      </c>
      <c r="E522" s="28">
        <v>0.98049757999999998</v>
      </c>
      <c r="F522" s="13"/>
      <c r="G522" s="18">
        <v>60486147.640000001</v>
      </c>
      <c r="H522" s="18">
        <v>59306521.600000001</v>
      </c>
      <c r="I522" s="18">
        <v>60486147.640000001</v>
      </c>
      <c r="J522" s="18">
        <v>59306521.600000001</v>
      </c>
      <c r="K522" s="15">
        <v>580997</v>
      </c>
      <c r="L522" s="13" t="s">
        <v>102</v>
      </c>
      <c r="M522" s="13" t="s">
        <v>103</v>
      </c>
      <c r="N522" s="138" t="s">
        <v>170</v>
      </c>
      <c r="O522" s="138" t="s">
        <v>170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2505</v>
      </c>
      <c r="V522" s="13" t="s">
        <v>2505</v>
      </c>
      <c r="W522" s="59">
        <f>+J522/$W$2</f>
        <v>9.7061491766822934E-4</v>
      </c>
    </row>
    <row r="523" spans="1:29">
      <c r="A523" s="13" t="s">
        <v>189</v>
      </c>
      <c r="B523" s="13" t="s">
        <v>404</v>
      </c>
      <c r="C523" s="138">
        <v>46281</v>
      </c>
      <c r="D523" s="138" t="s">
        <v>424</v>
      </c>
      <c r="E523" s="28">
        <v>0.98049757999999998</v>
      </c>
      <c r="F523" s="13"/>
      <c r="G523" s="18">
        <v>10751187.560000001</v>
      </c>
      <c r="H523" s="18">
        <v>10541513.43</v>
      </c>
      <c r="I523" s="18">
        <v>10751187.560000001</v>
      </c>
      <c r="J523" s="18">
        <v>10541513.43</v>
      </c>
      <c r="K523" s="15">
        <v>608932</v>
      </c>
      <c r="L523" s="13" t="s">
        <v>102</v>
      </c>
      <c r="M523" s="13" t="s">
        <v>103</v>
      </c>
      <c r="N523" s="138" t="s">
        <v>170</v>
      </c>
      <c r="O523" s="138" t="s">
        <v>170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2506</v>
      </c>
      <c r="V523" s="13" t="s">
        <v>2506</v>
      </c>
      <c r="W523" s="59">
        <f>+J523/$W$2</f>
        <v>1.7252318824171239E-4</v>
      </c>
    </row>
    <row r="524" spans="1:29">
      <c r="A524" s="13" t="s">
        <v>189</v>
      </c>
      <c r="B524" s="13" t="s">
        <v>404</v>
      </c>
      <c r="C524" s="138">
        <v>46281</v>
      </c>
      <c r="D524" s="138" t="s">
        <v>424</v>
      </c>
      <c r="E524" s="28">
        <v>0.98049757999999998</v>
      </c>
      <c r="F524" s="13"/>
      <c r="G524" s="18">
        <v>22236047.670000002</v>
      </c>
      <c r="H524" s="18">
        <v>21802391.010000002</v>
      </c>
      <c r="I524" s="18">
        <v>22236047.670000002</v>
      </c>
      <c r="J524" s="18">
        <v>21802391.010000002</v>
      </c>
      <c r="K524" s="15">
        <v>616472</v>
      </c>
      <c r="L524" s="13" t="s">
        <v>102</v>
      </c>
      <c r="M524" s="13" t="s">
        <v>103</v>
      </c>
      <c r="N524" s="138" t="s">
        <v>170</v>
      </c>
      <c r="O524" s="138" t="s">
        <v>170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2507</v>
      </c>
      <c r="V524" s="13" t="s">
        <v>2507</v>
      </c>
      <c r="W524" s="59">
        <f>+J524/$W$2</f>
        <v>3.5681954335257612E-4</v>
      </c>
    </row>
    <row r="525" spans="1:29">
      <c r="A525" s="13" t="s">
        <v>189</v>
      </c>
      <c r="B525" s="13" t="s">
        <v>404</v>
      </c>
      <c r="C525" s="138">
        <v>46281</v>
      </c>
      <c r="D525" s="138" t="s">
        <v>424</v>
      </c>
      <c r="E525" s="28">
        <v>0.98049757999999998</v>
      </c>
      <c r="F525" s="13"/>
      <c r="G525" s="18">
        <v>34954720.25</v>
      </c>
      <c r="H525" s="18">
        <v>34273018.740000002</v>
      </c>
      <c r="I525" s="18">
        <v>34954720.25</v>
      </c>
      <c r="J525" s="18">
        <v>34273018.740000002</v>
      </c>
      <c r="K525" s="15">
        <v>615199</v>
      </c>
      <c r="L525" s="13" t="s">
        <v>102</v>
      </c>
      <c r="M525" s="13" t="s">
        <v>103</v>
      </c>
      <c r="N525" s="138" t="s">
        <v>170</v>
      </c>
      <c r="O525" s="138" t="s">
        <v>170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2508</v>
      </c>
      <c r="V525" s="13" t="s">
        <v>2508</v>
      </c>
      <c r="W525" s="59">
        <f>+J525/$W$2</f>
        <v>5.609147588680497E-4</v>
      </c>
    </row>
    <row r="526" spans="1:29">
      <c r="A526" s="13" t="s">
        <v>189</v>
      </c>
      <c r="B526" s="13" t="s">
        <v>404</v>
      </c>
      <c r="C526" s="138">
        <v>46281</v>
      </c>
      <c r="D526" s="138" t="s">
        <v>424</v>
      </c>
      <c r="E526" s="28">
        <v>0.98049757999999998</v>
      </c>
      <c r="F526" s="13"/>
      <c r="G526" s="18">
        <v>29615091.850000001</v>
      </c>
      <c r="H526" s="18">
        <v>29037525.989999998</v>
      </c>
      <c r="I526" s="18">
        <v>29615091.850000001</v>
      </c>
      <c r="J526" s="18">
        <v>29037525.989999998</v>
      </c>
      <c r="K526" s="15">
        <v>615275</v>
      </c>
      <c r="L526" s="13" t="s">
        <v>102</v>
      </c>
      <c r="M526" s="13" t="s">
        <v>103</v>
      </c>
      <c r="N526" s="138" t="s">
        <v>170</v>
      </c>
      <c r="O526" s="138" t="s">
        <v>170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2510</v>
      </c>
      <c r="V526" s="13" t="s">
        <v>2510</v>
      </c>
      <c r="W526" s="59">
        <f>+J526/$W$2</f>
        <v>4.7523029740582386E-4</v>
      </c>
    </row>
    <row r="527" spans="1:29">
      <c r="A527" s="13" t="s">
        <v>189</v>
      </c>
      <c r="B527" s="13" t="s">
        <v>404</v>
      </c>
      <c r="C527" s="138">
        <v>46281</v>
      </c>
      <c r="D527" s="138" t="s">
        <v>424</v>
      </c>
      <c r="E527" s="28">
        <v>0.98340351999999998</v>
      </c>
      <c r="F527" s="13"/>
      <c r="G527" s="18">
        <v>19363690.149999999</v>
      </c>
      <c r="H527" s="18">
        <v>19042321.109999999</v>
      </c>
      <c r="I527" s="18">
        <v>19363690.149999999</v>
      </c>
      <c r="J527" s="18">
        <v>19042321.109999999</v>
      </c>
      <c r="K527" s="15">
        <v>597803</v>
      </c>
      <c r="L527" s="13" t="s">
        <v>102</v>
      </c>
      <c r="M527" s="13" t="s">
        <v>103</v>
      </c>
      <c r="N527" s="138" t="s">
        <v>639</v>
      </c>
      <c r="O527" s="138" t="s">
        <v>639</v>
      </c>
      <c r="P527" s="28">
        <v>28</v>
      </c>
      <c r="Q527" s="13" t="s">
        <v>54</v>
      </c>
      <c r="R527" s="13" t="s">
        <v>28</v>
      </c>
      <c r="S527" s="13"/>
      <c r="T527" s="13"/>
      <c r="U527" s="13" t="s">
        <v>2174</v>
      </c>
      <c r="V527" s="13" t="s">
        <v>2174</v>
      </c>
      <c r="W527" s="59">
        <f>+J527/$W$2</f>
        <v>3.1164803528781958E-4</v>
      </c>
    </row>
    <row r="528" spans="1:29">
      <c r="A528" s="13" t="s">
        <v>189</v>
      </c>
      <c r="B528" s="13" t="s">
        <v>404</v>
      </c>
      <c r="C528" s="138">
        <v>46281</v>
      </c>
      <c r="D528" s="138" t="s">
        <v>424</v>
      </c>
      <c r="E528" s="28">
        <v>0.98398675999999996</v>
      </c>
      <c r="F528" s="13"/>
      <c r="G528" s="18">
        <v>14791183.08</v>
      </c>
      <c r="H528" s="18">
        <v>14554328.359999999</v>
      </c>
      <c r="I528" s="18">
        <v>14791183.08</v>
      </c>
      <c r="J528" s="18">
        <v>14554328.359999999</v>
      </c>
      <c r="K528" s="15">
        <v>662321</v>
      </c>
      <c r="L528" s="13" t="s">
        <v>102</v>
      </c>
      <c r="M528" s="13" t="s">
        <v>103</v>
      </c>
      <c r="N528" s="138" t="s">
        <v>639</v>
      </c>
      <c r="O528" s="138" t="s">
        <v>639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2137</v>
      </c>
      <c r="V528" s="13" t="s">
        <v>2137</v>
      </c>
      <c r="W528" s="59">
        <f>+J528/$W$2</f>
        <v>2.3819721409622805E-4</v>
      </c>
    </row>
    <row r="529" spans="1:23">
      <c r="A529" s="13" t="s">
        <v>328</v>
      </c>
      <c r="B529" s="13" t="s">
        <v>404</v>
      </c>
      <c r="C529" s="138">
        <v>46281</v>
      </c>
      <c r="D529" s="138" t="s">
        <v>424</v>
      </c>
      <c r="E529" s="28">
        <v>0.97991841000000002</v>
      </c>
      <c r="F529" s="13"/>
      <c r="G529" s="18">
        <v>22500000</v>
      </c>
      <c r="H529" s="18">
        <v>22048164.190000001</v>
      </c>
      <c r="I529" s="18">
        <v>22500000</v>
      </c>
      <c r="J529" s="18">
        <v>22048164.190000001</v>
      </c>
      <c r="K529" s="15">
        <v>90000088</v>
      </c>
      <c r="L529" s="13" t="s">
        <v>102</v>
      </c>
      <c r="M529" s="13" t="s">
        <v>103</v>
      </c>
      <c r="N529" s="138" t="s">
        <v>320</v>
      </c>
      <c r="O529" s="138" t="s">
        <v>320</v>
      </c>
      <c r="P529" s="28">
        <v>34</v>
      </c>
      <c r="Q529" s="13" t="s">
        <v>54</v>
      </c>
      <c r="R529" s="13" t="s">
        <v>28</v>
      </c>
      <c r="S529" s="13"/>
      <c r="T529" s="13"/>
      <c r="U529" s="13" t="s">
        <v>771</v>
      </c>
      <c r="V529" s="13" t="s">
        <v>771</v>
      </c>
      <c r="W529" s="59">
        <f>+J529/$W$2</f>
        <v>3.608418853890843E-4</v>
      </c>
    </row>
    <row r="530" spans="1:23">
      <c r="A530" s="13" t="s">
        <v>2322</v>
      </c>
      <c r="B530" s="13" t="s">
        <v>404</v>
      </c>
      <c r="C530" s="138">
        <v>46281</v>
      </c>
      <c r="D530" s="138" t="s">
        <v>424</v>
      </c>
      <c r="E530" s="28">
        <v>0.98340344999999996</v>
      </c>
      <c r="F530" s="13"/>
      <c r="G530" s="18">
        <v>50000000</v>
      </c>
      <c r="H530" s="18">
        <v>49170172.700000003</v>
      </c>
      <c r="I530" s="18">
        <v>50000000</v>
      </c>
      <c r="J530" s="18">
        <v>49170172.700000003</v>
      </c>
      <c r="K530" s="15">
        <v>28</v>
      </c>
      <c r="L530" s="13" t="s">
        <v>102</v>
      </c>
      <c r="M530" s="13" t="s">
        <v>103</v>
      </c>
      <c r="N530" s="138" t="s">
        <v>441</v>
      </c>
      <c r="O530" s="138" t="s">
        <v>441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2310</v>
      </c>
      <c r="V530" s="13" t="s">
        <v>2310</v>
      </c>
      <c r="W530" s="59">
        <f>+J530/$W$2</f>
        <v>8.0472268208262477E-4</v>
      </c>
    </row>
    <row r="531" spans="1:23">
      <c r="A531" s="13" t="s">
        <v>523</v>
      </c>
      <c r="B531" s="13" t="s">
        <v>404</v>
      </c>
      <c r="C531" s="138">
        <v>46281</v>
      </c>
      <c r="D531" s="138" t="s">
        <v>424</v>
      </c>
      <c r="E531" s="28">
        <v>0.98340340000000004</v>
      </c>
      <c r="F531" s="13"/>
      <c r="G531" s="18">
        <v>10000000</v>
      </c>
      <c r="H531" s="18">
        <v>9834033.9700000007</v>
      </c>
      <c r="I531" s="18">
        <v>10000000</v>
      </c>
      <c r="J531" s="18">
        <v>9834033.9700000007</v>
      </c>
      <c r="K531" s="15">
        <v>3487822</v>
      </c>
      <c r="L531" s="13" t="s">
        <v>102</v>
      </c>
      <c r="M531" s="13" t="s">
        <v>103</v>
      </c>
      <c r="N531" s="138" t="s">
        <v>288</v>
      </c>
      <c r="O531" s="138" t="s">
        <v>288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696</v>
      </c>
      <c r="V531" s="13" t="s">
        <v>696</v>
      </c>
      <c r="W531" s="59">
        <f>+J531/$W$2</f>
        <v>1.609445270878628E-4</v>
      </c>
    </row>
    <row r="532" spans="1:23">
      <c r="A532" s="13" t="s">
        <v>523</v>
      </c>
      <c r="B532" s="13" t="s">
        <v>404</v>
      </c>
      <c r="C532" s="138">
        <v>46281</v>
      </c>
      <c r="D532" s="138" t="s">
        <v>424</v>
      </c>
      <c r="E532" s="28">
        <v>0.98457061000000001</v>
      </c>
      <c r="F532" s="13"/>
      <c r="G532" s="18">
        <v>9000000</v>
      </c>
      <c r="H532" s="18">
        <v>8861135.4700000007</v>
      </c>
      <c r="I532" s="18">
        <v>9000000</v>
      </c>
      <c r="J532" s="18">
        <v>8861135.4700000007</v>
      </c>
      <c r="K532" s="15">
        <v>3385281</v>
      </c>
      <c r="L532" s="13" t="s">
        <v>102</v>
      </c>
      <c r="M532" s="13" t="s">
        <v>103</v>
      </c>
      <c r="N532" s="138" t="s">
        <v>282</v>
      </c>
      <c r="O532" s="138" t="s">
        <v>282</v>
      </c>
      <c r="P532" s="28">
        <v>26</v>
      </c>
      <c r="Q532" s="13" t="s">
        <v>54</v>
      </c>
      <c r="R532" s="13" t="s">
        <v>28</v>
      </c>
      <c r="S532" s="13"/>
      <c r="T532" s="13"/>
      <c r="U532" s="13" t="s">
        <v>821</v>
      </c>
      <c r="V532" s="13" t="s">
        <v>821</v>
      </c>
      <c r="W532" s="59">
        <f>+J532/$W$2</f>
        <v>1.4502199830011741E-4</v>
      </c>
    </row>
    <row r="533" spans="1:23">
      <c r="A533" s="13" t="s">
        <v>756</v>
      </c>
      <c r="B533" s="13" t="s">
        <v>404</v>
      </c>
      <c r="C533" s="138">
        <v>46281</v>
      </c>
      <c r="D533" s="138" t="s">
        <v>424</v>
      </c>
      <c r="E533" s="28">
        <v>0.97703302999999997</v>
      </c>
      <c r="F533" s="13"/>
      <c r="G533" s="18">
        <v>12825509.390000001</v>
      </c>
      <c r="H533" s="18">
        <v>12530946.35</v>
      </c>
      <c r="I533" s="18">
        <v>12825509.390000001</v>
      </c>
      <c r="J533" s="18">
        <v>12530946.35</v>
      </c>
      <c r="K533" s="15">
        <v>53243196</v>
      </c>
      <c r="L533" s="13" t="s">
        <v>102</v>
      </c>
      <c r="M533" s="13" t="s">
        <v>103</v>
      </c>
      <c r="N533" s="138" t="s">
        <v>372</v>
      </c>
      <c r="O533" s="138" t="s">
        <v>372</v>
      </c>
      <c r="P533" s="28">
        <v>39</v>
      </c>
      <c r="Q533" s="13" t="s">
        <v>54</v>
      </c>
      <c r="R533" s="13" t="s">
        <v>28</v>
      </c>
      <c r="S533" s="13"/>
      <c r="T533" s="13"/>
      <c r="U533" s="13" t="s">
        <v>751</v>
      </c>
      <c r="V533" s="13" t="s">
        <v>751</v>
      </c>
      <c r="W533" s="59">
        <f>+J533/$W$2</f>
        <v>2.0508239451039138E-4</v>
      </c>
    </row>
    <row r="534" spans="1:23">
      <c r="A534" s="13" t="s">
        <v>957</v>
      </c>
      <c r="B534" s="13" t="s">
        <v>404</v>
      </c>
      <c r="C534" s="138">
        <v>46281</v>
      </c>
      <c r="D534" s="138" t="s">
        <v>424</v>
      </c>
      <c r="E534" s="28">
        <v>0.98107734000000002</v>
      </c>
      <c r="F534" s="13"/>
      <c r="G534" s="18">
        <v>13000000</v>
      </c>
      <c r="H534" s="18">
        <v>12754005.369999999</v>
      </c>
      <c r="I534" s="18">
        <v>13000000</v>
      </c>
      <c r="J534" s="18">
        <v>12754005.369999999</v>
      </c>
      <c r="K534" s="15">
        <v>547</v>
      </c>
      <c r="L534" s="13" t="s">
        <v>102</v>
      </c>
      <c r="M534" s="13" t="s">
        <v>103</v>
      </c>
      <c r="N534" s="138" t="s">
        <v>330</v>
      </c>
      <c r="O534" s="138" t="s">
        <v>330</v>
      </c>
      <c r="P534" s="28">
        <v>32</v>
      </c>
      <c r="Q534" s="13" t="s">
        <v>54</v>
      </c>
      <c r="R534" s="13" t="s">
        <v>28</v>
      </c>
      <c r="S534" s="13"/>
      <c r="T534" s="13"/>
      <c r="U534" s="13" t="s">
        <v>958</v>
      </c>
      <c r="V534" s="13" t="s">
        <v>958</v>
      </c>
      <c r="W534" s="59">
        <f>+J534/$W$2</f>
        <v>2.0873299492483983E-4</v>
      </c>
    </row>
    <row r="535" spans="1:23">
      <c r="A535" s="13" t="s">
        <v>1422</v>
      </c>
      <c r="B535" s="13" t="s">
        <v>404</v>
      </c>
      <c r="C535" s="138">
        <v>46281</v>
      </c>
      <c r="D535" s="138" t="s">
        <v>424</v>
      </c>
      <c r="E535" s="28">
        <v>0.98107734999999996</v>
      </c>
      <c r="F535" s="13"/>
      <c r="G535" s="18">
        <v>1099546.98</v>
      </c>
      <c r="H535" s="18">
        <v>1078740.6399999999</v>
      </c>
      <c r="I535" s="18">
        <v>1099546.98</v>
      </c>
      <c r="J535" s="18">
        <v>1078740.6399999999</v>
      </c>
      <c r="K535" s="15">
        <v>30001148</v>
      </c>
      <c r="L535" s="13" t="s">
        <v>102</v>
      </c>
      <c r="M535" s="13" t="s">
        <v>103</v>
      </c>
      <c r="N535" s="138" t="s">
        <v>421</v>
      </c>
      <c r="O535" s="138" t="s">
        <v>421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1384</v>
      </c>
      <c r="V535" s="13" t="s">
        <v>1384</v>
      </c>
      <c r="W535" s="59">
        <f>+J535/$W$2</f>
        <v>1.765474907702179E-5</v>
      </c>
    </row>
    <row r="536" spans="1:23">
      <c r="A536" s="13" t="s">
        <v>1805</v>
      </c>
      <c r="B536" s="13" t="s">
        <v>404</v>
      </c>
      <c r="C536" s="138">
        <v>46281</v>
      </c>
      <c r="D536" s="138" t="s">
        <v>424</v>
      </c>
      <c r="E536" s="28">
        <v>0.98223899000000003</v>
      </c>
      <c r="F536" s="13"/>
      <c r="G536" s="18">
        <v>1500000</v>
      </c>
      <c r="H536" s="18">
        <v>1473358.48</v>
      </c>
      <c r="I536" s="18">
        <v>1500000</v>
      </c>
      <c r="J536" s="18">
        <v>1473358.48</v>
      </c>
      <c r="K536" s="15">
        <v>1967</v>
      </c>
      <c r="L536" s="13" t="s">
        <v>102</v>
      </c>
      <c r="M536" s="13" t="s">
        <v>103</v>
      </c>
      <c r="N536" s="138" t="s">
        <v>384</v>
      </c>
      <c r="O536" s="138" t="s">
        <v>384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1790</v>
      </c>
      <c r="V536" s="13" t="s">
        <v>1790</v>
      </c>
      <c r="W536" s="59">
        <f>+J536/$W$2</f>
        <v>2.4113093824760537E-5</v>
      </c>
    </row>
    <row r="537" spans="1:23">
      <c r="A537" s="13" t="s">
        <v>138</v>
      </c>
      <c r="B537" s="13" t="s">
        <v>404</v>
      </c>
      <c r="C537" s="138">
        <v>46282</v>
      </c>
      <c r="D537" s="138" t="s">
        <v>424</v>
      </c>
      <c r="E537" s="28">
        <v>0.97781826999999999</v>
      </c>
      <c r="F537" s="13"/>
      <c r="G537" s="18">
        <v>85000000</v>
      </c>
      <c r="H537" s="18">
        <v>83114553.359999999</v>
      </c>
      <c r="I537" s="18">
        <v>85000000</v>
      </c>
      <c r="J537" s="18">
        <v>83114553.359999999</v>
      </c>
      <c r="K537" s="15">
        <v>8434</v>
      </c>
      <c r="L537" s="13" t="s">
        <v>102</v>
      </c>
      <c r="M537" s="13" t="s">
        <v>103</v>
      </c>
      <c r="N537" s="138" t="s">
        <v>340</v>
      </c>
      <c r="O537" s="138" t="s">
        <v>340</v>
      </c>
      <c r="P537" s="28">
        <v>36</v>
      </c>
      <c r="Q537" s="13" t="s">
        <v>54</v>
      </c>
      <c r="R537" s="13" t="s">
        <v>28</v>
      </c>
      <c r="S537" s="13"/>
      <c r="T537" s="13"/>
      <c r="U537" s="13" t="s">
        <v>1066</v>
      </c>
      <c r="V537" s="13" t="s">
        <v>1066</v>
      </c>
      <c r="W537" s="59">
        <f>+J537/$W$2</f>
        <v>1.3602589258336819E-3</v>
      </c>
    </row>
    <row r="538" spans="1:23">
      <c r="A538" s="13" t="s">
        <v>348</v>
      </c>
      <c r="B538" s="13" t="s">
        <v>404</v>
      </c>
      <c r="C538" s="138">
        <v>46282</v>
      </c>
      <c r="D538" s="138" t="s">
        <v>424</v>
      </c>
      <c r="E538" s="28">
        <v>0.98023420000000006</v>
      </c>
      <c r="F538" s="13"/>
      <c r="G538" s="18">
        <v>6428571.6600000001</v>
      </c>
      <c r="H538" s="18">
        <v>6301505.7999999998</v>
      </c>
      <c r="I538" s="18">
        <v>6428571.6600000001</v>
      </c>
      <c r="J538" s="18">
        <v>6301505.7999999998</v>
      </c>
      <c r="K538" s="15">
        <v>3487</v>
      </c>
      <c r="L538" s="13" t="s">
        <v>102</v>
      </c>
      <c r="M538" s="13" t="s">
        <v>103</v>
      </c>
      <c r="N538" s="138" t="s">
        <v>421</v>
      </c>
      <c r="O538" s="138" t="s">
        <v>421</v>
      </c>
      <c r="P538" s="28">
        <v>32</v>
      </c>
      <c r="Q538" s="13" t="s">
        <v>54</v>
      </c>
      <c r="R538" s="13" t="s">
        <v>28</v>
      </c>
      <c r="S538" s="13"/>
      <c r="T538" s="13"/>
      <c r="U538" s="13" t="s">
        <v>1370</v>
      </c>
      <c r="V538" s="13" t="s">
        <v>1370</v>
      </c>
      <c r="W538" s="59">
        <f>+J538/$W$2</f>
        <v>1.0313090986022133E-4</v>
      </c>
    </row>
    <row r="539" spans="1:23">
      <c r="A539" s="13" t="s">
        <v>232</v>
      </c>
      <c r="B539" s="13" t="s">
        <v>404</v>
      </c>
      <c r="C539" s="138">
        <v>46282</v>
      </c>
      <c r="D539" s="138" t="s">
        <v>424</v>
      </c>
      <c r="E539" s="28">
        <v>0.98023422000000004</v>
      </c>
      <c r="F539" s="13"/>
      <c r="G539" s="18">
        <v>25000000</v>
      </c>
      <c r="H539" s="18">
        <v>24505855.609999999</v>
      </c>
      <c r="I539" s="18">
        <v>25000000</v>
      </c>
      <c r="J539" s="18">
        <v>24505855.609999999</v>
      </c>
      <c r="K539" s="15">
        <v>1215681</v>
      </c>
      <c r="L539" s="13" t="s">
        <v>102</v>
      </c>
      <c r="M539" s="13" t="s">
        <v>103</v>
      </c>
      <c r="N539" s="138" t="s">
        <v>372</v>
      </c>
      <c r="O539" s="138" t="s">
        <v>372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754</v>
      </c>
      <c r="V539" s="13" t="s">
        <v>754</v>
      </c>
      <c r="W539" s="59">
        <f>+J539/$W$2</f>
        <v>4.0106464489210008E-4</v>
      </c>
    </row>
    <row r="540" spans="1:23">
      <c r="A540" s="13" t="s">
        <v>763</v>
      </c>
      <c r="B540" s="13" t="s">
        <v>404</v>
      </c>
      <c r="C540" s="138">
        <v>46282</v>
      </c>
      <c r="D540" s="138" t="s">
        <v>424</v>
      </c>
      <c r="E540" s="28">
        <v>0.97721623999999996</v>
      </c>
      <c r="F540" s="13"/>
      <c r="G540" s="18">
        <v>3345657.98</v>
      </c>
      <c r="H540" s="18">
        <v>3269431.3</v>
      </c>
      <c r="I540" s="18">
        <v>3345657.98</v>
      </c>
      <c r="J540" s="18">
        <v>3269431.3</v>
      </c>
      <c r="K540" s="15">
        <v>251</v>
      </c>
      <c r="L540" s="13" t="s">
        <v>102</v>
      </c>
      <c r="M540" s="13" t="s">
        <v>103</v>
      </c>
      <c r="N540" s="138" t="s">
        <v>355</v>
      </c>
      <c r="O540" s="138" t="s">
        <v>355</v>
      </c>
      <c r="P540" s="28">
        <v>37</v>
      </c>
      <c r="Q540" s="13" t="s">
        <v>54</v>
      </c>
      <c r="R540" s="13" t="s">
        <v>28</v>
      </c>
      <c r="S540" s="13"/>
      <c r="T540" s="13"/>
      <c r="U540" s="13" t="s">
        <v>1201</v>
      </c>
      <c r="V540" s="13" t="s">
        <v>1201</v>
      </c>
      <c r="W540" s="59">
        <f>+J540/$W$2</f>
        <v>5.3507754399668441E-5</v>
      </c>
    </row>
    <row r="541" spans="1:23">
      <c r="A541" s="13" t="s">
        <v>431</v>
      </c>
      <c r="B541" s="13" t="s">
        <v>404</v>
      </c>
      <c r="C541" s="138">
        <v>46282</v>
      </c>
      <c r="D541" s="138" t="s">
        <v>424</v>
      </c>
      <c r="E541" s="28">
        <v>0.98023417999999995</v>
      </c>
      <c r="F541" s="13"/>
      <c r="G541" s="18">
        <v>3243208.42</v>
      </c>
      <c r="H541" s="18">
        <v>3179103.76</v>
      </c>
      <c r="I541" s="18">
        <v>3243208.42</v>
      </c>
      <c r="J541" s="18">
        <v>3179103.76</v>
      </c>
      <c r="K541" s="15">
        <v>143911</v>
      </c>
      <c r="L541" s="13" t="s">
        <v>102</v>
      </c>
      <c r="M541" s="13" t="s">
        <v>103</v>
      </c>
      <c r="N541" s="138" t="s">
        <v>316</v>
      </c>
      <c r="O541" s="138" t="s">
        <v>316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471</v>
      </c>
      <c r="V541" s="13" t="s">
        <v>471</v>
      </c>
      <c r="W541" s="59">
        <f>+J541/$W$2</f>
        <v>5.2029447201151618E-5</v>
      </c>
    </row>
    <row r="542" spans="1:23">
      <c r="A542" s="13" t="s">
        <v>284</v>
      </c>
      <c r="B542" s="13" t="s">
        <v>404</v>
      </c>
      <c r="C542" s="138">
        <v>46282</v>
      </c>
      <c r="D542" s="138" t="s">
        <v>424</v>
      </c>
      <c r="E542" s="28">
        <v>0.98449101999999999</v>
      </c>
      <c r="F542" s="13"/>
      <c r="G542" s="18">
        <v>2000000</v>
      </c>
      <c r="H542" s="18">
        <v>1968982.04</v>
      </c>
      <c r="I542" s="18">
        <v>2000000</v>
      </c>
      <c r="J542" s="18">
        <v>1968982.04</v>
      </c>
      <c r="K542" s="15">
        <v>17150</v>
      </c>
      <c r="L542" s="13" t="s">
        <v>102</v>
      </c>
      <c r="M542" s="13" t="s">
        <v>103</v>
      </c>
      <c r="N542" s="138" t="s">
        <v>173</v>
      </c>
      <c r="O542" s="138" t="s">
        <v>173</v>
      </c>
      <c r="P542" s="28">
        <v>25</v>
      </c>
      <c r="Q542" s="13" t="s">
        <v>54</v>
      </c>
      <c r="R542" s="13" t="s">
        <v>28</v>
      </c>
      <c r="S542" s="13"/>
      <c r="T542" s="13"/>
      <c r="U542" s="13" t="s">
        <v>1987</v>
      </c>
      <c r="V542" s="13" t="s">
        <v>1987</v>
      </c>
      <c r="W542" s="59">
        <f>+J542/$W$2</f>
        <v>3.2224505654447657E-5</v>
      </c>
    </row>
    <row r="543" spans="1:23">
      <c r="A543" s="13" t="s">
        <v>271</v>
      </c>
      <c r="B543" s="13" t="s">
        <v>404</v>
      </c>
      <c r="C543" s="138">
        <v>46282</v>
      </c>
      <c r="D543" s="138" t="s">
        <v>424</v>
      </c>
      <c r="E543" s="28">
        <v>0.98084006999999995</v>
      </c>
      <c r="F543" s="13"/>
      <c r="G543" s="18">
        <v>16500000</v>
      </c>
      <c r="H543" s="18">
        <v>16183861.130000001</v>
      </c>
      <c r="I543" s="18">
        <v>16500000</v>
      </c>
      <c r="J543" s="18">
        <v>16183861.130000001</v>
      </c>
      <c r="K543" s="15">
        <v>28674</v>
      </c>
      <c r="L543" s="13" t="s">
        <v>102</v>
      </c>
      <c r="M543" s="13" t="s">
        <v>103</v>
      </c>
      <c r="N543" s="138" t="s">
        <v>331</v>
      </c>
      <c r="O543" s="138" t="s">
        <v>331</v>
      </c>
      <c r="P543" s="28">
        <v>31</v>
      </c>
      <c r="Q543" s="13" t="s">
        <v>54</v>
      </c>
      <c r="R543" s="13" t="s">
        <v>28</v>
      </c>
      <c r="S543" s="13"/>
      <c r="T543" s="13"/>
      <c r="U543" s="13" t="s">
        <v>663</v>
      </c>
      <c r="V543" s="13" t="s">
        <v>663</v>
      </c>
      <c r="W543" s="59">
        <f>+J543/$W$2</f>
        <v>2.6486626789875678E-4</v>
      </c>
    </row>
    <row r="544" spans="1:23">
      <c r="A544" s="13" t="s">
        <v>1094</v>
      </c>
      <c r="B544" s="13" t="s">
        <v>404</v>
      </c>
      <c r="C544" s="138">
        <v>46282</v>
      </c>
      <c r="D544" s="138" t="s">
        <v>424</v>
      </c>
      <c r="E544" s="28">
        <v>0.98144666999999997</v>
      </c>
      <c r="F544" s="13"/>
      <c r="G544" s="18">
        <v>20498755</v>
      </c>
      <c r="H544" s="18">
        <v>20118434.84</v>
      </c>
      <c r="I544" s="18">
        <v>20498755</v>
      </c>
      <c r="J544" s="18">
        <v>20118434.84</v>
      </c>
      <c r="K544" s="15">
        <v>90044620</v>
      </c>
      <c r="L544" s="13" t="s">
        <v>102</v>
      </c>
      <c r="M544" s="13" t="s">
        <v>103</v>
      </c>
      <c r="N544" s="138" t="s">
        <v>387</v>
      </c>
      <c r="O544" s="138" t="s">
        <v>387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1705</v>
      </c>
      <c r="V544" s="13" t="s">
        <v>1705</v>
      </c>
      <c r="W544" s="59">
        <f>+J544/$W$2</f>
        <v>3.2925979216154593E-4</v>
      </c>
    </row>
    <row r="545" spans="1:29">
      <c r="A545" s="13" t="s">
        <v>2232</v>
      </c>
      <c r="B545" s="13" t="s">
        <v>404</v>
      </c>
      <c r="C545" s="138">
        <v>46282</v>
      </c>
      <c r="D545" s="138" t="s">
        <v>424</v>
      </c>
      <c r="E545" s="28">
        <v>0.98266217</v>
      </c>
      <c r="F545" s="13"/>
      <c r="G545" s="18">
        <v>10737000</v>
      </c>
      <c r="H545" s="18">
        <v>10550843.689999999</v>
      </c>
      <c r="I545" s="18">
        <v>10737000</v>
      </c>
      <c r="J545" s="18">
        <v>10550843.689999999</v>
      </c>
      <c r="K545" s="15">
        <v>99803061</v>
      </c>
      <c r="L545" s="13" t="s">
        <v>102</v>
      </c>
      <c r="M545" s="13" t="s">
        <v>103</v>
      </c>
      <c r="N545" s="138" t="s">
        <v>639</v>
      </c>
      <c r="O545" s="138" t="s">
        <v>639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2178</v>
      </c>
      <c r="V545" s="13" t="s">
        <v>2178</v>
      </c>
      <c r="W545" s="59">
        <f>+J545/$W$2</f>
        <v>1.7267588796675789E-4</v>
      </c>
      <c r="AC545" s="56"/>
    </row>
    <row r="546" spans="1:29">
      <c r="A546" s="13" t="s">
        <v>2232</v>
      </c>
      <c r="B546" s="13" t="s">
        <v>404</v>
      </c>
      <c r="C546" s="138">
        <v>46282</v>
      </c>
      <c r="D546" s="138" t="s">
        <v>424</v>
      </c>
      <c r="E546" s="28">
        <v>0.98266217</v>
      </c>
      <c r="F546" s="13"/>
      <c r="G546" s="18">
        <v>20600000</v>
      </c>
      <c r="H546" s="18">
        <v>20242840.66</v>
      </c>
      <c r="I546" s="18">
        <v>20600000</v>
      </c>
      <c r="J546" s="18">
        <v>20242840.66</v>
      </c>
      <c r="K546" s="15">
        <v>99803229</v>
      </c>
      <c r="L546" s="13" t="s">
        <v>102</v>
      </c>
      <c r="M546" s="13" t="s">
        <v>103</v>
      </c>
      <c r="N546" s="138" t="s">
        <v>639</v>
      </c>
      <c r="O546" s="138" t="s">
        <v>639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2179</v>
      </c>
      <c r="V546" s="13" t="s">
        <v>2179</v>
      </c>
      <c r="W546" s="59">
        <f>+J546/$W$2</f>
        <v>3.3129582701031288E-4</v>
      </c>
    </row>
    <row r="547" spans="1:29">
      <c r="A547" s="13" t="s">
        <v>417</v>
      </c>
      <c r="B547" s="13" t="s">
        <v>404</v>
      </c>
      <c r="C547" s="138">
        <v>46282</v>
      </c>
      <c r="D547" s="138" t="s">
        <v>424</v>
      </c>
      <c r="E547" s="28">
        <v>0.97842116000000001</v>
      </c>
      <c r="F547" s="13"/>
      <c r="G547" s="18">
        <v>1500000</v>
      </c>
      <c r="H547" s="18">
        <v>1467631.74</v>
      </c>
      <c r="I547" s="18">
        <v>1500000</v>
      </c>
      <c r="J547" s="18">
        <v>1467631.74</v>
      </c>
      <c r="K547" s="15">
        <v>3</v>
      </c>
      <c r="L547" s="13" t="s">
        <v>102</v>
      </c>
      <c r="M547" s="13" t="s">
        <v>103</v>
      </c>
      <c r="N547" s="138" t="s">
        <v>352</v>
      </c>
      <c r="O547" s="138" t="s">
        <v>352</v>
      </c>
      <c r="P547" s="28">
        <v>35</v>
      </c>
      <c r="Q547" s="13" t="s">
        <v>54</v>
      </c>
      <c r="R547" s="13" t="s">
        <v>28</v>
      </c>
      <c r="S547" s="13"/>
      <c r="T547" s="13"/>
      <c r="U547" s="13" t="s">
        <v>630</v>
      </c>
      <c r="V547" s="13" t="s">
        <v>630</v>
      </c>
      <c r="W547" s="59">
        <f>+J547/$W$2</f>
        <v>2.4019369574481673E-5</v>
      </c>
    </row>
    <row r="548" spans="1:29">
      <c r="A548" s="13" t="s">
        <v>467</v>
      </c>
      <c r="B548" s="13" t="s">
        <v>404</v>
      </c>
      <c r="C548" s="138">
        <v>46282</v>
      </c>
      <c r="D548" s="138" t="s">
        <v>424</v>
      </c>
      <c r="E548" s="28">
        <v>0.97541425999999998</v>
      </c>
      <c r="F548" s="13"/>
      <c r="G548" s="18">
        <v>9972899.9900000002</v>
      </c>
      <c r="H548" s="18">
        <v>9727708.9000000004</v>
      </c>
      <c r="I548" s="18">
        <v>9972899.9900000002</v>
      </c>
      <c r="J548" s="18">
        <v>9727708.9000000004</v>
      </c>
      <c r="K548" s="15">
        <v>1179213</v>
      </c>
      <c r="L548" s="13" t="s">
        <v>102</v>
      </c>
      <c r="M548" s="13" t="s">
        <v>103</v>
      </c>
      <c r="N548" s="138" t="s">
        <v>306</v>
      </c>
      <c r="O548" s="138" t="s">
        <v>306</v>
      </c>
      <c r="P548" s="28">
        <v>40</v>
      </c>
      <c r="Q548" s="13" t="s">
        <v>54</v>
      </c>
      <c r="R548" s="13" t="s">
        <v>28</v>
      </c>
      <c r="S548" s="13"/>
      <c r="T548" s="13"/>
      <c r="U548" s="13" t="s">
        <v>453</v>
      </c>
      <c r="V548" s="13" t="s">
        <v>453</v>
      </c>
      <c r="W548" s="59">
        <f>+J548/$W$2</f>
        <v>1.5920440313049825E-4</v>
      </c>
      <c r="AC548" s="56"/>
    </row>
    <row r="549" spans="1:29">
      <c r="A549" s="13" t="s">
        <v>405</v>
      </c>
      <c r="B549" s="13" t="s">
        <v>404</v>
      </c>
      <c r="C549" s="138">
        <v>46282</v>
      </c>
      <c r="D549" s="138" t="s">
        <v>424</v>
      </c>
      <c r="E549" s="28">
        <v>0.97962910000000003</v>
      </c>
      <c r="F549" s="13"/>
      <c r="G549" s="18">
        <v>10000000</v>
      </c>
      <c r="H549" s="18">
        <v>9796290.9700000007</v>
      </c>
      <c r="I549" s="18">
        <v>10000000</v>
      </c>
      <c r="J549" s="18">
        <v>9796290.9700000007</v>
      </c>
      <c r="K549" s="15">
        <v>667</v>
      </c>
      <c r="L549" s="13" t="s">
        <v>102</v>
      </c>
      <c r="M549" s="13" t="s">
        <v>103</v>
      </c>
      <c r="N549" s="138" t="s">
        <v>340</v>
      </c>
      <c r="O549" s="138" t="s">
        <v>340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1074</v>
      </c>
      <c r="V549" s="13" t="s">
        <v>1074</v>
      </c>
      <c r="W549" s="59">
        <f>+J549/$W$2</f>
        <v>1.6032682235912093E-4</v>
      </c>
      <c r="AC549" s="56"/>
    </row>
    <row r="550" spans="1:29">
      <c r="A550" s="13" t="s">
        <v>405</v>
      </c>
      <c r="B550" s="13" t="s">
        <v>404</v>
      </c>
      <c r="C550" s="138">
        <v>46282</v>
      </c>
      <c r="D550" s="138" t="s">
        <v>424</v>
      </c>
      <c r="E550" s="28">
        <v>0.98144664000000004</v>
      </c>
      <c r="F550" s="13"/>
      <c r="G550" s="18">
        <v>5000000</v>
      </c>
      <c r="H550" s="18">
        <v>4907233.21</v>
      </c>
      <c r="I550" s="18">
        <v>5000000</v>
      </c>
      <c r="J550" s="18">
        <v>4907233.21</v>
      </c>
      <c r="K550" s="15">
        <v>780</v>
      </c>
      <c r="L550" s="13" t="s">
        <v>102</v>
      </c>
      <c r="M550" s="13" t="s">
        <v>103</v>
      </c>
      <c r="N550" s="138" t="s">
        <v>421</v>
      </c>
      <c r="O550" s="138" t="s">
        <v>421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1404</v>
      </c>
      <c r="V550" s="13" t="s">
        <v>1404</v>
      </c>
      <c r="W550" s="59">
        <f>+J550/$W$2</f>
        <v>8.0312141558862735E-5</v>
      </c>
    </row>
    <row r="551" spans="1:29">
      <c r="A551" s="13" t="s">
        <v>405</v>
      </c>
      <c r="B551" s="13" t="s">
        <v>404</v>
      </c>
      <c r="C551" s="138">
        <v>46282</v>
      </c>
      <c r="D551" s="138" t="s">
        <v>424</v>
      </c>
      <c r="E551" s="28">
        <v>0.98144666000000003</v>
      </c>
      <c r="F551" s="13"/>
      <c r="G551" s="18">
        <v>10000000</v>
      </c>
      <c r="H551" s="18">
        <v>9814466.6300000008</v>
      </c>
      <c r="I551" s="18">
        <v>10000000</v>
      </c>
      <c r="J551" s="18">
        <v>9814466.6300000008</v>
      </c>
      <c r="K551" s="15">
        <v>639</v>
      </c>
      <c r="L551" s="13" t="s">
        <v>102</v>
      </c>
      <c r="M551" s="13" t="s">
        <v>103</v>
      </c>
      <c r="N551" s="138" t="s">
        <v>344</v>
      </c>
      <c r="O551" s="138" t="s">
        <v>344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1040</v>
      </c>
      <c r="V551" s="13" t="s">
        <v>1040</v>
      </c>
      <c r="W551" s="59">
        <f>+J551/$W$2</f>
        <v>1.6062428655460101E-4</v>
      </c>
    </row>
    <row r="552" spans="1:29">
      <c r="A552" s="13" t="s">
        <v>229</v>
      </c>
      <c r="B552" s="13" t="s">
        <v>404</v>
      </c>
      <c r="C552" s="138">
        <v>46282</v>
      </c>
      <c r="D552" s="138" t="s">
        <v>424</v>
      </c>
      <c r="E552" s="28">
        <v>0.98023420000000006</v>
      </c>
      <c r="F552" s="13"/>
      <c r="G552" s="18">
        <v>50000000</v>
      </c>
      <c r="H552" s="18">
        <v>49011709.890000001</v>
      </c>
      <c r="I552" s="18">
        <v>50000000</v>
      </c>
      <c r="J552" s="18">
        <v>49011709.890000001</v>
      </c>
      <c r="K552" s="15">
        <v>4775</v>
      </c>
      <c r="L552" s="13" t="s">
        <v>102</v>
      </c>
      <c r="M552" s="13" t="s">
        <v>103</v>
      </c>
      <c r="N552" s="138" t="s">
        <v>330</v>
      </c>
      <c r="O552" s="138" t="s">
        <v>330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956</v>
      </c>
      <c r="V552" s="13" t="s">
        <v>956</v>
      </c>
      <c r="W552" s="59">
        <f>+J552/$W$2</f>
        <v>8.0212926801732183E-4</v>
      </c>
      <c r="AC552" s="56"/>
    </row>
    <row r="553" spans="1:29">
      <c r="A553" s="13" t="s">
        <v>307</v>
      </c>
      <c r="B553" s="13" t="s">
        <v>404</v>
      </c>
      <c r="C553" s="138">
        <v>46282</v>
      </c>
      <c r="D553" s="138" t="s">
        <v>424</v>
      </c>
      <c r="E553" s="28">
        <v>0.97962910999999997</v>
      </c>
      <c r="F553" s="13"/>
      <c r="G553" s="18">
        <v>10000000</v>
      </c>
      <c r="H553" s="18">
        <v>9796291.1099999994</v>
      </c>
      <c r="I553" s="18">
        <v>10000000</v>
      </c>
      <c r="J553" s="18">
        <v>9796291.1099999994</v>
      </c>
      <c r="K553" s="15">
        <v>327</v>
      </c>
      <c r="L553" s="13" t="s">
        <v>102</v>
      </c>
      <c r="M553" s="13" t="s">
        <v>103</v>
      </c>
      <c r="N553" s="138" t="s">
        <v>321</v>
      </c>
      <c r="O553" s="138" t="s">
        <v>321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749</v>
      </c>
      <c r="V553" s="13" t="s">
        <v>749</v>
      </c>
      <c r="W553" s="59">
        <f>+J553/$W$2</f>
        <v>1.6032682465037126E-4</v>
      </c>
    </row>
    <row r="554" spans="1:29">
      <c r="A554" s="13" t="s">
        <v>413</v>
      </c>
      <c r="B554" s="13" t="s">
        <v>404</v>
      </c>
      <c r="C554" s="138">
        <v>46282</v>
      </c>
      <c r="D554" s="138" t="s">
        <v>424</v>
      </c>
      <c r="E554" s="28">
        <v>0.98023420000000006</v>
      </c>
      <c r="F554" s="13"/>
      <c r="G554" s="18">
        <v>15355310.449999999</v>
      </c>
      <c r="H554" s="18">
        <v>15051800.42</v>
      </c>
      <c r="I554" s="18">
        <v>15355310.449999999</v>
      </c>
      <c r="J554" s="18">
        <v>15051800.42</v>
      </c>
      <c r="K554" s="15">
        <v>30746</v>
      </c>
      <c r="L554" s="13" t="s">
        <v>102</v>
      </c>
      <c r="M554" s="13" t="s">
        <v>103</v>
      </c>
      <c r="N554" s="138" t="s">
        <v>330</v>
      </c>
      <c r="O554" s="138" t="s">
        <v>330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953</v>
      </c>
      <c r="V554" s="13" t="s">
        <v>953</v>
      </c>
      <c r="W554" s="59">
        <f>+J554/$W$2</f>
        <v>2.4633887861359445E-4</v>
      </c>
    </row>
    <row r="555" spans="1:29">
      <c r="A555" s="13" t="s">
        <v>413</v>
      </c>
      <c r="B555" s="13" t="s">
        <v>404</v>
      </c>
      <c r="C555" s="138">
        <v>46282</v>
      </c>
      <c r="D555" s="138" t="s">
        <v>424</v>
      </c>
      <c r="E555" s="28">
        <v>0.97962908999999998</v>
      </c>
      <c r="F555" s="13"/>
      <c r="G555" s="18">
        <v>16005575.68</v>
      </c>
      <c r="H555" s="18">
        <v>15679527.460000001</v>
      </c>
      <c r="I555" s="18">
        <v>16005575.68</v>
      </c>
      <c r="J555" s="18">
        <v>15679527.460000001</v>
      </c>
      <c r="K555" s="15">
        <v>30722</v>
      </c>
      <c r="L555" s="13" t="s">
        <v>102</v>
      </c>
      <c r="M555" s="13" t="s">
        <v>103</v>
      </c>
      <c r="N555" s="138" t="s">
        <v>391</v>
      </c>
      <c r="O555" s="138" t="s">
        <v>391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785</v>
      </c>
      <c r="V555" s="13" t="s">
        <v>785</v>
      </c>
      <c r="W555" s="59">
        <f>+J555/$W$2</f>
        <v>2.5661230576477849E-4</v>
      </c>
    </row>
    <row r="556" spans="1:29">
      <c r="A556" s="13" t="s">
        <v>356</v>
      </c>
      <c r="B556" s="13" t="s">
        <v>404</v>
      </c>
      <c r="C556" s="138">
        <v>46282</v>
      </c>
      <c r="D556" s="138" t="s">
        <v>424</v>
      </c>
      <c r="E556" s="28">
        <v>0.98023420000000006</v>
      </c>
      <c r="F556" s="13"/>
      <c r="G556" s="18">
        <v>10000000</v>
      </c>
      <c r="H556" s="18">
        <v>9802341.9900000002</v>
      </c>
      <c r="I556" s="18">
        <v>10000000</v>
      </c>
      <c r="J556" s="18">
        <v>9802341.9900000002</v>
      </c>
      <c r="K556" s="15">
        <v>13795878</v>
      </c>
      <c r="L556" s="13" t="s">
        <v>102</v>
      </c>
      <c r="M556" s="13" t="s">
        <v>103</v>
      </c>
      <c r="N556" s="138" t="s">
        <v>330</v>
      </c>
      <c r="O556" s="138" t="s">
        <v>330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944</v>
      </c>
      <c r="V556" s="13" t="s">
        <v>944</v>
      </c>
      <c r="W556" s="59">
        <f>+J556/$W$2</f>
        <v>1.6042585379985727E-4</v>
      </c>
    </row>
    <row r="557" spans="1:29">
      <c r="A557" s="13" t="s">
        <v>356</v>
      </c>
      <c r="B557" s="13" t="s">
        <v>404</v>
      </c>
      <c r="C557" s="138">
        <v>46282</v>
      </c>
      <c r="D557" s="138" t="s">
        <v>424</v>
      </c>
      <c r="E557" s="28">
        <v>0.97962912000000002</v>
      </c>
      <c r="F557" s="13"/>
      <c r="G557" s="18">
        <v>40000000</v>
      </c>
      <c r="H557" s="18">
        <v>39185164.859999999</v>
      </c>
      <c r="I557" s="18">
        <v>40000000</v>
      </c>
      <c r="J557" s="18">
        <v>39185164.859999999</v>
      </c>
      <c r="K557" s="15">
        <v>13662783</v>
      </c>
      <c r="L557" s="13" t="s">
        <v>102</v>
      </c>
      <c r="M557" s="13" t="s">
        <v>103</v>
      </c>
      <c r="N557" s="138" t="s">
        <v>282</v>
      </c>
      <c r="O557" s="138" t="s">
        <v>282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842</v>
      </c>
      <c r="V557" s="13" t="s">
        <v>842</v>
      </c>
      <c r="W557" s="59">
        <f>+J557/$W$2</f>
        <v>6.4130730547523618E-4</v>
      </c>
    </row>
    <row r="558" spans="1:29">
      <c r="A558" s="13" t="s">
        <v>2227</v>
      </c>
      <c r="B558" s="13" t="s">
        <v>404</v>
      </c>
      <c r="C558" s="138">
        <v>46282</v>
      </c>
      <c r="D558" s="138" t="s">
        <v>424</v>
      </c>
      <c r="E558" s="28">
        <v>0.98266217</v>
      </c>
      <c r="F558" s="13"/>
      <c r="G558" s="18">
        <v>6114926.9199999999</v>
      </c>
      <c r="H558" s="18">
        <v>6008907.3399999999</v>
      </c>
      <c r="I558" s="18">
        <v>6114926.9199999999</v>
      </c>
      <c r="J558" s="18">
        <v>6008907.3399999999</v>
      </c>
      <c r="K558" s="15">
        <v>5397</v>
      </c>
      <c r="L558" s="13" t="s">
        <v>102</v>
      </c>
      <c r="M558" s="13" t="s">
        <v>103</v>
      </c>
      <c r="N558" s="138" t="s">
        <v>639</v>
      </c>
      <c r="O558" s="138" t="s">
        <v>639</v>
      </c>
      <c r="P558" s="28">
        <v>28</v>
      </c>
      <c r="Q558" s="13" t="s">
        <v>54</v>
      </c>
      <c r="R558" s="13" t="s">
        <v>28</v>
      </c>
      <c r="S558" s="13"/>
      <c r="T558" s="13"/>
      <c r="U558" s="13" t="s">
        <v>2206</v>
      </c>
      <c r="V558" s="13" t="s">
        <v>2206</v>
      </c>
      <c r="W558" s="59">
        <f>+J558/$W$2</f>
        <v>9.8342221828941637E-5</v>
      </c>
    </row>
    <row r="559" spans="1:29">
      <c r="A559" s="13" t="s">
        <v>2517</v>
      </c>
      <c r="B559" s="13" t="s">
        <v>404</v>
      </c>
      <c r="C559" s="138">
        <v>46282</v>
      </c>
      <c r="D559" s="138" t="s">
        <v>424</v>
      </c>
      <c r="E559" s="28">
        <v>0.97902473999999995</v>
      </c>
      <c r="F559" s="13"/>
      <c r="G559" s="18">
        <v>7498343.4000000004</v>
      </c>
      <c r="H559" s="18">
        <v>7341063.7300000004</v>
      </c>
      <c r="I559" s="18">
        <v>7498343.4000000004</v>
      </c>
      <c r="J559" s="18">
        <v>7341063.7300000004</v>
      </c>
      <c r="K559" s="15">
        <v>7185</v>
      </c>
      <c r="L559" s="13" t="s">
        <v>102</v>
      </c>
      <c r="M559" s="13" t="s">
        <v>103</v>
      </c>
      <c r="N559" s="138" t="s">
        <v>170</v>
      </c>
      <c r="O559" s="138" t="s">
        <v>170</v>
      </c>
      <c r="P559" s="28">
        <v>34</v>
      </c>
      <c r="Q559" s="13" t="s">
        <v>54</v>
      </c>
      <c r="R559" s="13" t="s">
        <v>28</v>
      </c>
      <c r="S559" s="13"/>
      <c r="T559" s="13"/>
      <c r="U559" s="13" t="s">
        <v>2495</v>
      </c>
      <c r="V559" s="13" t="s">
        <v>2495</v>
      </c>
      <c r="W559" s="59">
        <f>+J559/$W$2</f>
        <v>1.2014439180818817E-4</v>
      </c>
    </row>
    <row r="560" spans="1:29">
      <c r="A560" s="13" t="s">
        <v>409</v>
      </c>
      <c r="B560" s="13" t="s">
        <v>404</v>
      </c>
      <c r="C560" s="138">
        <v>46282</v>
      </c>
      <c r="D560" s="138" t="s">
        <v>424</v>
      </c>
      <c r="E560" s="28">
        <v>0.97962910999999997</v>
      </c>
      <c r="F560" s="13"/>
      <c r="G560" s="18">
        <v>12500000</v>
      </c>
      <c r="H560" s="18">
        <v>12245363.84</v>
      </c>
      <c r="I560" s="18">
        <v>12500000</v>
      </c>
      <c r="J560" s="18">
        <v>12245363.84</v>
      </c>
      <c r="K560" s="15">
        <v>1359</v>
      </c>
      <c r="L560" s="13" t="s">
        <v>102</v>
      </c>
      <c r="M560" s="13" t="s">
        <v>103</v>
      </c>
      <c r="N560" s="138" t="s">
        <v>373</v>
      </c>
      <c r="O560" s="138" t="s">
        <v>373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776</v>
      </c>
      <c r="V560" s="13" t="s">
        <v>776</v>
      </c>
      <c r="W560" s="59">
        <f>+J560/$W$2</f>
        <v>2.0040853003557558E-4</v>
      </c>
    </row>
    <row r="561" spans="1:29">
      <c r="A561" s="13" t="s">
        <v>337</v>
      </c>
      <c r="B561" s="13" t="s">
        <v>404</v>
      </c>
      <c r="C561" s="138">
        <v>46282</v>
      </c>
      <c r="D561" s="138" t="s">
        <v>424</v>
      </c>
      <c r="E561" s="28">
        <v>0.98144666000000003</v>
      </c>
      <c r="F561" s="13"/>
      <c r="G561" s="18">
        <v>100000000</v>
      </c>
      <c r="H561" s="18">
        <v>98144665.700000003</v>
      </c>
      <c r="I561" s="18">
        <v>100000000</v>
      </c>
      <c r="J561" s="18">
        <v>98144665.700000003</v>
      </c>
      <c r="K561" s="15">
        <v>6601</v>
      </c>
      <c r="L561" s="13" t="s">
        <v>102</v>
      </c>
      <c r="M561" s="13" t="s">
        <v>103</v>
      </c>
      <c r="N561" s="138" t="s">
        <v>326</v>
      </c>
      <c r="O561" s="138" t="s">
        <v>326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758</v>
      </c>
      <c r="V561" s="13" t="s">
        <v>758</v>
      </c>
      <c r="W561" s="59">
        <f>+J561/$W$2</f>
        <v>1.6062428557263655E-3</v>
      </c>
    </row>
    <row r="562" spans="1:29">
      <c r="A562" s="13" t="s">
        <v>756</v>
      </c>
      <c r="B562" s="13" t="s">
        <v>404</v>
      </c>
      <c r="C562" s="138">
        <v>46282</v>
      </c>
      <c r="D562" s="138" t="s">
        <v>424</v>
      </c>
      <c r="E562" s="28">
        <v>0.97601417000000001</v>
      </c>
      <c r="F562" s="13"/>
      <c r="G562" s="18">
        <v>12825509.390000001</v>
      </c>
      <c r="H562" s="18">
        <v>12517878.9</v>
      </c>
      <c r="I562" s="18">
        <v>12825509.390000001</v>
      </c>
      <c r="J562" s="18">
        <v>12517878.9</v>
      </c>
      <c r="K562" s="15">
        <v>53243197</v>
      </c>
      <c r="L562" s="13" t="s">
        <v>102</v>
      </c>
      <c r="M562" s="13" t="s">
        <v>103</v>
      </c>
      <c r="N562" s="138" t="s">
        <v>372</v>
      </c>
      <c r="O562" s="138" t="s">
        <v>372</v>
      </c>
      <c r="P562" s="28">
        <v>39</v>
      </c>
      <c r="Q562" s="13" t="s">
        <v>54</v>
      </c>
      <c r="R562" s="13" t="s">
        <v>28</v>
      </c>
      <c r="S562" s="13"/>
      <c r="T562" s="13"/>
      <c r="U562" s="13" t="s">
        <v>752</v>
      </c>
      <c r="V562" s="13" t="s">
        <v>752</v>
      </c>
      <c r="W562" s="59">
        <f>+J562/$W$2</f>
        <v>2.0486853165747567E-4</v>
      </c>
    </row>
    <row r="563" spans="1:29">
      <c r="A563" s="13" t="s">
        <v>960</v>
      </c>
      <c r="B563" s="13" t="s">
        <v>404</v>
      </c>
      <c r="C563" s="138">
        <v>46282</v>
      </c>
      <c r="D563" s="138" t="s">
        <v>424</v>
      </c>
      <c r="E563" s="28">
        <v>0.98023420999999999</v>
      </c>
      <c r="F563" s="13"/>
      <c r="G563" s="18">
        <v>1000000</v>
      </c>
      <c r="H563" s="18">
        <v>980234.21</v>
      </c>
      <c r="I563" s="18">
        <v>1000000</v>
      </c>
      <c r="J563" s="18">
        <v>980234.21</v>
      </c>
      <c r="K563" s="15">
        <v>67381734</v>
      </c>
      <c r="L563" s="13" t="s">
        <v>102</v>
      </c>
      <c r="M563" s="13" t="s">
        <v>103</v>
      </c>
      <c r="N563" s="138" t="s">
        <v>330</v>
      </c>
      <c r="O563" s="138" t="s">
        <v>330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969</v>
      </c>
      <c r="V563" s="13" t="s">
        <v>969</v>
      </c>
      <c r="W563" s="59">
        <f>+J563/$W$2</f>
        <v>1.604258556001254E-5</v>
      </c>
      <c r="AC563" s="56"/>
    </row>
    <row r="564" spans="1:29">
      <c r="A564" s="13" t="s">
        <v>1668</v>
      </c>
      <c r="B564" s="13" t="s">
        <v>404</v>
      </c>
      <c r="C564" s="138">
        <v>46282</v>
      </c>
      <c r="D564" s="138" t="s">
        <v>424</v>
      </c>
      <c r="E564" s="28">
        <v>0.98144671999999999</v>
      </c>
      <c r="F564" s="13"/>
      <c r="G564" s="18">
        <v>2870567.11</v>
      </c>
      <c r="H564" s="18">
        <v>2817308.67</v>
      </c>
      <c r="I564" s="18">
        <v>2870567.11</v>
      </c>
      <c r="J564" s="18">
        <v>2817308.67</v>
      </c>
      <c r="K564" s="15">
        <v>103</v>
      </c>
      <c r="L564" s="13" t="s">
        <v>102</v>
      </c>
      <c r="M564" s="13" t="s">
        <v>103</v>
      </c>
      <c r="N564" s="138" t="s">
        <v>383</v>
      </c>
      <c r="O564" s="138" t="s">
        <v>383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1647</v>
      </c>
      <c r="V564" s="13" t="s">
        <v>1647</v>
      </c>
      <c r="W564" s="59">
        <f>+J564/$W$2</f>
        <v>4.6108282006848273E-5</v>
      </c>
    </row>
    <row r="565" spans="1:29">
      <c r="A565" s="13" t="s">
        <v>1349</v>
      </c>
      <c r="B565" s="13" t="s">
        <v>404</v>
      </c>
      <c r="C565" s="138">
        <v>46283</v>
      </c>
      <c r="D565" s="138" t="s">
        <v>424</v>
      </c>
      <c r="E565" s="28">
        <v>0.98065566999999998</v>
      </c>
      <c r="F565" s="13"/>
      <c r="G565" s="18">
        <v>2000000</v>
      </c>
      <c r="H565" s="18">
        <v>1961311.33</v>
      </c>
      <c r="I565" s="18">
        <v>2000000</v>
      </c>
      <c r="J565" s="18">
        <v>1961311.33</v>
      </c>
      <c r="K565" s="15">
        <v>9806</v>
      </c>
      <c r="L565" s="13" t="s">
        <v>102</v>
      </c>
      <c r="M565" s="13" t="s">
        <v>103</v>
      </c>
      <c r="N565" s="138" t="s">
        <v>173</v>
      </c>
      <c r="O565" s="138" t="s">
        <v>173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2007</v>
      </c>
      <c r="V565" s="13" t="s">
        <v>2007</v>
      </c>
      <c r="W565" s="59">
        <f>+J565/$W$2</f>
        <v>3.2098966247410395E-5</v>
      </c>
    </row>
    <row r="566" spans="1:29">
      <c r="A566" s="13" t="s">
        <v>348</v>
      </c>
      <c r="B566" s="13" t="s">
        <v>404</v>
      </c>
      <c r="C566" s="138">
        <v>46283</v>
      </c>
      <c r="D566" s="138" t="s">
        <v>424</v>
      </c>
      <c r="E566" s="28">
        <v>0.97939261</v>
      </c>
      <c r="F566" s="13"/>
      <c r="G566" s="18">
        <v>6428571.6799999997</v>
      </c>
      <c r="H566" s="18">
        <v>6296095.5999999996</v>
      </c>
      <c r="I566" s="18">
        <v>6428571.6799999997</v>
      </c>
      <c r="J566" s="18">
        <v>6296095.5999999996</v>
      </c>
      <c r="K566" s="15">
        <v>3488</v>
      </c>
      <c r="L566" s="13" t="s">
        <v>102</v>
      </c>
      <c r="M566" s="13" t="s">
        <v>103</v>
      </c>
      <c r="N566" s="138" t="s">
        <v>421</v>
      </c>
      <c r="O566" s="138" t="s">
        <v>421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1369</v>
      </c>
      <c r="V566" s="13" t="s">
        <v>1369</v>
      </c>
      <c r="W566" s="59">
        <f>+J566/$W$2</f>
        <v>1.0304236612698764E-4</v>
      </c>
    </row>
    <row r="567" spans="1:29">
      <c r="A567" s="13" t="s">
        <v>763</v>
      </c>
      <c r="B567" s="13" t="s">
        <v>404</v>
      </c>
      <c r="C567" s="138">
        <v>46283</v>
      </c>
      <c r="D567" s="138" t="s">
        <v>424</v>
      </c>
      <c r="E567" s="28">
        <v>0.97624913999999996</v>
      </c>
      <c r="F567" s="13"/>
      <c r="G567" s="18">
        <v>3345657.98</v>
      </c>
      <c r="H567" s="18">
        <v>3266195.71</v>
      </c>
      <c r="I567" s="18">
        <v>3345657.98</v>
      </c>
      <c r="J567" s="18">
        <v>3266195.71</v>
      </c>
      <c r="K567" s="15">
        <v>252</v>
      </c>
      <c r="L567" s="13" t="s">
        <v>102</v>
      </c>
      <c r="M567" s="13" t="s">
        <v>103</v>
      </c>
      <c r="N567" s="138" t="s">
        <v>355</v>
      </c>
      <c r="O567" s="138" t="s">
        <v>355</v>
      </c>
      <c r="P567" s="28">
        <v>37</v>
      </c>
      <c r="Q567" s="13" t="s">
        <v>54</v>
      </c>
      <c r="R567" s="13" t="s">
        <v>28</v>
      </c>
      <c r="S567" s="13"/>
      <c r="T567" s="13"/>
      <c r="U567" s="13" t="s">
        <v>1202</v>
      </c>
      <c r="V567" s="13" t="s">
        <v>1202</v>
      </c>
      <c r="W567" s="59">
        <f>+J567/$W$2</f>
        <v>5.3454800494486825E-5</v>
      </c>
    </row>
    <row r="568" spans="1:29">
      <c r="A568" s="13" t="s">
        <v>537</v>
      </c>
      <c r="B568" s="13" t="s">
        <v>404</v>
      </c>
      <c r="C568" s="138">
        <v>46283</v>
      </c>
      <c r="D568" s="138" t="s">
        <v>424</v>
      </c>
      <c r="E568" s="28">
        <v>0.98002363999999997</v>
      </c>
      <c r="F568" s="13"/>
      <c r="G568" s="18">
        <v>3000000</v>
      </c>
      <c r="H568" s="18">
        <v>2940070.92</v>
      </c>
      <c r="I568" s="18">
        <v>3000000</v>
      </c>
      <c r="J568" s="18">
        <v>2940070.92</v>
      </c>
      <c r="K568" s="15">
        <v>90003467</v>
      </c>
      <c r="L568" s="13" t="s">
        <v>102</v>
      </c>
      <c r="M568" s="13" t="s">
        <v>103</v>
      </c>
      <c r="N568" s="138" t="s">
        <v>289</v>
      </c>
      <c r="O568" s="138" t="s">
        <v>289</v>
      </c>
      <c r="P568" s="28">
        <v>31</v>
      </c>
      <c r="Q568" s="13" t="s">
        <v>54</v>
      </c>
      <c r="R568" s="13" t="s">
        <v>28</v>
      </c>
      <c r="S568" s="13"/>
      <c r="T568" s="13"/>
      <c r="U568" s="13" t="s">
        <v>604</v>
      </c>
      <c r="V568" s="13" t="s">
        <v>604</v>
      </c>
      <c r="W568" s="59">
        <f>+J568/$W$2</f>
        <v>4.811741806746857E-5</v>
      </c>
    </row>
    <row r="569" spans="1:29">
      <c r="A569" s="13" t="s">
        <v>1054</v>
      </c>
      <c r="B569" s="13" t="s">
        <v>404</v>
      </c>
      <c r="C569" s="138">
        <v>46283</v>
      </c>
      <c r="D569" s="138" t="s">
        <v>424</v>
      </c>
      <c r="E569" s="28">
        <v>0.98065559999999996</v>
      </c>
      <c r="F569" s="13"/>
      <c r="G569" s="18">
        <v>2868835.67</v>
      </c>
      <c r="H569" s="18">
        <v>2813339.76</v>
      </c>
      <c r="I569" s="18">
        <v>2868835.67</v>
      </c>
      <c r="J569" s="18">
        <v>2813339.76</v>
      </c>
      <c r="K569" s="15">
        <v>6278</v>
      </c>
      <c r="L569" s="13" t="s">
        <v>102</v>
      </c>
      <c r="M569" s="13" t="s">
        <v>103</v>
      </c>
      <c r="N569" s="138" t="s">
        <v>162</v>
      </c>
      <c r="O569" s="138" t="s">
        <v>162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1051</v>
      </c>
      <c r="V569" s="13" t="s">
        <v>1051</v>
      </c>
      <c r="W569" s="59">
        <f>+J569/$W$2</f>
        <v>4.6043326532324494E-5</v>
      </c>
    </row>
    <row r="570" spans="1:29">
      <c r="A570" s="13" t="s">
        <v>2210</v>
      </c>
      <c r="B570" s="13" t="s">
        <v>404</v>
      </c>
      <c r="C570" s="138">
        <v>46283</v>
      </c>
      <c r="D570" s="138" t="s">
        <v>424</v>
      </c>
      <c r="E570" s="28">
        <v>0.98192193000000005</v>
      </c>
      <c r="F570" s="13"/>
      <c r="G570" s="18">
        <v>7098063.4299999997</v>
      </c>
      <c r="H570" s="18">
        <v>6969744.1399999997</v>
      </c>
      <c r="I570" s="18">
        <v>7098063.4299999997</v>
      </c>
      <c r="J570" s="18">
        <v>6969744.1399999997</v>
      </c>
      <c r="K570" s="15">
        <v>90027048</v>
      </c>
      <c r="L570" s="13" t="s">
        <v>102</v>
      </c>
      <c r="M570" s="13" t="s">
        <v>103</v>
      </c>
      <c r="N570" s="138" t="s">
        <v>639</v>
      </c>
      <c r="O570" s="138" t="s">
        <v>639</v>
      </c>
      <c r="P570" s="28">
        <v>28</v>
      </c>
      <c r="Q570" s="13" t="s">
        <v>54</v>
      </c>
      <c r="R570" s="13" t="s">
        <v>28</v>
      </c>
      <c r="S570" s="13"/>
      <c r="T570" s="13"/>
      <c r="U570" s="13" t="s">
        <v>2202</v>
      </c>
      <c r="V570" s="13" t="s">
        <v>2202</v>
      </c>
      <c r="W570" s="59">
        <f>+J570/$W$2</f>
        <v>1.1406734794263711E-4</v>
      </c>
      <c r="AC570" s="56"/>
    </row>
    <row r="571" spans="1:29">
      <c r="A571" s="13" t="s">
        <v>410</v>
      </c>
      <c r="B571" s="13" t="s">
        <v>404</v>
      </c>
      <c r="C571" s="138">
        <v>46283</v>
      </c>
      <c r="D571" s="138" t="s">
        <v>424</v>
      </c>
      <c r="E571" s="28">
        <v>0.97562289999999996</v>
      </c>
      <c r="F571" s="13"/>
      <c r="G571" s="18">
        <v>15000000</v>
      </c>
      <c r="H571" s="18">
        <v>14634343.449999999</v>
      </c>
      <c r="I571" s="18">
        <v>15000000</v>
      </c>
      <c r="J571" s="18">
        <v>14634343.449999999</v>
      </c>
      <c r="K571" s="15">
        <v>70219557</v>
      </c>
      <c r="L571" s="13" t="s">
        <v>102</v>
      </c>
      <c r="M571" s="13" t="s">
        <v>103</v>
      </c>
      <c r="N571" s="138" t="s">
        <v>339</v>
      </c>
      <c r="O571" s="138" t="s">
        <v>339</v>
      </c>
      <c r="P571" s="28">
        <v>38</v>
      </c>
      <c r="Q571" s="13" t="s">
        <v>54</v>
      </c>
      <c r="R571" s="13" t="s">
        <v>28</v>
      </c>
      <c r="S571" s="13"/>
      <c r="T571" s="13"/>
      <c r="U571" s="13" t="s">
        <v>1580</v>
      </c>
      <c r="V571" s="13" t="s">
        <v>1580</v>
      </c>
      <c r="W571" s="59">
        <f>+J571/$W$2</f>
        <v>2.3950674697553566E-4</v>
      </c>
    </row>
    <row r="572" spans="1:29">
      <c r="A572" s="13" t="s">
        <v>428</v>
      </c>
      <c r="B572" s="13" t="s">
        <v>404</v>
      </c>
      <c r="C572" s="138">
        <v>46283</v>
      </c>
      <c r="D572" s="138" t="s">
        <v>424</v>
      </c>
      <c r="E572" s="28">
        <v>0.97813275</v>
      </c>
      <c r="F572" s="13"/>
      <c r="G572" s="18">
        <v>15432750</v>
      </c>
      <c r="H572" s="18">
        <v>15095278.220000001</v>
      </c>
      <c r="I572" s="18">
        <v>15432750</v>
      </c>
      <c r="J572" s="18">
        <v>15095278.220000001</v>
      </c>
      <c r="K572" s="15">
        <v>626</v>
      </c>
      <c r="L572" s="13" t="s">
        <v>102</v>
      </c>
      <c r="M572" s="13" t="s">
        <v>103</v>
      </c>
      <c r="N572" s="138" t="s">
        <v>464</v>
      </c>
      <c r="O572" s="138" t="s">
        <v>464</v>
      </c>
      <c r="P572" s="28">
        <v>34</v>
      </c>
      <c r="Q572" s="13" t="s">
        <v>54</v>
      </c>
      <c r="R572" s="13" t="s">
        <v>28</v>
      </c>
      <c r="S572" s="13"/>
      <c r="T572" s="13"/>
      <c r="U572" s="13" t="s">
        <v>2539</v>
      </c>
      <c r="V572" s="13" t="s">
        <v>2539</v>
      </c>
      <c r="W572" s="59">
        <f>+J572/$W$2</f>
        <v>2.4705043950317118E-4</v>
      </c>
    </row>
    <row r="573" spans="1:29">
      <c r="A573" s="13" t="s">
        <v>466</v>
      </c>
      <c r="B573" s="13" t="s">
        <v>404</v>
      </c>
      <c r="C573" s="138">
        <v>46283</v>
      </c>
      <c r="D573" s="138" t="s">
        <v>424</v>
      </c>
      <c r="E573" s="28">
        <v>0.98192190999999995</v>
      </c>
      <c r="F573" s="13"/>
      <c r="G573" s="18">
        <v>10000000</v>
      </c>
      <c r="H573" s="18">
        <v>9819219.1500000004</v>
      </c>
      <c r="I573" s="18">
        <v>10000000</v>
      </c>
      <c r="J573" s="18">
        <v>9819219.1500000004</v>
      </c>
      <c r="K573" s="15">
        <v>360565</v>
      </c>
      <c r="L573" s="13" t="s">
        <v>102</v>
      </c>
      <c r="M573" s="13" t="s">
        <v>103</v>
      </c>
      <c r="N573" s="138" t="s">
        <v>308</v>
      </c>
      <c r="O573" s="138" t="s">
        <v>308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550</v>
      </c>
      <c r="V573" s="13" t="s">
        <v>550</v>
      </c>
      <c r="W573" s="59">
        <f>+J573/$W$2</f>
        <v>1.607020666483254E-4</v>
      </c>
      <c r="AC573" s="56"/>
    </row>
    <row r="574" spans="1:29">
      <c r="A574" s="13" t="s">
        <v>375</v>
      </c>
      <c r="B574" s="13" t="s">
        <v>404</v>
      </c>
      <c r="C574" s="138">
        <v>46283</v>
      </c>
      <c r="D574" s="138" t="s">
        <v>424</v>
      </c>
      <c r="E574" s="28">
        <v>0.97876231000000002</v>
      </c>
      <c r="F574" s="13"/>
      <c r="G574" s="18">
        <v>5000000</v>
      </c>
      <c r="H574" s="18">
        <v>4893811.55</v>
      </c>
      <c r="I574" s="18">
        <v>5000000</v>
      </c>
      <c r="J574" s="18">
        <v>4893811.55</v>
      </c>
      <c r="K574" s="15">
        <v>3046</v>
      </c>
      <c r="L574" s="13" t="s">
        <v>102</v>
      </c>
      <c r="M574" s="13" t="s">
        <v>103</v>
      </c>
      <c r="N574" s="138" t="s">
        <v>161</v>
      </c>
      <c r="O574" s="138" t="s">
        <v>161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1693</v>
      </c>
      <c r="V574" s="13" t="s">
        <v>1693</v>
      </c>
      <c r="W574" s="59">
        <f>+J574/$W$2</f>
        <v>8.0092481678896495E-5</v>
      </c>
    </row>
    <row r="575" spans="1:29">
      <c r="A575" s="13" t="s">
        <v>405</v>
      </c>
      <c r="B575" s="13" t="s">
        <v>404</v>
      </c>
      <c r="C575" s="138">
        <v>46283</v>
      </c>
      <c r="D575" s="138" t="s">
        <v>424</v>
      </c>
      <c r="E575" s="28">
        <v>0.98065557000000003</v>
      </c>
      <c r="F575" s="13"/>
      <c r="G575" s="18">
        <v>10000000</v>
      </c>
      <c r="H575" s="18">
        <v>9806555.75</v>
      </c>
      <c r="I575" s="18">
        <v>10000000</v>
      </c>
      <c r="J575" s="18">
        <v>9806555.75</v>
      </c>
      <c r="K575" s="15">
        <v>673</v>
      </c>
      <c r="L575" s="13" t="s">
        <v>102</v>
      </c>
      <c r="M575" s="13" t="s">
        <v>103</v>
      </c>
      <c r="N575" s="138" t="s">
        <v>312</v>
      </c>
      <c r="O575" s="138" t="s">
        <v>312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1082</v>
      </c>
      <c r="V575" s="13" t="s">
        <v>1082</v>
      </c>
      <c r="W575" s="59">
        <f>+J575/$W$2</f>
        <v>1.6049481650758541E-4</v>
      </c>
    </row>
    <row r="576" spans="1:29">
      <c r="A576" s="13" t="s">
        <v>405</v>
      </c>
      <c r="B576" s="13" t="s">
        <v>404</v>
      </c>
      <c r="C576" s="138">
        <v>46283</v>
      </c>
      <c r="D576" s="138" t="s">
        <v>424</v>
      </c>
      <c r="E576" s="28">
        <v>0.98065570999999996</v>
      </c>
      <c r="F576" s="13"/>
      <c r="G576" s="18">
        <v>4000000</v>
      </c>
      <c r="H576" s="18">
        <v>3922622.85</v>
      </c>
      <c r="I576" s="18">
        <v>4000000</v>
      </c>
      <c r="J576" s="18">
        <v>3922622.85</v>
      </c>
      <c r="K576" s="15">
        <v>858</v>
      </c>
      <c r="L576" s="13" t="s">
        <v>102</v>
      </c>
      <c r="M576" s="13" t="s">
        <v>103</v>
      </c>
      <c r="N576" s="138" t="s">
        <v>416</v>
      </c>
      <c r="O576" s="138" t="s">
        <v>416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2033</v>
      </c>
      <c r="V576" s="13" t="s">
        <v>2033</v>
      </c>
      <c r="W576" s="59">
        <f>+J576/$W$2</f>
        <v>6.4197935604374826E-5</v>
      </c>
    </row>
    <row r="577" spans="1:29">
      <c r="A577" s="13" t="s">
        <v>1744</v>
      </c>
      <c r="B577" s="13" t="s">
        <v>404</v>
      </c>
      <c r="C577" s="138">
        <v>46283</v>
      </c>
      <c r="D577" s="138" t="s">
        <v>424</v>
      </c>
      <c r="E577" s="28">
        <v>0.97939251000000005</v>
      </c>
      <c r="F577" s="13"/>
      <c r="G577" s="18">
        <v>2097348.4</v>
      </c>
      <c r="H577" s="18">
        <v>2054127.32</v>
      </c>
      <c r="I577" s="18">
        <v>2097348.4</v>
      </c>
      <c r="J577" s="18">
        <v>2054127.32</v>
      </c>
      <c r="K577" s="15">
        <v>76510840</v>
      </c>
      <c r="L577" s="13" t="s">
        <v>102</v>
      </c>
      <c r="M577" s="13" t="s">
        <v>103</v>
      </c>
      <c r="N577" s="138" t="s">
        <v>387</v>
      </c>
      <c r="O577" s="138" t="s">
        <v>387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1727</v>
      </c>
      <c r="V577" s="13" t="s">
        <v>1727</v>
      </c>
      <c r="W577" s="59">
        <f>+J577/$W$2</f>
        <v>3.3617999602624822E-5</v>
      </c>
    </row>
    <row r="578" spans="1:29">
      <c r="A578" s="13" t="s">
        <v>405</v>
      </c>
      <c r="B578" s="13" t="s">
        <v>404</v>
      </c>
      <c r="C578" s="138">
        <v>46283</v>
      </c>
      <c r="D578" s="138" t="s">
        <v>424</v>
      </c>
      <c r="E578" s="28">
        <v>0.98065557000000003</v>
      </c>
      <c r="F578" s="13"/>
      <c r="G578" s="18">
        <v>10000000</v>
      </c>
      <c r="H578" s="18">
        <v>9806555.6899999995</v>
      </c>
      <c r="I578" s="18">
        <v>10000000</v>
      </c>
      <c r="J578" s="18">
        <v>9806555.6899999995</v>
      </c>
      <c r="K578" s="15">
        <v>569</v>
      </c>
      <c r="L578" s="13" t="s">
        <v>102</v>
      </c>
      <c r="M578" s="13" t="s">
        <v>103</v>
      </c>
      <c r="N578" s="138" t="s">
        <v>325</v>
      </c>
      <c r="O578" s="138" t="s">
        <v>325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844</v>
      </c>
      <c r="V578" s="13" t="s">
        <v>844</v>
      </c>
      <c r="W578" s="59">
        <f>+J578/$W$2</f>
        <v>1.6049481552562095E-4</v>
      </c>
    </row>
    <row r="579" spans="1:29">
      <c r="A579" s="13" t="s">
        <v>405</v>
      </c>
      <c r="B579" s="13" t="s">
        <v>404</v>
      </c>
      <c r="C579" s="138">
        <v>46283</v>
      </c>
      <c r="D579" s="138" t="s">
        <v>424</v>
      </c>
      <c r="E579" s="28">
        <v>0.98065557000000003</v>
      </c>
      <c r="F579" s="13"/>
      <c r="G579" s="18">
        <v>10000000</v>
      </c>
      <c r="H579" s="18">
        <v>9806555.6899999995</v>
      </c>
      <c r="I579" s="18">
        <v>10000000</v>
      </c>
      <c r="J579" s="18">
        <v>9806555.6899999995</v>
      </c>
      <c r="K579" s="15">
        <v>724</v>
      </c>
      <c r="L579" s="13" t="s">
        <v>102</v>
      </c>
      <c r="M579" s="13" t="s">
        <v>103</v>
      </c>
      <c r="N579" s="138" t="s">
        <v>163</v>
      </c>
      <c r="O579" s="138" t="s">
        <v>163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1140</v>
      </c>
      <c r="V579" s="13" t="s">
        <v>1140</v>
      </c>
      <c r="W579" s="59">
        <f>+J579/$W$2</f>
        <v>1.6049481552562095E-4</v>
      </c>
      <c r="AC579" s="56"/>
    </row>
    <row r="580" spans="1:29">
      <c r="A580" s="13" t="s">
        <v>405</v>
      </c>
      <c r="B580" s="13" t="s">
        <v>404</v>
      </c>
      <c r="C580" s="138">
        <v>46283</v>
      </c>
      <c r="D580" s="138" t="s">
        <v>424</v>
      </c>
      <c r="E580" s="28">
        <v>0.98065564999999999</v>
      </c>
      <c r="F580" s="13"/>
      <c r="G580" s="18">
        <v>5000000</v>
      </c>
      <c r="H580" s="18">
        <v>4903278.2300000004</v>
      </c>
      <c r="I580" s="18">
        <v>5000000</v>
      </c>
      <c r="J580" s="18">
        <v>4903278.2300000004</v>
      </c>
      <c r="K580" s="15">
        <v>683</v>
      </c>
      <c r="L580" s="13" t="s">
        <v>102</v>
      </c>
      <c r="M580" s="13" t="s">
        <v>103</v>
      </c>
      <c r="N580" s="138" t="s">
        <v>382</v>
      </c>
      <c r="O580" s="138" t="s">
        <v>382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1114</v>
      </c>
      <c r="V580" s="13" t="s">
        <v>1114</v>
      </c>
      <c r="W580" s="59">
        <f>+J580/$W$2</f>
        <v>8.0247414063748965E-5</v>
      </c>
    </row>
    <row r="581" spans="1:29">
      <c r="A581" s="13" t="s">
        <v>427</v>
      </c>
      <c r="B581" s="13" t="s">
        <v>404</v>
      </c>
      <c r="C581" s="138">
        <v>46283</v>
      </c>
      <c r="D581" s="138" t="s">
        <v>424</v>
      </c>
      <c r="E581" s="28">
        <v>0.97750404000000002</v>
      </c>
      <c r="F581" s="13"/>
      <c r="G581" s="18">
        <v>50000000</v>
      </c>
      <c r="H581" s="18">
        <v>48875201.93</v>
      </c>
      <c r="I581" s="18">
        <v>50000000</v>
      </c>
      <c r="J581" s="18">
        <v>48875201.93</v>
      </c>
      <c r="K581" s="15">
        <v>2873</v>
      </c>
      <c r="L581" s="13" t="s">
        <v>102</v>
      </c>
      <c r="M581" s="13" t="s">
        <v>103</v>
      </c>
      <c r="N581" s="138" t="s">
        <v>344</v>
      </c>
      <c r="O581" s="138" t="s">
        <v>344</v>
      </c>
      <c r="P581" s="28">
        <v>35</v>
      </c>
      <c r="Q581" s="13" t="s">
        <v>54</v>
      </c>
      <c r="R581" s="13" t="s">
        <v>28</v>
      </c>
      <c r="S581" s="13"/>
      <c r="T581" s="13"/>
      <c r="U581" s="13" t="s">
        <v>1031</v>
      </c>
      <c r="V581" s="13" t="s">
        <v>1031</v>
      </c>
      <c r="W581" s="59">
        <f>+J581/$W$2</f>
        <v>7.9989516865047489E-4</v>
      </c>
    </row>
    <row r="582" spans="1:29">
      <c r="A582" s="13" t="s">
        <v>218</v>
      </c>
      <c r="B582" s="13" t="s">
        <v>404</v>
      </c>
      <c r="C582" s="138">
        <v>46283</v>
      </c>
      <c r="D582" s="138" t="s">
        <v>424</v>
      </c>
      <c r="E582" s="28">
        <v>0.97876224000000001</v>
      </c>
      <c r="F582" s="13"/>
      <c r="G582" s="18">
        <v>2500000</v>
      </c>
      <c r="H582" s="18">
        <v>2446905.6</v>
      </c>
      <c r="I582" s="18">
        <v>2500000</v>
      </c>
      <c r="J582" s="18">
        <v>2446905.6</v>
      </c>
      <c r="K582" s="15">
        <v>1200</v>
      </c>
      <c r="L582" s="13" t="s">
        <v>102</v>
      </c>
      <c r="M582" s="13" t="s">
        <v>103</v>
      </c>
      <c r="N582" s="138" t="s">
        <v>156</v>
      </c>
      <c r="O582" s="138" t="s">
        <v>156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764</v>
      </c>
      <c r="V582" s="13" t="s">
        <v>764</v>
      </c>
      <c r="W582" s="59">
        <f>+J582/$W$2</f>
        <v>4.0046237975385311E-5</v>
      </c>
    </row>
    <row r="583" spans="1:29">
      <c r="A583" s="13" t="s">
        <v>1779</v>
      </c>
      <c r="B583" s="13" t="s">
        <v>404</v>
      </c>
      <c r="C583" s="138">
        <v>46283</v>
      </c>
      <c r="D583" s="138" t="s">
        <v>424</v>
      </c>
      <c r="E583" s="28">
        <v>0.97876231000000002</v>
      </c>
      <c r="F583" s="13"/>
      <c r="G583" s="18">
        <v>4750000</v>
      </c>
      <c r="H583" s="18">
        <v>4649120.9800000004</v>
      </c>
      <c r="I583" s="18">
        <v>4750000</v>
      </c>
      <c r="J583" s="18">
        <v>4649120.9800000004</v>
      </c>
      <c r="K583" s="15">
        <v>938</v>
      </c>
      <c r="L583" s="13" t="s">
        <v>102</v>
      </c>
      <c r="M583" s="13" t="s">
        <v>103</v>
      </c>
      <c r="N583" s="138" t="s">
        <v>388</v>
      </c>
      <c r="O583" s="138" t="s">
        <v>388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1861</v>
      </c>
      <c r="V583" s="13" t="s">
        <v>1861</v>
      </c>
      <c r="W583" s="59">
        <f>+J583/$W$2</f>
        <v>7.6087857717697233E-5</v>
      </c>
    </row>
    <row r="584" spans="1:29">
      <c r="A584" s="13" t="s">
        <v>413</v>
      </c>
      <c r="B584" s="13" t="s">
        <v>404</v>
      </c>
      <c r="C584" s="138">
        <v>46283</v>
      </c>
      <c r="D584" s="138" t="s">
        <v>424</v>
      </c>
      <c r="E584" s="28">
        <v>0.97939257999999996</v>
      </c>
      <c r="F584" s="13"/>
      <c r="G584" s="18">
        <v>15355310.449999999</v>
      </c>
      <c r="H584" s="18">
        <v>15038877.039999999</v>
      </c>
      <c r="I584" s="18">
        <v>15355310.449999999</v>
      </c>
      <c r="J584" s="18">
        <v>15038877.039999999</v>
      </c>
      <c r="K584" s="15">
        <v>30747</v>
      </c>
      <c r="L584" s="13" t="s">
        <v>102</v>
      </c>
      <c r="M584" s="13" t="s">
        <v>103</v>
      </c>
      <c r="N584" s="138" t="s">
        <v>330</v>
      </c>
      <c r="O584" s="138" t="s">
        <v>330</v>
      </c>
      <c r="P584" s="28">
        <v>32</v>
      </c>
      <c r="Q584" s="13" t="s">
        <v>54</v>
      </c>
      <c r="R584" s="13" t="s">
        <v>28</v>
      </c>
      <c r="S584" s="13"/>
      <c r="T584" s="13"/>
      <c r="U584" s="13" t="s">
        <v>954</v>
      </c>
      <c r="V584" s="13" t="s">
        <v>954</v>
      </c>
      <c r="W584" s="59">
        <f>+J584/$W$2</f>
        <v>2.4612737362095135E-4</v>
      </c>
    </row>
    <row r="585" spans="1:29">
      <c r="A585" s="13" t="s">
        <v>356</v>
      </c>
      <c r="B585" s="13" t="s">
        <v>404</v>
      </c>
      <c r="C585" s="138">
        <v>46283</v>
      </c>
      <c r="D585" s="138" t="s">
        <v>424</v>
      </c>
      <c r="E585" s="28">
        <v>0.97939257999999996</v>
      </c>
      <c r="F585" s="13"/>
      <c r="G585" s="18">
        <v>10000000</v>
      </c>
      <c r="H585" s="18">
        <v>9793925.75</v>
      </c>
      <c r="I585" s="18">
        <v>10000000</v>
      </c>
      <c r="J585" s="18">
        <v>9793925.75</v>
      </c>
      <c r="K585" s="15">
        <v>13795879</v>
      </c>
      <c r="L585" s="13" t="s">
        <v>102</v>
      </c>
      <c r="M585" s="13" t="s">
        <v>103</v>
      </c>
      <c r="N585" s="138" t="s">
        <v>330</v>
      </c>
      <c r="O585" s="138" t="s">
        <v>330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945</v>
      </c>
      <c r="V585" s="13" t="s">
        <v>945</v>
      </c>
      <c r="W585" s="59">
        <f>+J585/$W$2</f>
        <v>1.6028811299371502E-4</v>
      </c>
    </row>
    <row r="586" spans="1:29">
      <c r="A586" s="13" t="s">
        <v>189</v>
      </c>
      <c r="B586" s="13" t="s">
        <v>404</v>
      </c>
      <c r="C586" s="138">
        <v>46283</v>
      </c>
      <c r="D586" s="138" t="s">
        <v>424</v>
      </c>
      <c r="E586" s="28">
        <v>0.9831915</v>
      </c>
      <c r="F586" s="13"/>
      <c r="G586" s="18">
        <v>215007207.40000001</v>
      </c>
      <c r="H586" s="18">
        <v>211393257.96000001</v>
      </c>
      <c r="I586" s="18">
        <v>215007207.40000001</v>
      </c>
      <c r="J586" s="18">
        <v>211393257.96000001</v>
      </c>
      <c r="K586" s="15">
        <v>568286</v>
      </c>
      <c r="L586" s="13" t="s">
        <v>102</v>
      </c>
      <c r="M586" s="13" t="s">
        <v>103</v>
      </c>
      <c r="N586" s="138" t="s">
        <v>313</v>
      </c>
      <c r="O586" s="138" t="s">
        <v>313</v>
      </c>
      <c r="P586" s="28">
        <v>26</v>
      </c>
      <c r="Q586" s="13" t="s">
        <v>54</v>
      </c>
      <c r="R586" s="13" t="s">
        <v>28</v>
      </c>
      <c r="S586" s="13"/>
      <c r="T586" s="13"/>
      <c r="U586" s="13" t="s">
        <v>649</v>
      </c>
      <c r="V586" s="13" t="s">
        <v>649</v>
      </c>
      <c r="W586" s="59">
        <f>+J586/$W$2</f>
        <v>3.4596776903278062E-3</v>
      </c>
    </row>
    <row r="587" spans="1:29">
      <c r="A587" s="13" t="s">
        <v>189</v>
      </c>
      <c r="B587" s="13" t="s">
        <v>404</v>
      </c>
      <c r="C587" s="138">
        <v>46283</v>
      </c>
      <c r="D587" s="138" t="s">
        <v>424</v>
      </c>
      <c r="E587" s="28">
        <v>0.9831915</v>
      </c>
      <c r="F587" s="13"/>
      <c r="G587" s="18">
        <v>29857329.09</v>
      </c>
      <c r="H587" s="18">
        <v>29355472.059999999</v>
      </c>
      <c r="I587" s="18">
        <v>29857329.09</v>
      </c>
      <c r="J587" s="18">
        <v>29355472.059999999</v>
      </c>
      <c r="K587" s="15">
        <v>568285</v>
      </c>
      <c r="L587" s="13" t="s">
        <v>102</v>
      </c>
      <c r="M587" s="13" t="s">
        <v>103</v>
      </c>
      <c r="N587" s="138" t="s">
        <v>313</v>
      </c>
      <c r="O587" s="138" t="s">
        <v>313</v>
      </c>
      <c r="P587" s="28">
        <v>26</v>
      </c>
      <c r="Q587" s="13" t="s">
        <v>54</v>
      </c>
      <c r="R587" s="13" t="s">
        <v>28</v>
      </c>
      <c r="S587" s="13"/>
      <c r="T587" s="13"/>
      <c r="U587" s="13" t="s">
        <v>650</v>
      </c>
      <c r="V587" s="13" t="s">
        <v>650</v>
      </c>
      <c r="W587" s="59">
        <f>+J587/$W$2</f>
        <v>4.8043382629658226E-4</v>
      </c>
    </row>
    <row r="588" spans="1:29">
      <c r="A588" s="13" t="s">
        <v>189</v>
      </c>
      <c r="B588" s="13" t="s">
        <v>404</v>
      </c>
      <c r="C588" s="138">
        <v>46283</v>
      </c>
      <c r="D588" s="138" t="s">
        <v>424</v>
      </c>
      <c r="E588" s="28">
        <v>0.9831915</v>
      </c>
      <c r="F588" s="13"/>
      <c r="G588" s="18">
        <v>92806889.260000005</v>
      </c>
      <c r="H588" s="18">
        <v>91246944.319999993</v>
      </c>
      <c r="I588" s="18">
        <v>92806889.260000005</v>
      </c>
      <c r="J588" s="18">
        <v>91246944.319999993</v>
      </c>
      <c r="K588" s="15">
        <v>568306</v>
      </c>
      <c r="L588" s="13" t="s">
        <v>102</v>
      </c>
      <c r="M588" s="13" t="s">
        <v>103</v>
      </c>
      <c r="N588" s="138" t="s">
        <v>313</v>
      </c>
      <c r="O588" s="138" t="s">
        <v>313</v>
      </c>
      <c r="P588" s="28">
        <v>26</v>
      </c>
      <c r="Q588" s="13" t="s">
        <v>54</v>
      </c>
      <c r="R588" s="13" t="s">
        <v>28</v>
      </c>
      <c r="S588" s="13"/>
      <c r="T588" s="13"/>
      <c r="U588" s="13" t="s">
        <v>651</v>
      </c>
      <c r="V588" s="13" t="s">
        <v>651</v>
      </c>
      <c r="W588" s="59">
        <f>+J588/$W$2</f>
        <v>1.493354237599298E-3</v>
      </c>
    </row>
    <row r="589" spans="1:29">
      <c r="A589" s="13" t="s">
        <v>189</v>
      </c>
      <c r="B589" s="13" t="s">
        <v>404</v>
      </c>
      <c r="C589" s="138">
        <v>46283</v>
      </c>
      <c r="D589" s="138" t="s">
        <v>424</v>
      </c>
      <c r="E589" s="28">
        <v>0.9831915</v>
      </c>
      <c r="F589" s="13"/>
      <c r="G589" s="18">
        <v>20411147.440000001</v>
      </c>
      <c r="H589" s="18">
        <v>20068066.59</v>
      </c>
      <c r="I589" s="18">
        <v>20411147.440000001</v>
      </c>
      <c r="J589" s="18">
        <v>20068066.59</v>
      </c>
      <c r="K589" s="15">
        <v>568296</v>
      </c>
      <c r="L589" s="13" t="s">
        <v>102</v>
      </c>
      <c r="M589" s="13" t="s">
        <v>103</v>
      </c>
      <c r="N589" s="138" t="s">
        <v>313</v>
      </c>
      <c r="O589" s="138" t="s">
        <v>313</v>
      </c>
      <c r="P589" s="28">
        <v>26</v>
      </c>
      <c r="Q589" s="13" t="s">
        <v>54</v>
      </c>
      <c r="R589" s="13" t="s">
        <v>28</v>
      </c>
      <c r="S589" s="13"/>
      <c r="T589" s="13"/>
      <c r="U589" s="13" t="s">
        <v>652</v>
      </c>
      <c r="V589" s="13" t="s">
        <v>652</v>
      </c>
      <c r="W589" s="59">
        <f>+J589/$W$2</f>
        <v>3.2843546165778489E-4</v>
      </c>
    </row>
    <row r="590" spans="1:29">
      <c r="A590" s="13" t="s">
        <v>189</v>
      </c>
      <c r="B590" s="13" t="s">
        <v>404</v>
      </c>
      <c r="C590" s="138">
        <v>46283</v>
      </c>
      <c r="D590" s="138" t="s">
        <v>424</v>
      </c>
      <c r="E590" s="28">
        <v>0.9831915</v>
      </c>
      <c r="F590" s="13"/>
      <c r="G590" s="18">
        <v>68728608.280000001</v>
      </c>
      <c r="H590" s="18">
        <v>67573383.209999993</v>
      </c>
      <c r="I590" s="18">
        <v>68728608.280000001</v>
      </c>
      <c r="J590" s="18">
        <v>67573383.209999993</v>
      </c>
      <c r="K590" s="15">
        <v>568281</v>
      </c>
      <c r="L590" s="13" t="s">
        <v>102</v>
      </c>
      <c r="M590" s="13" t="s">
        <v>103</v>
      </c>
      <c r="N590" s="138" t="s">
        <v>313</v>
      </c>
      <c r="O590" s="138" t="s">
        <v>313</v>
      </c>
      <c r="P590" s="28">
        <v>26</v>
      </c>
      <c r="Q590" s="13" t="s">
        <v>54</v>
      </c>
      <c r="R590" s="13" t="s">
        <v>28</v>
      </c>
      <c r="S590" s="13"/>
      <c r="T590" s="13"/>
      <c r="U590" s="13" t="s">
        <v>653</v>
      </c>
      <c r="V590" s="13" t="s">
        <v>653</v>
      </c>
      <c r="W590" s="59">
        <f>+J590/$W$2</f>
        <v>1.1059109860345924E-3</v>
      </c>
    </row>
    <row r="591" spans="1:29">
      <c r="A591" s="13" t="s">
        <v>189</v>
      </c>
      <c r="B591" s="13" t="s">
        <v>404</v>
      </c>
      <c r="C591" s="138">
        <v>46283</v>
      </c>
      <c r="D591" s="138" t="s">
        <v>424</v>
      </c>
      <c r="E591" s="28">
        <v>0.98319148999999995</v>
      </c>
      <c r="F591" s="13"/>
      <c r="G591" s="18">
        <v>6875275.0899999999</v>
      </c>
      <c r="H591" s="18">
        <v>6759711.9900000002</v>
      </c>
      <c r="I591" s="18">
        <v>6875275.0899999999</v>
      </c>
      <c r="J591" s="18">
        <v>6759711.9900000002</v>
      </c>
      <c r="K591" s="15">
        <v>568310</v>
      </c>
      <c r="L591" s="13" t="s">
        <v>102</v>
      </c>
      <c r="M591" s="13" t="s">
        <v>103</v>
      </c>
      <c r="N591" s="138" t="s">
        <v>313</v>
      </c>
      <c r="O591" s="138" t="s">
        <v>313</v>
      </c>
      <c r="P591" s="28">
        <v>26</v>
      </c>
      <c r="Q591" s="13" t="s">
        <v>54</v>
      </c>
      <c r="R591" s="13" t="s">
        <v>28</v>
      </c>
      <c r="S591" s="13"/>
      <c r="T591" s="13"/>
      <c r="U591" s="13" t="s">
        <v>654</v>
      </c>
      <c r="V591" s="13" t="s">
        <v>654</v>
      </c>
      <c r="W591" s="59">
        <f>+J591/$W$2</f>
        <v>1.1062994624582387E-4</v>
      </c>
    </row>
    <row r="592" spans="1:29">
      <c r="A592" s="13" t="s">
        <v>189</v>
      </c>
      <c r="B592" s="13" t="s">
        <v>404</v>
      </c>
      <c r="C592" s="138">
        <v>46283</v>
      </c>
      <c r="D592" s="138" t="s">
        <v>424</v>
      </c>
      <c r="E592" s="28">
        <v>0.9831915</v>
      </c>
      <c r="F592" s="13"/>
      <c r="G592" s="18">
        <v>6937722.3200000003</v>
      </c>
      <c r="H592" s="18">
        <v>6821109.5800000001</v>
      </c>
      <c r="I592" s="18">
        <v>6937722.3200000003</v>
      </c>
      <c r="J592" s="18">
        <v>6821109.5800000001</v>
      </c>
      <c r="K592" s="15">
        <v>568313</v>
      </c>
      <c r="L592" s="13" t="s">
        <v>102</v>
      </c>
      <c r="M592" s="13" t="s">
        <v>103</v>
      </c>
      <c r="N592" s="138" t="s">
        <v>313</v>
      </c>
      <c r="O592" s="138" t="s">
        <v>313</v>
      </c>
      <c r="P592" s="28">
        <v>26</v>
      </c>
      <c r="Q592" s="13" t="s">
        <v>54</v>
      </c>
      <c r="R592" s="13" t="s">
        <v>28</v>
      </c>
      <c r="S592" s="13"/>
      <c r="T592" s="13"/>
      <c r="U592" s="13" t="s">
        <v>655</v>
      </c>
      <c r="V592" s="13" t="s">
        <v>655</v>
      </c>
      <c r="W592" s="59">
        <f>+J592/$W$2</f>
        <v>1.1163478374354146E-4</v>
      </c>
    </row>
    <row r="593" spans="1:23">
      <c r="A593" s="13" t="s">
        <v>189</v>
      </c>
      <c r="B593" s="13" t="s">
        <v>404</v>
      </c>
      <c r="C593" s="138">
        <v>46283</v>
      </c>
      <c r="D593" s="138" t="s">
        <v>424</v>
      </c>
      <c r="E593" s="28">
        <v>0.98319148999999995</v>
      </c>
      <c r="F593" s="13"/>
      <c r="G593" s="18">
        <v>3090146.07</v>
      </c>
      <c r="H593" s="18">
        <v>3038205.33</v>
      </c>
      <c r="I593" s="18">
        <v>3090146.07</v>
      </c>
      <c r="J593" s="18">
        <v>3038205.33</v>
      </c>
      <c r="K593" s="15">
        <v>568383</v>
      </c>
      <c r="L593" s="13" t="s">
        <v>102</v>
      </c>
      <c r="M593" s="13" t="s">
        <v>103</v>
      </c>
      <c r="N593" s="138" t="s">
        <v>313</v>
      </c>
      <c r="O593" s="138" t="s">
        <v>313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656</v>
      </c>
      <c r="V593" s="13" t="s">
        <v>656</v>
      </c>
      <c r="W593" s="59">
        <f>+J593/$W$2</f>
        <v>4.9723493077650424E-5</v>
      </c>
    </row>
    <row r="594" spans="1:23">
      <c r="A594" s="13" t="s">
        <v>189</v>
      </c>
      <c r="B594" s="13" t="s">
        <v>404</v>
      </c>
      <c r="C594" s="138">
        <v>46283</v>
      </c>
      <c r="D594" s="138" t="s">
        <v>424</v>
      </c>
      <c r="E594" s="28">
        <v>0.9831915</v>
      </c>
      <c r="F594" s="13"/>
      <c r="G594" s="18">
        <v>7075968.3200000003</v>
      </c>
      <c r="H594" s="18">
        <v>6957031.8799999999</v>
      </c>
      <c r="I594" s="18">
        <v>7075968.3200000003</v>
      </c>
      <c r="J594" s="18">
        <v>6957031.8799999999</v>
      </c>
      <c r="K594" s="15">
        <v>568319</v>
      </c>
      <c r="L594" s="13" t="s">
        <v>102</v>
      </c>
      <c r="M594" s="13" t="s">
        <v>103</v>
      </c>
      <c r="N594" s="138" t="s">
        <v>313</v>
      </c>
      <c r="O594" s="138" t="s">
        <v>313</v>
      </c>
      <c r="P594" s="28">
        <v>26</v>
      </c>
      <c r="Q594" s="13" t="s">
        <v>54</v>
      </c>
      <c r="R594" s="13" t="s">
        <v>28</v>
      </c>
      <c r="S594" s="13"/>
      <c r="T594" s="13"/>
      <c r="U594" s="13" t="s">
        <v>657</v>
      </c>
      <c r="V594" s="13" t="s">
        <v>657</v>
      </c>
      <c r="W594" s="59">
        <f>+J594/$W$2</f>
        <v>1.1385929815552437E-4</v>
      </c>
    </row>
    <row r="595" spans="1:23">
      <c r="A595" s="13" t="s">
        <v>189</v>
      </c>
      <c r="B595" s="13" t="s">
        <v>404</v>
      </c>
      <c r="C595" s="138">
        <v>46283</v>
      </c>
      <c r="D595" s="138" t="s">
        <v>424</v>
      </c>
      <c r="E595" s="28">
        <v>0.9831915</v>
      </c>
      <c r="F595" s="13"/>
      <c r="G595" s="18">
        <v>11809132.970000001</v>
      </c>
      <c r="H595" s="18">
        <v>11610639.109999999</v>
      </c>
      <c r="I595" s="18">
        <v>11809132.970000001</v>
      </c>
      <c r="J595" s="18">
        <v>11610639.109999999</v>
      </c>
      <c r="K595" s="15">
        <v>568322</v>
      </c>
      <c r="L595" s="13" t="s">
        <v>102</v>
      </c>
      <c r="M595" s="13" t="s">
        <v>103</v>
      </c>
      <c r="N595" s="138" t="s">
        <v>313</v>
      </c>
      <c r="O595" s="138" t="s">
        <v>313</v>
      </c>
      <c r="P595" s="28">
        <v>26</v>
      </c>
      <c r="Q595" s="13" t="s">
        <v>54</v>
      </c>
      <c r="R595" s="13" t="s">
        <v>28</v>
      </c>
      <c r="S595" s="13"/>
      <c r="T595" s="13"/>
      <c r="U595" s="13" t="s">
        <v>658</v>
      </c>
      <c r="V595" s="13" t="s">
        <v>658</v>
      </c>
      <c r="W595" s="59">
        <f>+J595/$W$2</f>
        <v>1.9002057817243782E-4</v>
      </c>
    </row>
    <row r="596" spans="1:23">
      <c r="A596" s="13" t="s">
        <v>189</v>
      </c>
      <c r="B596" s="13" t="s">
        <v>404</v>
      </c>
      <c r="C596" s="138">
        <v>46283</v>
      </c>
      <c r="D596" s="138" t="s">
        <v>424</v>
      </c>
      <c r="E596" s="28">
        <v>0.9831915</v>
      </c>
      <c r="F596" s="13"/>
      <c r="G596" s="18">
        <v>31694713.280000001</v>
      </c>
      <c r="H596" s="18">
        <v>31161972.57</v>
      </c>
      <c r="I596" s="18">
        <v>31694713.280000001</v>
      </c>
      <c r="J596" s="18">
        <v>31161972.57</v>
      </c>
      <c r="K596" s="15">
        <v>568350</v>
      </c>
      <c r="L596" s="13" t="s">
        <v>102</v>
      </c>
      <c r="M596" s="13" t="s">
        <v>103</v>
      </c>
      <c r="N596" s="138" t="s">
        <v>313</v>
      </c>
      <c r="O596" s="138" t="s">
        <v>313</v>
      </c>
      <c r="P596" s="28">
        <v>26</v>
      </c>
      <c r="Q596" s="13" t="s">
        <v>54</v>
      </c>
      <c r="R596" s="13" t="s">
        <v>28</v>
      </c>
      <c r="S596" s="13"/>
      <c r="T596" s="13"/>
      <c r="U596" s="13" t="s">
        <v>659</v>
      </c>
      <c r="V596" s="13" t="s">
        <v>659</v>
      </c>
      <c r="W596" s="59">
        <f>+J596/$W$2</f>
        <v>5.0999914721706039E-4</v>
      </c>
    </row>
    <row r="597" spans="1:23">
      <c r="A597" s="13" t="s">
        <v>189</v>
      </c>
      <c r="B597" s="13" t="s">
        <v>404</v>
      </c>
      <c r="C597" s="138">
        <v>46283</v>
      </c>
      <c r="D597" s="138" t="s">
        <v>424</v>
      </c>
      <c r="E597" s="28">
        <v>0.9831915</v>
      </c>
      <c r="F597" s="13"/>
      <c r="G597" s="18">
        <v>20011620.16</v>
      </c>
      <c r="H597" s="18">
        <v>19675254.77</v>
      </c>
      <c r="I597" s="18">
        <v>20011620.16</v>
      </c>
      <c r="J597" s="18">
        <v>19675254.77</v>
      </c>
      <c r="K597" s="15">
        <v>568324</v>
      </c>
      <c r="L597" s="13" t="s">
        <v>102</v>
      </c>
      <c r="M597" s="13" t="s">
        <v>103</v>
      </c>
      <c r="N597" s="138" t="s">
        <v>313</v>
      </c>
      <c r="O597" s="138" t="s">
        <v>313</v>
      </c>
      <c r="P597" s="28">
        <v>26</v>
      </c>
      <c r="Q597" s="13" t="s">
        <v>54</v>
      </c>
      <c r="R597" s="13" t="s">
        <v>28</v>
      </c>
      <c r="S597" s="13"/>
      <c r="T597" s="13"/>
      <c r="U597" s="13" t="s">
        <v>660</v>
      </c>
      <c r="V597" s="13" t="s">
        <v>660</v>
      </c>
      <c r="W597" s="59">
        <f>+J597/$W$2</f>
        <v>3.2200667436690445E-4</v>
      </c>
    </row>
    <row r="598" spans="1:23">
      <c r="A598" s="13" t="s">
        <v>189</v>
      </c>
      <c r="B598" s="13" t="s">
        <v>404</v>
      </c>
      <c r="C598" s="138">
        <v>46283</v>
      </c>
      <c r="D598" s="138" t="s">
        <v>424</v>
      </c>
      <c r="E598" s="28">
        <v>0.9831915</v>
      </c>
      <c r="F598" s="13"/>
      <c r="G598" s="18">
        <v>34118781</v>
      </c>
      <c r="H598" s="18">
        <v>33545295.34</v>
      </c>
      <c r="I598" s="18">
        <v>34118781</v>
      </c>
      <c r="J598" s="18">
        <v>33545295.34</v>
      </c>
      <c r="K598" s="15">
        <v>568355</v>
      </c>
      <c r="L598" s="13" t="s">
        <v>102</v>
      </c>
      <c r="M598" s="13" t="s">
        <v>103</v>
      </c>
      <c r="N598" s="138" t="s">
        <v>313</v>
      </c>
      <c r="O598" s="138" t="s">
        <v>313</v>
      </c>
      <c r="P598" s="28">
        <v>26</v>
      </c>
      <c r="Q598" s="13" t="s">
        <v>54</v>
      </c>
      <c r="R598" s="13" t="s">
        <v>28</v>
      </c>
      <c r="S598" s="13"/>
      <c r="T598" s="13"/>
      <c r="U598" s="13" t="s">
        <v>661</v>
      </c>
      <c r="V598" s="13" t="s">
        <v>661</v>
      </c>
      <c r="W598" s="59">
        <f>+J598/$W$2</f>
        <v>5.4900478389530996E-4</v>
      </c>
    </row>
    <row r="599" spans="1:23">
      <c r="A599" s="13" t="s">
        <v>1805</v>
      </c>
      <c r="B599" s="13" t="s">
        <v>404</v>
      </c>
      <c r="C599" s="138">
        <v>46283</v>
      </c>
      <c r="D599" s="138" t="s">
        <v>424</v>
      </c>
      <c r="E599" s="28">
        <v>0.98065564999999999</v>
      </c>
      <c r="F599" s="13"/>
      <c r="G599" s="18">
        <v>1500000</v>
      </c>
      <c r="H599" s="18">
        <v>1470983.47</v>
      </c>
      <c r="I599" s="18">
        <v>1500000</v>
      </c>
      <c r="J599" s="18">
        <v>1470983.47</v>
      </c>
      <c r="K599" s="15">
        <v>1968</v>
      </c>
      <c r="L599" s="13" t="s">
        <v>102</v>
      </c>
      <c r="M599" s="13" t="s">
        <v>103</v>
      </c>
      <c r="N599" s="138" t="s">
        <v>384</v>
      </c>
      <c r="O599" s="138" t="s">
        <v>384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1795</v>
      </c>
      <c r="V599" s="13" t="s">
        <v>1795</v>
      </c>
      <c r="W599" s="59">
        <f>+J599/$W$2</f>
        <v>2.4074224235490758E-5</v>
      </c>
    </row>
    <row r="600" spans="1:23">
      <c r="A600" s="13" t="s">
        <v>2220</v>
      </c>
      <c r="B600" s="13" t="s">
        <v>404</v>
      </c>
      <c r="C600" s="138">
        <v>46283</v>
      </c>
      <c r="D600" s="138" t="s">
        <v>424</v>
      </c>
      <c r="E600" s="28">
        <v>0.98192193000000005</v>
      </c>
      <c r="F600" s="13"/>
      <c r="G600" s="18">
        <v>10906113.24</v>
      </c>
      <c r="H600" s="18">
        <v>10708951.75</v>
      </c>
      <c r="I600" s="18">
        <v>10906113.24</v>
      </c>
      <c r="J600" s="18">
        <v>10708951.75</v>
      </c>
      <c r="K600" s="15">
        <v>90001619</v>
      </c>
      <c r="L600" s="13" t="s">
        <v>102</v>
      </c>
      <c r="M600" s="13" t="s">
        <v>103</v>
      </c>
      <c r="N600" s="138" t="s">
        <v>639</v>
      </c>
      <c r="O600" s="138" t="s">
        <v>639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2150</v>
      </c>
      <c r="V600" s="13" t="s">
        <v>2150</v>
      </c>
      <c r="W600" s="59">
        <f>+J600/$W$2</f>
        <v>1.7526349616733028E-4</v>
      </c>
    </row>
    <row r="601" spans="1:23">
      <c r="A601" s="13" t="s">
        <v>1747</v>
      </c>
      <c r="B601" s="13" t="s">
        <v>404</v>
      </c>
      <c r="C601" s="138">
        <v>46283</v>
      </c>
      <c r="D601" s="138" t="s">
        <v>424</v>
      </c>
      <c r="E601" s="28">
        <v>0.97813271999999996</v>
      </c>
      <c r="F601" s="13"/>
      <c r="G601" s="18">
        <v>5000000</v>
      </c>
      <c r="H601" s="18">
        <v>4890663.5999999996</v>
      </c>
      <c r="I601" s="18">
        <v>5000000</v>
      </c>
      <c r="J601" s="18">
        <v>4890663.5999999996</v>
      </c>
      <c r="K601" s="15">
        <v>11350029</v>
      </c>
      <c r="L601" s="13" t="s">
        <v>102</v>
      </c>
      <c r="M601" s="13" t="s">
        <v>103</v>
      </c>
      <c r="N601" s="138" t="s">
        <v>387</v>
      </c>
      <c r="O601" s="138" t="s">
        <v>387</v>
      </c>
      <c r="P601" s="28">
        <v>34</v>
      </c>
      <c r="Q601" s="13" t="s">
        <v>54</v>
      </c>
      <c r="R601" s="13" t="s">
        <v>28</v>
      </c>
      <c r="S601" s="13"/>
      <c r="T601" s="13"/>
      <c r="U601" s="13" t="s">
        <v>1741</v>
      </c>
      <c r="V601" s="13" t="s">
        <v>1741</v>
      </c>
      <c r="W601" s="59">
        <f>+J601/$W$2</f>
        <v>8.0040962096435031E-5</v>
      </c>
    </row>
    <row r="602" spans="1:23">
      <c r="A602" s="13" t="s">
        <v>981</v>
      </c>
      <c r="B602" s="13" t="s">
        <v>404</v>
      </c>
      <c r="C602" s="138">
        <v>46283</v>
      </c>
      <c r="D602" s="138" t="s">
        <v>424</v>
      </c>
      <c r="E602" s="28">
        <v>0.97562287999999997</v>
      </c>
      <c r="F602" s="13"/>
      <c r="G602" s="18">
        <v>60000000</v>
      </c>
      <c r="H602" s="18">
        <v>58537372.939999998</v>
      </c>
      <c r="I602" s="18">
        <v>60000000</v>
      </c>
      <c r="J602" s="18">
        <v>58537372.939999998</v>
      </c>
      <c r="K602" s="15">
        <v>70379072</v>
      </c>
      <c r="L602" s="13" t="s">
        <v>102</v>
      </c>
      <c r="M602" s="13" t="s">
        <v>103</v>
      </c>
      <c r="N602" s="138" t="s">
        <v>340</v>
      </c>
      <c r="O602" s="138" t="s">
        <v>340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1070</v>
      </c>
      <c r="V602" s="13" t="s">
        <v>1070</v>
      </c>
      <c r="W602" s="59">
        <f>+J602/$W$2</f>
        <v>9.5802697382731897E-4</v>
      </c>
    </row>
    <row r="603" spans="1:23">
      <c r="A603" s="13" t="s">
        <v>1420</v>
      </c>
      <c r="B603" s="13" t="s">
        <v>404</v>
      </c>
      <c r="C603" s="138">
        <v>46283</v>
      </c>
      <c r="D603" s="138" t="s">
        <v>424</v>
      </c>
      <c r="E603" s="28">
        <v>0.97939261</v>
      </c>
      <c r="F603" s="13"/>
      <c r="G603" s="18">
        <v>1444027.42</v>
      </c>
      <c r="H603" s="18">
        <v>1414269.78</v>
      </c>
      <c r="I603" s="18">
        <v>1444027.42</v>
      </c>
      <c r="J603" s="18">
        <v>1414269.78</v>
      </c>
      <c r="K603" s="15">
        <v>68156242</v>
      </c>
      <c r="L603" s="13" t="s">
        <v>102</v>
      </c>
      <c r="M603" s="13" t="s">
        <v>103</v>
      </c>
      <c r="N603" s="138" t="s">
        <v>421</v>
      </c>
      <c r="O603" s="138" t="s">
        <v>421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1377</v>
      </c>
      <c r="V603" s="13" t="s">
        <v>1377</v>
      </c>
      <c r="W603" s="59">
        <f>+J603/$W$2</f>
        <v>2.3146043791503777E-5</v>
      </c>
    </row>
    <row r="604" spans="1:23">
      <c r="A604" s="13" t="s">
        <v>1032</v>
      </c>
      <c r="B604" s="13" t="s">
        <v>404</v>
      </c>
      <c r="C604" s="138">
        <v>46286</v>
      </c>
      <c r="D604" s="138" t="s">
        <v>424</v>
      </c>
      <c r="E604" s="28">
        <v>0.97617076999999997</v>
      </c>
      <c r="F604" s="13"/>
      <c r="G604" s="18">
        <v>19470985</v>
      </c>
      <c r="H604" s="18">
        <v>19007006.489999998</v>
      </c>
      <c r="I604" s="18">
        <v>19470985</v>
      </c>
      <c r="J604" s="18">
        <v>19007006.489999998</v>
      </c>
      <c r="K604" s="15">
        <v>1065</v>
      </c>
      <c r="L604" s="13" t="s">
        <v>102</v>
      </c>
      <c r="M604" s="13" t="s">
        <v>103</v>
      </c>
      <c r="N604" s="138" t="s">
        <v>344</v>
      </c>
      <c r="O604" s="138" t="s">
        <v>344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1034</v>
      </c>
      <c r="V604" s="13" t="s">
        <v>1034</v>
      </c>
      <c r="W604" s="59">
        <f>+J604/$W$2</f>
        <v>3.1107007360571369E-4</v>
      </c>
    </row>
    <row r="605" spans="1:23">
      <c r="A605" s="13" t="s">
        <v>518</v>
      </c>
      <c r="B605" s="13" t="s">
        <v>404</v>
      </c>
      <c r="C605" s="138">
        <v>46286</v>
      </c>
      <c r="D605" s="138" t="s">
        <v>424</v>
      </c>
      <c r="E605" s="28">
        <v>0.97265902000000004</v>
      </c>
      <c r="F605" s="13"/>
      <c r="G605" s="18">
        <v>4463318.82</v>
      </c>
      <c r="H605" s="18">
        <v>4341287.3099999996</v>
      </c>
      <c r="I605" s="18">
        <v>4463318.82</v>
      </c>
      <c r="J605" s="18">
        <v>4341287.3099999996</v>
      </c>
      <c r="K605" s="15">
        <v>347</v>
      </c>
      <c r="L605" s="13" t="s">
        <v>102</v>
      </c>
      <c r="M605" s="13" t="s">
        <v>103</v>
      </c>
      <c r="N605" s="138" t="s">
        <v>316</v>
      </c>
      <c r="O605" s="138" t="s">
        <v>316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482</v>
      </c>
      <c r="V605" s="13" t="s">
        <v>482</v>
      </c>
      <c r="W605" s="59">
        <f>+J605/$W$2</f>
        <v>7.1049829113056223E-5</v>
      </c>
    </row>
    <row r="606" spans="1:23">
      <c r="A606" s="13" t="s">
        <v>518</v>
      </c>
      <c r="B606" s="13" t="s">
        <v>404</v>
      </c>
      <c r="C606" s="138">
        <v>46286</v>
      </c>
      <c r="D606" s="138" t="s">
        <v>424</v>
      </c>
      <c r="E606" s="28">
        <v>0.97265897999999995</v>
      </c>
      <c r="F606" s="13"/>
      <c r="G606" s="18">
        <v>4500000</v>
      </c>
      <c r="H606" s="18">
        <v>4376965.41</v>
      </c>
      <c r="I606" s="18">
        <v>4500000</v>
      </c>
      <c r="J606" s="18">
        <v>4376965.41</v>
      </c>
      <c r="K606" s="15">
        <v>559</v>
      </c>
      <c r="L606" s="13" t="s">
        <v>102</v>
      </c>
      <c r="M606" s="13" t="s">
        <v>103</v>
      </c>
      <c r="N606" s="138" t="s">
        <v>289</v>
      </c>
      <c r="O606" s="138" t="s">
        <v>289</v>
      </c>
      <c r="P606" s="28">
        <v>38</v>
      </c>
      <c r="Q606" s="13" t="s">
        <v>54</v>
      </c>
      <c r="R606" s="13" t="s">
        <v>28</v>
      </c>
      <c r="S606" s="13"/>
      <c r="T606" s="13"/>
      <c r="U606" s="13" t="s">
        <v>616</v>
      </c>
      <c r="V606" s="13" t="s">
        <v>616</v>
      </c>
      <c r="W606" s="59">
        <f>+J606/$W$2</f>
        <v>7.1633739535718061E-5</v>
      </c>
    </row>
    <row r="607" spans="1:23">
      <c r="A607" s="13" t="s">
        <v>566</v>
      </c>
      <c r="B607" s="13" t="s">
        <v>404</v>
      </c>
      <c r="C607" s="138">
        <v>46286</v>
      </c>
      <c r="D607" s="138" t="s">
        <v>424</v>
      </c>
      <c r="E607" s="28">
        <v>0.97617074000000004</v>
      </c>
      <c r="F607" s="13"/>
      <c r="G607" s="18">
        <v>150000000</v>
      </c>
      <c r="H607" s="18">
        <v>146425611.71000001</v>
      </c>
      <c r="I607" s="18">
        <v>150000000</v>
      </c>
      <c r="J607" s="18">
        <v>146425611.71000001</v>
      </c>
      <c r="K607" s="15">
        <v>70389147</v>
      </c>
      <c r="L607" s="13" t="s">
        <v>102</v>
      </c>
      <c r="M607" s="13" t="s">
        <v>103</v>
      </c>
      <c r="N607" s="138" t="s">
        <v>374</v>
      </c>
      <c r="O607" s="138" t="s">
        <v>374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1230</v>
      </c>
      <c r="V607" s="13" t="s">
        <v>1230</v>
      </c>
      <c r="W607" s="59">
        <f>+J607/$W$2</f>
        <v>2.396412388050453E-3</v>
      </c>
    </row>
    <row r="608" spans="1:23">
      <c r="A608" s="13" t="s">
        <v>566</v>
      </c>
      <c r="B608" s="13" t="s">
        <v>404</v>
      </c>
      <c r="C608" s="138">
        <v>46286</v>
      </c>
      <c r="D608" s="138" t="s">
        <v>424</v>
      </c>
      <c r="E608" s="28">
        <v>0.97126148999999995</v>
      </c>
      <c r="F608" s="13"/>
      <c r="G608" s="18">
        <v>340000000</v>
      </c>
      <c r="H608" s="18">
        <v>330228906.32999998</v>
      </c>
      <c r="I608" s="18">
        <v>340000000</v>
      </c>
      <c r="J608" s="18">
        <v>330228906.32999998</v>
      </c>
      <c r="K608" s="15">
        <v>70397167</v>
      </c>
      <c r="L608" s="13" t="s">
        <v>102</v>
      </c>
      <c r="M608" s="13" t="s">
        <v>103</v>
      </c>
      <c r="N608" s="138" t="s">
        <v>173</v>
      </c>
      <c r="O608" s="138" t="s">
        <v>173</v>
      </c>
      <c r="P608" s="28">
        <v>40</v>
      </c>
      <c r="Q608" s="13" t="s">
        <v>54</v>
      </c>
      <c r="R608" s="13" t="s">
        <v>28</v>
      </c>
      <c r="S608" s="13"/>
      <c r="T608" s="13"/>
      <c r="U608" s="13" t="s">
        <v>1986</v>
      </c>
      <c r="V608" s="13" t="s">
        <v>1986</v>
      </c>
      <c r="W608" s="59">
        <f>+J608/$W$2</f>
        <v>5.4045506983360549E-3</v>
      </c>
    </row>
    <row r="609" spans="1:29">
      <c r="A609" s="13" t="s">
        <v>763</v>
      </c>
      <c r="B609" s="13" t="s">
        <v>404</v>
      </c>
      <c r="C609" s="138">
        <v>46286</v>
      </c>
      <c r="D609" s="138" t="s">
        <v>424</v>
      </c>
      <c r="E609" s="28">
        <v>0.97335938</v>
      </c>
      <c r="F609" s="13"/>
      <c r="G609" s="18">
        <v>3345657.98</v>
      </c>
      <c r="H609" s="18">
        <v>3256527.58</v>
      </c>
      <c r="I609" s="18">
        <v>3345657.98</v>
      </c>
      <c r="J609" s="18">
        <v>3256527.58</v>
      </c>
      <c r="K609" s="15">
        <v>253</v>
      </c>
      <c r="L609" s="13" t="s">
        <v>102</v>
      </c>
      <c r="M609" s="13" t="s">
        <v>103</v>
      </c>
      <c r="N609" s="138" t="s">
        <v>355</v>
      </c>
      <c r="O609" s="138" t="s">
        <v>355</v>
      </c>
      <c r="P609" s="28">
        <v>37</v>
      </c>
      <c r="Q609" s="13" t="s">
        <v>54</v>
      </c>
      <c r="R609" s="13" t="s">
        <v>28</v>
      </c>
      <c r="S609" s="13"/>
      <c r="T609" s="13"/>
      <c r="U609" s="13" t="s">
        <v>1197</v>
      </c>
      <c r="V609" s="13" t="s">
        <v>1197</v>
      </c>
      <c r="W609" s="59">
        <f>+J609/$W$2</f>
        <v>5.3296571164039031E-5</v>
      </c>
      <c r="AC609" s="56"/>
    </row>
    <row r="610" spans="1:29">
      <c r="A610" s="13" t="s">
        <v>517</v>
      </c>
      <c r="B610" s="13" t="s">
        <v>404</v>
      </c>
      <c r="C610" s="138">
        <v>46286</v>
      </c>
      <c r="D610" s="138" t="s">
        <v>424</v>
      </c>
      <c r="E610" s="28">
        <v>0.97758266999999999</v>
      </c>
      <c r="F610" s="13"/>
      <c r="G610" s="18">
        <v>10000000</v>
      </c>
      <c r="H610" s="18">
        <v>9775826.75</v>
      </c>
      <c r="I610" s="18">
        <v>10000000</v>
      </c>
      <c r="J610" s="18">
        <v>9775826.75</v>
      </c>
      <c r="K610" s="15">
        <v>14004253</v>
      </c>
      <c r="L610" s="13" t="s">
        <v>102</v>
      </c>
      <c r="M610" s="13" t="s">
        <v>103</v>
      </c>
      <c r="N610" s="138" t="s">
        <v>341</v>
      </c>
      <c r="O610" s="138" t="s">
        <v>341</v>
      </c>
      <c r="P610" s="28">
        <v>31</v>
      </c>
      <c r="Q610" s="13" t="s">
        <v>54</v>
      </c>
      <c r="R610" s="13" t="s">
        <v>28</v>
      </c>
      <c r="S610" s="13"/>
      <c r="T610" s="13"/>
      <c r="U610" s="13" t="s">
        <v>1959</v>
      </c>
      <c r="V610" s="13" t="s">
        <v>1959</v>
      </c>
      <c r="W610" s="59">
        <f>+J610/$W$2</f>
        <v>1.5999190342146324E-4</v>
      </c>
    </row>
    <row r="611" spans="1:29">
      <c r="A611" s="13" t="s">
        <v>285</v>
      </c>
      <c r="B611" s="13" t="s">
        <v>404</v>
      </c>
      <c r="C611" s="138">
        <v>46286</v>
      </c>
      <c r="D611" s="138" t="s">
        <v>424</v>
      </c>
      <c r="E611" s="28">
        <v>0.98041849999999997</v>
      </c>
      <c r="F611" s="13"/>
      <c r="G611" s="18">
        <v>10000000</v>
      </c>
      <c r="H611" s="18">
        <v>9804185</v>
      </c>
      <c r="I611" s="18">
        <v>10000000</v>
      </c>
      <c r="J611" s="18">
        <v>9804185</v>
      </c>
      <c r="K611" s="15">
        <v>67205341</v>
      </c>
      <c r="L611" s="13" t="s">
        <v>102</v>
      </c>
      <c r="M611" s="13" t="s">
        <v>103</v>
      </c>
      <c r="N611" s="138" t="s">
        <v>330</v>
      </c>
      <c r="O611" s="138" t="s">
        <v>330</v>
      </c>
      <c r="P611" s="28">
        <v>27</v>
      </c>
      <c r="Q611" s="13" t="s">
        <v>54</v>
      </c>
      <c r="R611" s="13" t="s">
        <v>28</v>
      </c>
      <c r="S611" s="13"/>
      <c r="T611" s="13"/>
      <c r="U611" s="13" t="s">
        <v>918</v>
      </c>
      <c r="V611" s="13" t="s">
        <v>918</v>
      </c>
      <c r="W611" s="59">
        <f>+J611/$W$2</f>
        <v>1.604560166377906E-4</v>
      </c>
    </row>
    <row r="612" spans="1:29">
      <c r="A612" s="13" t="s">
        <v>285</v>
      </c>
      <c r="B612" s="13" t="s">
        <v>404</v>
      </c>
      <c r="C612" s="138">
        <v>46286</v>
      </c>
      <c r="D612" s="138" t="s">
        <v>424</v>
      </c>
      <c r="E612" s="28">
        <v>0.98041849999999997</v>
      </c>
      <c r="F612" s="13"/>
      <c r="G612" s="18">
        <v>10000000</v>
      </c>
      <c r="H612" s="18">
        <v>9804185</v>
      </c>
      <c r="I612" s="18">
        <v>10000000</v>
      </c>
      <c r="J612" s="18">
        <v>9804185</v>
      </c>
      <c r="K612" s="15">
        <v>67280466</v>
      </c>
      <c r="L612" s="13" t="s">
        <v>102</v>
      </c>
      <c r="M612" s="13" t="s">
        <v>103</v>
      </c>
      <c r="N612" s="138" t="s">
        <v>330</v>
      </c>
      <c r="O612" s="138" t="s">
        <v>330</v>
      </c>
      <c r="P612" s="28">
        <v>27</v>
      </c>
      <c r="Q612" s="13" t="s">
        <v>54</v>
      </c>
      <c r="R612" s="13" t="s">
        <v>28</v>
      </c>
      <c r="S612" s="13"/>
      <c r="T612" s="13"/>
      <c r="U612" s="13" t="s">
        <v>923</v>
      </c>
      <c r="V612" s="13" t="s">
        <v>923</v>
      </c>
      <c r="W612" s="59">
        <f>+J612/$W$2</f>
        <v>1.604560166377906E-4</v>
      </c>
    </row>
    <row r="613" spans="1:29">
      <c r="A613" s="13" t="s">
        <v>285</v>
      </c>
      <c r="B613" s="13" t="s">
        <v>404</v>
      </c>
      <c r="C613" s="138">
        <v>46286</v>
      </c>
      <c r="D613" s="138" t="s">
        <v>424</v>
      </c>
      <c r="E613" s="28">
        <v>0.98041849999999997</v>
      </c>
      <c r="F613" s="13"/>
      <c r="G613" s="18">
        <v>5000000</v>
      </c>
      <c r="H613" s="18">
        <v>4902092.51</v>
      </c>
      <c r="I613" s="18">
        <v>5000000</v>
      </c>
      <c r="J613" s="18">
        <v>4902092.51</v>
      </c>
      <c r="K613" s="15">
        <v>67193052</v>
      </c>
      <c r="L613" s="13" t="s">
        <v>102</v>
      </c>
      <c r="M613" s="13" t="s">
        <v>103</v>
      </c>
      <c r="N613" s="138" t="s">
        <v>330</v>
      </c>
      <c r="O613" s="138" t="s">
        <v>330</v>
      </c>
      <c r="P613" s="28">
        <v>27</v>
      </c>
      <c r="Q613" s="13" t="s">
        <v>54</v>
      </c>
      <c r="R613" s="13" t="s">
        <v>28</v>
      </c>
      <c r="S613" s="13"/>
      <c r="T613" s="13"/>
      <c r="U613" s="13" t="s">
        <v>932</v>
      </c>
      <c r="V613" s="13" t="s">
        <v>932</v>
      </c>
      <c r="W613" s="59">
        <f>+J613/$W$2</f>
        <v>8.0228008482556039E-5</v>
      </c>
    </row>
    <row r="614" spans="1:29">
      <c r="A614" s="13" t="s">
        <v>285</v>
      </c>
      <c r="B614" s="13" t="s">
        <v>404</v>
      </c>
      <c r="C614" s="138">
        <v>46286</v>
      </c>
      <c r="D614" s="138" t="s">
        <v>424</v>
      </c>
      <c r="E614" s="28">
        <v>0.98184273</v>
      </c>
      <c r="F614" s="13"/>
      <c r="G614" s="18">
        <v>25000000</v>
      </c>
      <c r="H614" s="18">
        <v>24546068.170000002</v>
      </c>
      <c r="I614" s="18">
        <v>25000000</v>
      </c>
      <c r="J614" s="18">
        <v>24546068.170000002</v>
      </c>
      <c r="K614" s="15">
        <v>68393693</v>
      </c>
      <c r="L614" s="13" t="s">
        <v>102</v>
      </c>
      <c r="M614" s="13" t="s">
        <v>103</v>
      </c>
      <c r="N614" s="138" t="s">
        <v>339</v>
      </c>
      <c r="O614" s="138" t="s">
        <v>339</v>
      </c>
      <c r="P614" s="28">
        <v>25</v>
      </c>
      <c r="Q614" s="13" t="s">
        <v>54</v>
      </c>
      <c r="R614" s="13" t="s">
        <v>28</v>
      </c>
      <c r="S614" s="13"/>
      <c r="T614" s="13"/>
      <c r="U614" s="13" t="s">
        <v>1597</v>
      </c>
      <c r="V614" s="13" t="s">
        <v>1597</v>
      </c>
      <c r="W614" s="59">
        <f>+J614/$W$2</f>
        <v>4.0172276662240285E-4</v>
      </c>
    </row>
    <row r="615" spans="1:29">
      <c r="A615" s="13" t="s">
        <v>405</v>
      </c>
      <c r="B615" s="13" t="s">
        <v>404</v>
      </c>
      <c r="C615" s="138">
        <v>46286</v>
      </c>
      <c r="D615" s="138" t="s">
        <v>424</v>
      </c>
      <c r="E615" s="28">
        <v>0.97829005000000002</v>
      </c>
      <c r="F615" s="13"/>
      <c r="G615" s="18">
        <v>10000000</v>
      </c>
      <c r="H615" s="18">
        <v>9782900.5</v>
      </c>
      <c r="I615" s="18">
        <v>10000000</v>
      </c>
      <c r="J615" s="18">
        <v>9782900.5</v>
      </c>
      <c r="K615" s="15">
        <v>739</v>
      </c>
      <c r="L615" s="13" t="s">
        <v>102</v>
      </c>
      <c r="M615" s="13" t="s">
        <v>103</v>
      </c>
      <c r="N615" s="138" t="s">
        <v>425</v>
      </c>
      <c r="O615" s="138" t="s">
        <v>425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1314</v>
      </c>
      <c r="V615" s="13" t="s">
        <v>1314</v>
      </c>
      <c r="W615" s="59">
        <f>+J615/$W$2</f>
        <v>1.601076729370009E-4</v>
      </c>
    </row>
    <row r="616" spans="1:29">
      <c r="A616" s="13" t="s">
        <v>405</v>
      </c>
      <c r="B616" s="13" t="s">
        <v>404</v>
      </c>
      <c r="C616" s="138">
        <v>46286</v>
      </c>
      <c r="D616" s="138" t="s">
        <v>424</v>
      </c>
      <c r="E616" s="28">
        <v>0.97829001000000004</v>
      </c>
      <c r="F616" s="13"/>
      <c r="G616" s="18">
        <v>5000000</v>
      </c>
      <c r="H616" s="18">
        <v>4891450.07</v>
      </c>
      <c r="I616" s="18">
        <v>5000000</v>
      </c>
      <c r="J616" s="18">
        <v>4891450.07</v>
      </c>
      <c r="K616" s="15">
        <v>781</v>
      </c>
      <c r="L616" s="13" t="s">
        <v>102</v>
      </c>
      <c r="M616" s="13" t="s">
        <v>103</v>
      </c>
      <c r="N616" s="138" t="s">
        <v>421</v>
      </c>
      <c r="O616" s="138" t="s">
        <v>421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1406</v>
      </c>
      <c r="V616" s="13" t="s">
        <v>1406</v>
      </c>
      <c r="W616" s="59">
        <f>+J616/$W$2</f>
        <v>8.0053833522607137E-5</v>
      </c>
    </row>
    <row r="617" spans="1:29">
      <c r="A617" s="13" t="s">
        <v>405</v>
      </c>
      <c r="B617" s="13" t="s">
        <v>404</v>
      </c>
      <c r="C617" s="138">
        <v>46286</v>
      </c>
      <c r="D617" s="138" t="s">
        <v>424</v>
      </c>
      <c r="E617" s="28">
        <v>0.97829009</v>
      </c>
      <c r="F617" s="13"/>
      <c r="G617" s="18">
        <v>10000000</v>
      </c>
      <c r="H617" s="18">
        <v>9782900.9399999995</v>
      </c>
      <c r="I617" s="18">
        <v>10000000</v>
      </c>
      <c r="J617" s="18">
        <v>9782900.9399999995</v>
      </c>
      <c r="K617" s="15">
        <v>702</v>
      </c>
      <c r="L617" s="13" t="s">
        <v>102</v>
      </c>
      <c r="M617" s="13" t="s">
        <v>103</v>
      </c>
      <c r="N617" s="138" t="s">
        <v>393</v>
      </c>
      <c r="O617" s="138" t="s">
        <v>393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1127</v>
      </c>
      <c r="V617" s="13" t="s">
        <v>1127</v>
      </c>
      <c r="W617" s="59">
        <f>+J617/$W$2</f>
        <v>1.6010768013807343E-4</v>
      </c>
    </row>
    <row r="618" spans="1:29">
      <c r="A618" s="13" t="s">
        <v>413</v>
      </c>
      <c r="B618" s="13" t="s">
        <v>404</v>
      </c>
      <c r="C618" s="138">
        <v>46286</v>
      </c>
      <c r="D618" s="138" t="s">
        <v>424</v>
      </c>
      <c r="E618" s="28">
        <v>0.97687615000000005</v>
      </c>
      <c r="F618" s="13"/>
      <c r="G618" s="18">
        <v>15355310.449999999</v>
      </c>
      <c r="H618" s="18">
        <v>15000236.52</v>
      </c>
      <c r="I618" s="18">
        <v>15355310.449999999</v>
      </c>
      <c r="J618" s="18">
        <v>15000236.52</v>
      </c>
      <c r="K618" s="15">
        <v>30748</v>
      </c>
      <c r="L618" s="13" t="s">
        <v>102</v>
      </c>
      <c r="M618" s="13" t="s">
        <v>103</v>
      </c>
      <c r="N618" s="138" t="s">
        <v>330</v>
      </c>
      <c r="O618" s="138" t="s">
        <v>330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936</v>
      </c>
      <c r="V618" s="13" t="s">
        <v>936</v>
      </c>
      <c r="W618" s="59">
        <f>+J618/$W$2</f>
        <v>2.4549498001352629E-4</v>
      </c>
    </row>
    <row r="619" spans="1:29">
      <c r="A619" s="13" t="s">
        <v>356</v>
      </c>
      <c r="B619" s="13" t="s">
        <v>404</v>
      </c>
      <c r="C619" s="138">
        <v>46286</v>
      </c>
      <c r="D619" s="138" t="s">
        <v>424</v>
      </c>
      <c r="E619" s="28">
        <v>0.97687615000000005</v>
      </c>
      <c r="F619" s="13"/>
      <c r="G619" s="18">
        <v>10000000</v>
      </c>
      <c r="H619" s="18">
        <v>9768761.4800000004</v>
      </c>
      <c r="I619" s="18">
        <v>10000000</v>
      </c>
      <c r="J619" s="18">
        <v>9768761.4800000004</v>
      </c>
      <c r="K619" s="15">
        <v>13795884</v>
      </c>
      <c r="L619" s="13" t="s">
        <v>102</v>
      </c>
      <c r="M619" s="13" t="s">
        <v>103</v>
      </c>
      <c r="N619" s="138" t="s">
        <v>330</v>
      </c>
      <c r="O619" s="138" t="s">
        <v>330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946</v>
      </c>
      <c r="V619" s="13" t="s">
        <v>946</v>
      </c>
      <c r="W619" s="59">
        <f>+J619/$W$2</f>
        <v>1.598762726902326E-4</v>
      </c>
    </row>
    <row r="620" spans="1:29">
      <c r="A620" s="13" t="s">
        <v>356</v>
      </c>
      <c r="B620" s="13" t="s">
        <v>404</v>
      </c>
      <c r="C620" s="138">
        <v>46286</v>
      </c>
      <c r="D620" s="138" t="s">
        <v>424</v>
      </c>
      <c r="E620" s="28">
        <v>0.97687615000000005</v>
      </c>
      <c r="F620" s="13"/>
      <c r="G620" s="18">
        <v>10000000</v>
      </c>
      <c r="H620" s="18">
        <v>9768761.4800000004</v>
      </c>
      <c r="I620" s="18">
        <v>10000000</v>
      </c>
      <c r="J620" s="18">
        <v>9768761.4800000004</v>
      </c>
      <c r="K620" s="15">
        <v>13795880</v>
      </c>
      <c r="L620" s="13" t="s">
        <v>102</v>
      </c>
      <c r="M620" s="13" t="s">
        <v>103</v>
      </c>
      <c r="N620" s="138" t="s">
        <v>330</v>
      </c>
      <c r="O620" s="138" t="s">
        <v>330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947</v>
      </c>
      <c r="V620" s="13" t="s">
        <v>947</v>
      </c>
      <c r="W620" s="59">
        <f>+J620/$W$2</f>
        <v>1.598762726902326E-4</v>
      </c>
      <c r="AC620"/>
    </row>
    <row r="621" spans="1:29">
      <c r="A621" s="13" t="s">
        <v>356</v>
      </c>
      <c r="B621" s="13" t="s">
        <v>404</v>
      </c>
      <c r="C621" s="138">
        <v>46286</v>
      </c>
      <c r="D621" s="138" t="s">
        <v>424</v>
      </c>
      <c r="E621" s="28">
        <v>0.97687615000000005</v>
      </c>
      <c r="F621" s="13"/>
      <c r="G621" s="18">
        <v>40000000</v>
      </c>
      <c r="H621" s="18">
        <v>39075045.920000002</v>
      </c>
      <c r="I621" s="18">
        <v>40000000</v>
      </c>
      <c r="J621" s="18">
        <v>39075045.920000002</v>
      </c>
      <c r="K621" s="15">
        <v>13662785</v>
      </c>
      <c r="L621" s="13" t="s">
        <v>102</v>
      </c>
      <c r="M621" s="13" t="s">
        <v>103</v>
      </c>
      <c r="N621" s="138" t="s">
        <v>330</v>
      </c>
      <c r="O621" s="138" t="s">
        <v>330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948</v>
      </c>
      <c r="V621" s="13" t="s">
        <v>948</v>
      </c>
      <c r="W621" s="59">
        <f>+J621/$W$2</f>
        <v>6.3950509076093041E-4</v>
      </c>
      <c r="AC621" s="56"/>
    </row>
    <row r="622" spans="1:29">
      <c r="A622" s="13" t="s">
        <v>2222</v>
      </c>
      <c r="B622" s="13" t="s">
        <v>404</v>
      </c>
      <c r="C622" s="138">
        <v>46286</v>
      </c>
      <c r="D622" s="138" t="s">
        <v>424</v>
      </c>
      <c r="E622" s="28">
        <v>0.97970805000000005</v>
      </c>
      <c r="F622" s="13"/>
      <c r="G622" s="18">
        <v>9300000</v>
      </c>
      <c r="H622" s="18">
        <v>9111284.8699999992</v>
      </c>
      <c r="I622" s="18">
        <v>9300000</v>
      </c>
      <c r="J622" s="18">
        <v>9111284.8699999992</v>
      </c>
      <c r="K622" s="15">
        <v>14120348</v>
      </c>
      <c r="L622" s="13" t="s">
        <v>102</v>
      </c>
      <c r="M622" s="13" t="s">
        <v>103</v>
      </c>
      <c r="N622" s="138" t="s">
        <v>639</v>
      </c>
      <c r="O622" s="138" t="s">
        <v>639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2176</v>
      </c>
      <c r="V622" s="13" t="s">
        <v>2176</v>
      </c>
      <c r="W622" s="59">
        <f>+J622/$W$2</f>
        <v>1.4911596187672609E-4</v>
      </c>
    </row>
    <row r="623" spans="1:29">
      <c r="A623" s="13" t="s">
        <v>1747</v>
      </c>
      <c r="B623" s="13" t="s">
        <v>404</v>
      </c>
      <c r="C623" s="138">
        <v>46286</v>
      </c>
      <c r="D623" s="138" t="s">
        <v>424</v>
      </c>
      <c r="E623" s="28">
        <v>0.97546639000000002</v>
      </c>
      <c r="F623" s="13"/>
      <c r="G623" s="18">
        <v>5000000</v>
      </c>
      <c r="H623" s="18">
        <v>4877331.97</v>
      </c>
      <c r="I623" s="18">
        <v>5000000</v>
      </c>
      <c r="J623" s="18">
        <v>4877331.97</v>
      </c>
      <c r="K623" s="15">
        <v>11350035</v>
      </c>
      <c r="L623" s="13" t="s">
        <v>102</v>
      </c>
      <c r="M623" s="13" t="s">
        <v>103</v>
      </c>
      <c r="N623" s="138" t="s">
        <v>387</v>
      </c>
      <c r="O623" s="138" t="s">
        <v>387</v>
      </c>
      <c r="P623" s="28">
        <v>34</v>
      </c>
      <c r="Q623" s="13" t="s">
        <v>54</v>
      </c>
      <c r="R623" s="13" t="s">
        <v>28</v>
      </c>
      <c r="S623" s="13"/>
      <c r="T623" s="13"/>
      <c r="U623" s="13" t="s">
        <v>1738</v>
      </c>
      <c r="V623" s="13" t="s">
        <v>1738</v>
      </c>
      <c r="W623" s="59">
        <f>+J623/$W$2</f>
        <v>7.9822775654105678E-5</v>
      </c>
    </row>
    <row r="624" spans="1:29">
      <c r="A624" s="13" t="s">
        <v>1747</v>
      </c>
      <c r="B624" s="13" t="s">
        <v>404</v>
      </c>
      <c r="C624" s="138">
        <v>46286</v>
      </c>
      <c r="D624" s="138" t="s">
        <v>424</v>
      </c>
      <c r="E624" s="28">
        <v>0.97546639000000002</v>
      </c>
      <c r="F624" s="13"/>
      <c r="G624" s="18">
        <v>5000000</v>
      </c>
      <c r="H624" s="18">
        <v>4877331.97</v>
      </c>
      <c r="I624" s="18">
        <v>5000000</v>
      </c>
      <c r="J624" s="18">
        <v>4877331.97</v>
      </c>
      <c r="K624" s="15">
        <v>11350034</v>
      </c>
      <c r="L624" s="13" t="s">
        <v>102</v>
      </c>
      <c r="M624" s="13" t="s">
        <v>103</v>
      </c>
      <c r="N624" s="138" t="s">
        <v>387</v>
      </c>
      <c r="O624" s="138" t="s">
        <v>387</v>
      </c>
      <c r="P624" s="28">
        <v>34</v>
      </c>
      <c r="Q624" s="13" t="s">
        <v>54</v>
      </c>
      <c r="R624" s="13" t="s">
        <v>28</v>
      </c>
      <c r="S624" s="13"/>
      <c r="T624" s="13"/>
      <c r="U624" s="13" t="s">
        <v>1739</v>
      </c>
      <c r="V624" s="13" t="s">
        <v>1739</v>
      </c>
      <c r="W624" s="59">
        <f>+J624/$W$2</f>
        <v>7.9822775654105678E-5</v>
      </c>
    </row>
    <row r="625" spans="1:29">
      <c r="A625" s="13" t="s">
        <v>1747</v>
      </c>
      <c r="B625" s="13" t="s">
        <v>404</v>
      </c>
      <c r="C625" s="138">
        <v>46286</v>
      </c>
      <c r="D625" s="138" t="s">
        <v>424</v>
      </c>
      <c r="E625" s="28">
        <v>0.97546639000000002</v>
      </c>
      <c r="F625" s="13"/>
      <c r="G625" s="18">
        <v>5000000</v>
      </c>
      <c r="H625" s="18">
        <v>4877331.97</v>
      </c>
      <c r="I625" s="18">
        <v>5000000</v>
      </c>
      <c r="J625" s="18">
        <v>4877331.97</v>
      </c>
      <c r="K625" s="15">
        <v>11350033</v>
      </c>
      <c r="L625" s="13" t="s">
        <v>102</v>
      </c>
      <c r="M625" s="13" t="s">
        <v>103</v>
      </c>
      <c r="N625" s="138" t="s">
        <v>387</v>
      </c>
      <c r="O625" s="138" t="s">
        <v>387</v>
      </c>
      <c r="P625" s="28">
        <v>34</v>
      </c>
      <c r="Q625" s="13" t="s">
        <v>54</v>
      </c>
      <c r="R625" s="13" t="s">
        <v>28</v>
      </c>
      <c r="S625" s="13"/>
      <c r="T625" s="13"/>
      <c r="U625" s="13" t="s">
        <v>1740</v>
      </c>
      <c r="V625" s="13" t="s">
        <v>1740</v>
      </c>
      <c r="W625" s="59">
        <f>+J625/$W$2</f>
        <v>7.9822775654105678E-5</v>
      </c>
    </row>
    <row r="626" spans="1:29">
      <c r="A626" s="13" t="s">
        <v>1668</v>
      </c>
      <c r="B626" s="13" t="s">
        <v>404</v>
      </c>
      <c r="C626" s="138">
        <v>46286</v>
      </c>
      <c r="D626" s="138" t="s">
        <v>424</v>
      </c>
      <c r="E626" s="28">
        <v>0.97829009</v>
      </c>
      <c r="F626" s="13"/>
      <c r="G626" s="18">
        <v>2870567.11</v>
      </c>
      <c r="H626" s="18">
        <v>2808247.37</v>
      </c>
      <c r="I626" s="18">
        <v>2870567.11</v>
      </c>
      <c r="J626" s="18">
        <v>2808247.37</v>
      </c>
      <c r="K626" s="15">
        <v>104</v>
      </c>
      <c r="L626" s="13" t="s">
        <v>102</v>
      </c>
      <c r="M626" s="13" t="s">
        <v>103</v>
      </c>
      <c r="N626" s="138" t="s">
        <v>383</v>
      </c>
      <c r="O626" s="138" t="s">
        <v>383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1648</v>
      </c>
      <c r="V626" s="13" t="s">
        <v>1648</v>
      </c>
      <c r="W626" s="59">
        <f>+J626/$W$2</f>
        <v>4.5959984101049882E-5</v>
      </c>
    </row>
    <row r="627" spans="1:29">
      <c r="A627" s="13" t="s">
        <v>318</v>
      </c>
      <c r="B627" s="13" t="s">
        <v>404</v>
      </c>
      <c r="C627" s="138">
        <v>46287</v>
      </c>
      <c r="D627" s="138" t="s">
        <v>424</v>
      </c>
      <c r="E627" s="28">
        <v>0.98118280000000002</v>
      </c>
      <c r="F627" s="13"/>
      <c r="G627" s="18">
        <v>7250000</v>
      </c>
      <c r="H627" s="18">
        <v>7113575.3300000001</v>
      </c>
      <c r="I627" s="18">
        <v>7250000</v>
      </c>
      <c r="J627" s="18">
        <v>7113575.3300000001</v>
      </c>
      <c r="K627" s="15">
        <v>33954</v>
      </c>
      <c r="L627" s="13" t="s">
        <v>102</v>
      </c>
      <c r="M627" s="13" t="s">
        <v>103</v>
      </c>
      <c r="N627" s="138" t="s">
        <v>344</v>
      </c>
      <c r="O627" s="138" t="s">
        <v>344</v>
      </c>
      <c r="P627" s="28">
        <v>25</v>
      </c>
      <c r="Q627" s="13" t="s">
        <v>54</v>
      </c>
      <c r="R627" s="13" t="s">
        <v>28</v>
      </c>
      <c r="S627" s="13"/>
      <c r="T627" s="13"/>
      <c r="U627" s="13" t="s">
        <v>1044</v>
      </c>
      <c r="V627" s="13" t="s">
        <v>1044</v>
      </c>
      <c r="W627" s="59">
        <f>+J627/$W$2</f>
        <v>1.1642129983314848E-4</v>
      </c>
    </row>
    <row r="628" spans="1:29">
      <c r="A628" s="13" t="s">
        <v>1759</v>
      </c>
      <c r="B628" s="13" t="s">
        <v>404</v>
      </c>
      <c r="C628" s="138">
        <v>46287</v>
      </c>
      <c r="D628" s="138" t="s">
        <v>424</v>
      </c>
      <c r="E628" s="28">
        <v>0.97604022000000001</v>
      </c>
      <c r="F628" s="13"/>
      <c r="G628" s="18">
        <v>1345452.79</v>
      </c>
      <c r="H628" s="18">
        <v>1313216.04</v>
      </c>
      <c r="I628" s="18">
        <v>1345452.79</v>
      </c>
      <c r="J628" s="18">
        <v>1313216.04</v>
      </c>
      <c r="K628" s="15">
        <v>14079449</v>
      </c>
      <c r="L628" s="13" t="s">
        <v>102</v>
      </c>
      <c r="M628" s="13" t="s">
        <v>103</v>
      </c>
      <c r="N628" s="138" t="s">
        <v>387</v>
      </c>
      <c r="O628" s="138" t="s">
        <v>387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1718</v>
      </c>
      <c r="V628" s="13" t="s">
        <v>1718</v>
      </c>
      <c r="W628" s="59">
        <f>+J628/$W$2</f>
        <v>2.1492190810684775E-5</v>
      </c>
    </row>
    <row r="629" spans="1:29">
      <c r="A629" s="13" t="s">
        <v>2683</v>
      </c>
      <c r="B629" s="13" t="s">
        <v>404</v>
      </c>
      <c r="C629" s="138">
        <v>46287</v>
      </c>
      <c r="D629" s="138" t="s">
        <v>424</v>
      </c>
      <c r="E629" s="28">
        <v>0.97385283</v>
      </c>
      <c r="F629" s="13"/>
      <c r="G629" s="18">
        <v>7119676.2199999997</v>
      </c>
      <c r="H629" s="18">
        <v>6933516.8399999999</v>
      </c>
      <c r="I629" s="18">
        <v>7119676.2199999997</v>
      </c>
      <c r="J629" s="18">
        <v>6933516.8399999999</v>
      </c>
      <c r="K629" s="15">
        <v>92</v>
      </c>
      <c r="L629" s="13" t="s">
        <v>102</v>
      </c>
      <c r="M629" s="13" t="s">
        <v>103</v>
      </c>
      <c r="N629" s="138" t="s">
        <v>424</v>
      </c>
      <c r="O629" s="138" t="s">
        <v>424</v>
      </c>
      <c r="P629" s="28">
        <v>35</v>
      </c>
      <c r="Q629" s="13" t="s">
        <v>54</v>
      </c>
      <c r="R629" s="13" t="s">
        <v>28</v>
      </c>
      <c r="S629" s="13"/>
      <c r="T629" s="13"/>
      <c r="U629" s="13" t="s">
        <v>2674</v>
      </c>
      <c r="V629" s="13" t="s">
        <v>2674</v>
      </c>
      <c r="W629" s="59">
        <f>+J629/$W$2</f>
        <v>1.1347444927216708E-4</v>
      </c>
    </row>
    <row r="630" spans="1:29">
      <c r="A630" s="13" t="s">
        <v>523</v>
      </c>
      <c r="B630" s="13" t="s">
        <v>404</v>
      </c>
      <c r="C630" s="138">
        <v>46287</v>
      </c>
      <c r="D630" s="138" t="s">
        <v>424</v>
      </c>
      <c r="E630" s="28">
        <v>0.98118284</v>
      </c>
      <c r="F630" s="13"/>
      <c r="G630" s="18">
        <v>20000000</v>
      </c>
      <c r="H630" s="18">
        <v>19623656.890000001</v>
      </c>
      <c r="I630" s="18">
        <v>20000000</v>
      </c>
      <c r="J630" s="18">
        <v>19623656.890000001</v>
      </c>
      <c r="K630" s="15">
        <v>157021</v>
      </c>
      <c r="L630" s="13" t="s">
        <v>102</v>
      </c>
      <c r="M630" s="13" t="s">
        <v>103</v>
      </c>
      <c r="N630" s="138" t="s">
        <v>383</v>
      </c>
      <c r="O630" s="138" t="s">
        <v>383</v>
      </c>
      <c r="P630" s="28">
        <v>25</v>
      </c>
      <c r="Q630" s="13" t="s">
        <v>54</v>
      </c>
      <c r="R630" s="13" t="s">
        <v>28</v>
      </c>
      <c r="S630" s="13"/>
      <c r="T630" s="13"/>
      <c r="U630" s="13" t="s">
        <v>1633</v>
      </c>
      <c r="V630" s="13" t="s">
        <v>1633</v>
      </c>
      <c r="W630" s="59">
        <f>+J630/$W$2</f>
        <v>3.2116221964764377E-4</v>
      </c>
    </row>
    <row r="631" spans="1:29">
      <c r="A631" s="13" t="s">
        <v>538</v>
      </c>
      <c r="B631" s="13" t="s">
        <v>404</v>
      </c>
      <c r="C631" s="138">
        <v>46287</v>
      </c>
      <c r="D631" s="138" t="s">
        <v>424</v>
      </c>
      <c r="E631" s="28">
        <v>0.97531000999999995</v>
      </c>
      <c r="F631" s="13"/>
      <c r="G631" s="18">
        <v>10000000</v>
      </c>
      <c r="H631" s="18">
        <v>9753100.0999999996</v>
      </c>
      <c r="I631" s="18">
        <v>10000000</v>
      </c>
      <c r="J631" s="18">
        <v>9753100.0999999996</v>
      </c>
      <c r="K631" s="15">
        <v>29692618</v>
      </c>
      <c r="L631" s="13" t="s">
        <v>102</v>
      </c>
      <c r="M631" s="13" t="s">
        <v>103</v>
      </c>
      <c r="N631" s="138" t="s">
        <v>346</v>
      </c>
      <c r="O631" s="138" t="s">
        <v>346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1516</v>
      </c>
      <c r="V631" s="13" t="s">
        <v>1516</v>
      </c>
      <c r="W631" s="59">
        <f>+J631/$W$2</f>
        <v>1.5961995738714E-4</v>
      </c>
    </row>
    <row r="632" spans="1:29">
      <c r="A632" s="13" t="s">
        <v>701</v>
      </c>
      <c r="B632" s="13" t="s">
        <v>404</v>
      </c>
      <c r="C632" s="138">
        <v>46287</v>
      </c>
      <c r="D632" s="138" t="s">
        <v>424</v>
      </c>
      <c r="E632" s="28">
        <v>0.97530998999999996</v>
      </c>
      <c r="F632" s="13"/>
      <c r="G632" s="18">
        <v>17106704.170000002</v>
      </c>
      <c r="H632" s="18">
        <v>16684339.41</v>
      </c>
      <c r="I632" s="18">
        <v>17106704.170000002</v>
      </c>
      <c r="J632" s="18">
        <v>16684339.41</v>
      </c>
      <c r="K632" s="15">
        <v>940</v>
      </c>
      <c r="L632" s="13" t="s">
        <v>102</v>
      </c>
      <c r="M632" s="13" t="s">
        <v>103</v>
      </c>
      <c r="N632" s="138" t="s">
        <v>164</v>
      </c>
      <c r="O632" s="138" t="s">
        <v>164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880</v>
      </c>
      <c r="V632" s="13" t="s">
        <v>880</v>
      </c>
      <c r="W632" s="59">
        <f>+J632/$W$2</f>
        <v>2.7305713243492506E-4</v>
      </c>
    </row>
    <row r="633" spans="1:29">
      <c r="A633" s="13" t="s">
        <v>763</v>
      </c>
      <c r="B633" s="13" t="s">
        <v>404</v>
      </c>
      <c r="C633" s="138">
        <v>46287</v>
      </c>
      <c r="D633" s="138" t="s">
        <v>424</v>
      </c>
      <c r="E633" s="28">
        <v>0.97239989000000004</v>
      </c>
      <c r="F633" s="13"/>
      <c r="G633" s="18">
        <v>3345657.98</v>
      </c>
      <c r="H633" s="18">
        <v>3253317.44</v>
      </c>
      <c r="I633" s="18">
        <v>3345657.98</v>
      </c>
      <c r="J633" s="18">
        <v>3253317.44</v>
      </c>
      <c r="K633" s="15">
        <v>254</v>
      </c>
      <c r="L633" s="13" t="s">
        <v>102</v>
      </c>
      <c r="M633" s="13" t="s">
        <v>103</v>
      </c>
      <c r="N633" s="138" t="s">
        <v>355</v>
      </c>
      <c r="O633" s="138" t="s">
        <v>355</v>
      </c>
      <c r="P633" s="28">
        <v>37</v>
      </c>
      <c r="Q633" s="13" t="s">
        <v>54</v>
      </c>
      <c r="R633" s="13" t="s">
        <v>28</v>
      </c>
      <c r="S633" s="13"/>
      <c r="T633" s="13"/>
      <c r="U633" s="13" t="s">
        <v>1200</v>
      </c>
      <c r="V633" s="13" t="s">
        <v>1200</v>
      </c>
      <c r="W633" s="59">
        <f>+J633/$W$2</f>
        <v>5.3244033775439199E-5</v>
      </c>
    </row>
    <row r="634" spans="1:29">
      <c r="A634" s="13" t="s">
        <v>773</v>
      </c>
      <c r="B634" s="13" t="s">
        <v>404</v>
      </c>
      <c r="C634" s="138">
        <v>46287</v>
      </c>
      <c r="D634" s="138" t="s">
        <v>424</v>
      </c>
      <c r="E634" s="28">
        <v>0.97458085999999999</v>
      </c>
      <c r="F634" s="13"/>
      <c r="G634" s="18">
        <v>677500000</v>
      </c>
      <c r="H634" s="18">
        <v>660278534.21000004</v>
      </c>
      <c r="I634" s="18">
        <v>677500000</v>
      </c>
      <c r="J634" s="18">
        <v>660278534.21000004</v>
      </c>
      <c r="K634" s="15">
        <v>161679</v>
      </c>
      <c r="L634" s="13" t="s">
        <v>102</v>
      </c>
      <c r="M634" s="13" t="s">
        <v>103</v>
      </c>
      <c r="N634" s="138" t="s">
        <v>445</v>
      </c>
      <c r="O634" s="138" t="s">
        <v>445</v>
      </c>
      <c r="P634" s="28">
        <v>34</v>
      </c>
      <c r="Q634" s="13" t="s">
        <v>54</v>
      </c>
      <c r="R634" s="13" t="s">
        <v>28</v>
      </c>
      <c r="S634" s="13"/>
      <c r="T634" s="13"/>
      <c r="U634" s="13" t="s">
        <v>2528</v>
      </c>
      <c r="V634" s="13" t="s">
        <v>2528</v>
      </c>
      <c r="W634" s="59">
        <f>+J634/$W$2</f>
        <v>1.0806167312303447E-2</v>
      </c>
    </row>
    <row r="635" spans="1:29">
      <c r="A635" s="13" t="s">
        <v>843</v>
      </c>
      <c r="B635" s="13" t="s">
        <v>404</v>
      </c>
      <c r="C635" s="138">
        <v>46287</v>
      </c>
      <c r="D635" s="138" t="s">
        <v>424</v>
      </c>
      <c r="E635" s="28">
        <v>0.97604022000000001</v>
      </c>
      <c r="F635" s="13"/>
      <c r="G635" s="18">
        <v>4000000</v>
      </c>
      <c r="H635" s="18">
        <v>3904160.87</v>
      </c>
      <c r="I635" s="18">
        <v>4000000</v>
      </c>
      <c r="J635" s="18">
        <v>3904160.87</v>
      </c>
      <c r="K635" s="15">
        <v>90015802</v>
      </c>
      <c r="L635" s="13" t="s">
        <v>102</v>
      </c>
      <c r="M635" s="13" t="s">
        <v>103</v>
      </c>
      <c r="N635" s="138" t="s">
        <v>387</v>
      </c>
      <c r="O635" s="138" t="s">
        <v>387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1723</v>
      </c>
      <c r="V635" s="13" t="s">
        <v>1723</v>
      </c>
      <c r="W635" s="59">
        <f>+J635/$W$2</f>
        <v>6.3895785474604071E-5</v>
      </c>
    </row>
    <row r="636" spans="1:29">
      <c r="A636" s="13" t="s">
        <v>895</v>
      </c>
      <c r="B636" s="13" t="s">
        <v>404</v>
      </c>
      <c r="C636" s="138">
        <v>46287</v>
      </c>
      <c r="D636" s="138" t="s">
        <v>424</v>
      </c>
      <c r="E636" s="28">
        <v>0.97530998000000002</v>
      </c>
      <c r="F636" s="13"/>
      <c r="G636" s="18">
        <v>5134985.93</v>
      </c>
      <c r="H636" s="18">
        <v>5008203.03</v>
      </c>
      <c r="I636" s="18">
        <v>5134985.93</v>
      </c>
      <c r="J636" s="18">
        <v>5008203.03</v>
      </c>
      <c r="K636" s="15">
        <v>403</v>
      </c>
      <c r="L636" s="13" t="s">
        <v>102</v>
      </c>
      <c r="M636" s="13" t="s">
        <v>103</v>
      </c>
      <c r="N636" s="138" t="s">
        <v>164</v>
      </c>
      <c r="O636" s="138" t="s">
        <v>164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886</v>
      </c>
      <c r="V636" s="13" t="s">
        <v>886</v>
      </c>
      <c r="W636" s="59">
        <f>+J636/$W$2</f>
        <v>8.1964621098756644E-5</v>
      </c>
      <c r="AC636" s="56"/>
    </row>
    <row r="637" spans="1:29">
      <c r="A637" s="13" t="s">
        <v>157</v>
      </c>
      <c r="B637" s="13" t="s">
        <v>404</v>
      </c>
      <c r="C637" s="138">
        <v>46287</v>
      </c>
      <c r="D637" s="138" t="s">
        <v>424</v>
      </c>
      <c r="E637" s="28">
        <v>0.97823757</v>
      </c>
      <c r="F637" s="13"/>
      <c r="G637" s="18">
        <v>25000000</v>
      </c>
      <c r="H637" s="18">
        <v>24455939.219999999</v>
      </c>
      <c r="I637" s="18">
        <v>25000000</v>
      </c>
      <c r="J637" s="18">
        <v>24455939.219999999</v>
      </c>
      <c r="K637" s="15">
        <v>66410159</v>
      </c>
      <c r="L637" s="13" t="s">
        <v>102</v>
      </c>
      <c r="M637" s="13" t="s">
        <v>103</v>
      </c>
      <c r="N637" s="138" t="s">
        <v>289</v>
      </c>
      <c r="O637" s="138" t="s">
        <v>289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606</v>
      </c>
      <c r="V637" s="13" t="s">
        <v>606</v>
      </c>
      <c r="W637" s="59">
        <f>+J637/$W$2</f>
        <v>4.0024770956250988E-4</v>
      </c>
    </row>
    <row r="638" spans="1:29">
      <c r="A638" s="13" t="s">
        <v>565</v>
      </c>
      <c r="B638" s="13" t="s">
        <v>404</v>
      </c>
      <c r="C638" s="138">
        <v>46287</v>
      </c>
      <c r="D638" s="138" t="s">
        <v>424</v>
      </c>
      <c r="E638" s="28">
        <v>0.97970802999999995</v>
      </c>
      <c r="F638" s="13"/>
      <c r="G638" s="18">
        <v>20000000</v>
      </c>
      <c r="H638" s="18">
        <v>19594160.550000001</v>
      </c>
      <c r="I638" s="18">
        <v>20000000</v>
      </c>
      <c r="J638" s="18">
        <v>19594160.550000001</v>
      </c>
      <c r="K638" s="15">
        <v>67970080</v>
      </c>
      <c r="L638" s="13" t="s">
        <v>102</v>
      </c>
      <c r="M638" s="13" t="s">
        <v>103</v>
      </c>
      <c r="N638" s="138" t="s">
        <v>393</v>
      </c>
      <c r="O638" s="138" t="s">
        <v>393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1131</v>
      </c>
      <c r="V638" s="13" t="s">
        <v>1131</v>
      </c>
      <c r="W638" s="59">
        <f>+J638/$W$2</f>
        <v>3.206794803662253E-4</v>
      </c>
    </row>
    <row r="639" spans="1:29">
      <c r="A639" s="13" t="s">
        <v>565</v>
      </c>
      <c r="B639" s="13" t="s">
        <v>404</v>
      </c>
      <c r="C639" s="138">
        <v>46287</v>
      </c>
      <c r="D639" s="138" t="s">
        <v>424</v>
      </c>
      <c r="E639" s="28">
        <v>0.98192193999999999</v>
      </c>
      <c r="F639" s="13"/>
      <c r="G639" s="18">
        <v>2500000</v>
      </c>
      <c r="H639" s="18">
        <v>2454804.85</v>
      </c>
      <c r="I639" s="18">
        <v>2500000</v>
      </c>
      <c r="J639" s="18">
        <v>2454804.85</v>
      </c>
      <c r="K639" s="15">
        <v>16821014</v>
      </c>
      <c r="L639" s="13" t="s">
        <v>102</v>
      </c>
      <c r="M639" s="13" t="s">
        <v>103</v>
      </c>
      <c r="N639" s="138" t="s">
        <v>339</v>
      </c>
      <c r="O639" s="138" t="s">
        <v>339</v>
      </c>
      <c r="P639" s="28">
        <v>24</v>
      </c>
      <c r="Q639" s="13" t="s">
        <v>54</v>
      </c>
      <c r="R639" s="13" t="s">
        <v>28</v>
      </c>
      <c r="S639" s="13"/>
      <c r="T639" s="13"/>
      <c r="U639" s="13" t="s">
        <v>1573</v>
      </c>
      <c r="V639" s="13" t="s">
        <v>1573</v>
      </c>
      <c r="W639" s="59">
        <f>+J639/$W$2</f>
        <v>4.0175517684960974E-5</v>
      </c>
    </row>
    <row r="640" spans="1:29">
      <c r="A640" s="13" t="s">
        <v>565</v>
      </c>
      <c r="B640" s="13" t="s">
        <v>404</v>
      </c>
      <c r="C640" s="138">
        <v>46287</v>
      </c>
      <c r="D640" s="138" t="s">
        <v>424</v>
      </c>
      <c r="E640" s="28">
        <v>0.98192193999999999</v>
      </c>
      <c r="F640" s="13"/>
      <c r="G640" s="18">
        <v>4000000</v>
      </c>
      <c r="H640" s="18">
        <v>3927687.75</v>
      </c>
      <c r="I640" s="18">
        <v>4000000</v>
      </c>
      <c r="J640" s="18">
        <v>3927687.75</v>
      </c>
      <c r="K640" s="15">
        <v>16821012</v>
      </c>
      <c r="L640" s="13" t="s">
        <v>102</v>
      </c>
      <c r="M640" s="13" t="s">
        <v>103</v>
      </c>
      <c r="N640" s="138" t="s">
        <v>339</v>
      </c>
      <c r="O640" s="138" t="s">
        <v>339</v>
      </c>
      <c r="P640" s="28">
        <v>24</v>
      </c>
      <c r="Q640" s="13" t="s">
        <v>54</v>
      </c>
      <c r="R640" s="13" t="s">
        <v>28</v>
      </c>
      <c r="S640" s="13"/>
      <c r="T640" s="13"/>
      <c r="U640" s="13" t="s">
        <v>1574</v>
      </c>
      <c r="V640" s="13" t="s">
        <v>1574</v>
      </c>
      <c r="W640" s="59">
        <f>+J640/$W$2</f>
        <v>6.4280828132276812E-5</v>
      </c>
    </row>
    <row r="641" spans="1:29">
      <c r="A641" s="13" t="s">
        <v>565</v>
      </c>
      <c r="B641" s="13" t="s">
        <v>404</v>
      </c>
      <c r="C641" s="138">
        <v>46287</v>
      </c>
      <c r="D641" s="138" t="s">
        <v>424</v>
      </c>
      <c r="E641" s="28">
        <v>0.97897221999999995</v>
      </c>
      <c r="F641" s="13"/>
      <c r="G641" s="18">
        <v>10950000</v>
      </c>
      <c r="H641" s="18">
        <v>10719745.82</v>
      </c>
      <c r="I641" s="18">
        <v>10950000</v>
      </c>
      <c r="J641" s="18">
        <v>10719745.82</v>
      </c>
      <c r="K641" s="15">
        <v>90000868</v>
      </c>
      <c r="L641" s="13" t="s">
        <v>102</v>
      </c>
      <c r="M641" s="13" t="s">
        <v>103</v>
      </c>
      <c r="N641" s="138" t="s">
        <v>535</v>
      </c>
      <c r="O641" s="138" t="s">
        <v>535</v>
      </c>
      <c r="P641" s="28">
        <v>28</v>
      </c>
      <c r="Q641" s="13" t="s">
        <v>54</v>
      </c>
      <c r="R641" s="13" t="s">
        <v>28</v>
      </c>
      <c r="S641" s="13"/>
      <c r="T641" s="13"/>
      <c r="U641" s="13" t="s">
        <v>2327</v>
      </c>
      <c r="V641" s="13" t="s">
        <v>2327</v>
      </c>
      <c r="W641" s="59">
        <f>+J641/$W$2</f>
        <v>1.754401527150708E-4</v>
      </c>
    </row>
    <row r="642" spans="1:29">
      <c r="A642" s="13" t="s">
        <v>537</v>
      </c>
      <c r="B642" s="13" t="s">
        <v>404</v>
      </c>
      <c r="C642" s="138">
        <v>46287</v>
      </c>
      <c r="D642" s="138" t="s">
        <v>424</v>
      </c>
      <c r="E642" s="28">
        <v>0.97897221999999995</v>
      </c>
      <c r="F642" s="13"/>
      <c r="G642" s="18">
        <v>10000000</v>
      </c>
      <c r="H642" s="18">
        <v>9789722.2300000004</v>
      </c>
      <c r="I642" s="18">
        <v>10000000</v>
      </c>
      <c r="J642" s="18">
        <v>9789722.2300000004</v>
      </c>
      <c r="K642" s="15">
        <v>1406548</v>
      </c>
      <c r="L642" s="13" t="s">
        <v>102</v>
      </c>
      <c r="M642" s="13" t="s">
        <v>103</v>
      </c>
      <c r="N642" s="138" t="s">
        <v>304</v>
      </c>
      <c r="O642" s="138" t="s">
        <v>304</v>
      </c>
      <c r="P642" s="28">
        <v>28</v>
      </c>
      <c r="Q642" s="13" t="s">
        <v>54</v>
      </c>
      <c r="R642" s="13" t="s">
        <v>28</v>
      </c>
      <c r="S642" s="13"/>
      <c r="T642" s="13"/>
      <c r="U642" s="13" t="s">
        <v>973</v>
      </c>
      <c r="V642" s="13" t="s">
        <v>973</v>
      </c>
      <c r="W642" s="59">
        <f>+J642/$W$2</f>
        <v>1.6021931787458404E-4</v>
      </c>
    </row>
    <row r="643" spans="1:29">
      <c r="A643" s="13" t="s">
        <v>285</v>
      </c>
      <c r="B643" s="13" t="s">
        <v>404</v>
      </c>
      <c r="C643" s="138">
        <v>46287</v>
      </c>
      <c r="D643" s="138" t="s">
        <v>424</v>
      </c>
      <c r="E643" s="28">
        <v>0.97970802999999995</v>
      </c>
      <c r="F643" s="13"/>
      <c r="G643" s="18">
        <v>5000000</v>
      </c>
      <c r="H643" s="18">
        <v>4898540.1399999997</v>
      </c>
      <c r="I643" s="18">
        <v>5000000</v>
      </c>
      <c r="J643" s="18">
        <v>4898540.1399999997</v>
      </c>
      <c r="K643" s="15">
        <v>67193053</v>
      </c>
      <c r="L643" s="13" t="s">
        <v>102</v>
      </c>
      <c r="M643" s="13" t="s">
        <v>103</v>
      </c>
      <c r="N643" s="138" t="s">
        <v>330</v>
      </c>
      <c r="O643" s="138" t="s">
        <v>330</v>
      </c>
      <c r="P643" s="28">
        <v>27</v>
      </c>
      <c r="Q643" s="13" t="s">
        <v>54</v>
      </c>
      <c r="R643" s="13" t="s">
        <v>28</v>
      </c>
      <c r="S643" s="13"/>
      <c r="T643" s="13"/>
      <c r="U643" s="13" t="s">
        <v>924</v>
      </c>
      <c r="V643" s="13" t="s">
        <v>924</v>
      </c>
      <c r="W643" s="59">
        <f>+J643/$W$2</f>
        <v>8.0169870132471498E-5</v>
      </c>
    </row>
    <row r="644" spans="1:29">
      <c r="A644" s="13" t="s">
        <v>285</v>
      </c>
      <c r="B644" s="13" t="s">
        <v>404</v>
      </c>
      <c r="C644" s="138">
        <v>46287</v>
      </c>
      <c r="D644" s="138" t="s">
        <v>424</v>
      </c>
      <c r="E644" s="28">
        <v>0.98118285999999999</v>
      </c>
      <c r="F644" s="13"/>
      <c r="G644" s="18">
        <v>5000000</v>
      </c>
      <c r="H644" s="18">
        <v>4905914.3</v>
      </c>
      <c r="I644" s="18">
        <v>5000000</v>
      </c>
      <c r="J644" s="18">
        <v>4905914.3</v>
      </c>
      <c r="K644" s="15">
        <v>8744</v>
      </c>
      <c r="L644" s="13" t="s">
        <v>102</v>
      </c>
      <c r="M644" s="13" t="s">
        <v>103</v>
      </c>
      <c r="N644" s="138" t="s">
        <v>339</v>
      </c>
      <c r="O644" s="138" t="s">
        <v>339</v>
      </c>
      <c r="P644" s="28">
        <v>25</v>
      </c>
      <c r="Q644" s="13" t="s">
        <v>54</v>
      </c>
      <c r="R644" s="13" t="s">
        <v>28</v>
      </c>
      <c r="S644" s="13"/>
      <c r="T644" s="13"/>
      <c r="U644" s="13" t="s">
        <v>1587</v>
      </c>
      <c r="V644" s="13" t="s">
        <v>1587</v>
      </c>
      <c r="W644" s="59">
        <f>+J644/$W$2</f>
        <v>8.0290556180281672E-5</v>
      </c>
    </row>
    <row r="645" spans="1:29">
      <c r="A645" s="13" t="s">
        <v>375</v>
      </c>
      <c r="B645" s="13" t="s">
        <v>404</v>
      </c>
      <c r="C645" s="138">
        <v>46287</v>
      </c>
      <c r="D645" s="138" t="s">
        <v>424</v>
      </c>
      <c r="E645" s="28">
        <v>0.97531007000000003</v>
      </c>
      <c r="F645" s="13"/>
      <c r="G645" s="18">
        <v>5000000</v>
      </c>
      <c r="H645" s="18">
        <v>4876550.33</v>
      </c>
      <c r="I645" s="18">
        <v>5000000</v>
      </c>
      <c r="J645" s="18">
        <v>4876550.33</v>
      </c>
      <c r="K645" s="15">
        <v>3045</v>
      </c>
      <c r="L645" s="13" t="s">
        <v>102</v>
      </c>
      <c r="M645" s="13" t="s">
        <v>103</v>
      </c>
      <c r="N645" s="138" t="s">
        <v>161</v>
      </c>
      <c r="O645" s="138" t="s">
        <v>161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1694</v>
      </c>
      <c r="V645" s="13" t="s">
        <v>1694</v>
      </c>
      <c r="W645" s="59">
        <f>+J645/$W$2</f>
        <v>7.9809983276070708E-5</v>
      </c>
    </row>
    <row r="646" spans="1:29">
      <c r="A646" s="13" t="s">
        <v>427</v>
      </c>
      <c r="B646" s="13" t="s">
        <v>404</v>
      </c>
      <c r="C646" s="138">
        <v>46287</v>
      </c>
      <c r="D646" s="138" t="s">
        <v>424</v>
      </c>
      <c r="E646" s="28">
        <v>0.97385281999999995</v>
      </c>
      <c r="F646" s="13"/>
      <c r="G646" s="18">
        <v>50000000</v>
      </c>
      <c r="H646" s="18">
        <v>48692640.840000004</v>
      </c>
      <c r="I646" s="18">
        <v>50000000</v>
      </c>
      <c r="J646" s="18">
        <v>48692640.840000004</v>
      </c>
      <c r="K646" s="15">
        <v>2885</v>
      </c>
      <c r="L646" s="13" t="s">
        <v>102</v>
      </c>
      <c r="M646" s="13" t="s">
        <v>103</v>
      </c>
      <c r="N646" s="138" t="s">
        <v>408</v>
      </c>
      <c r="O646" s="138" t="s">
        <v>408</v>
      </c>
      <c r="P646" s="28">
        <v>35</v>
      </c>
      <c r="Q646" s="13" t="s">
        <v>54</v>
      </c>
      <c r="R646" s="13" t="s">
        <v>28</v>
      </c>
      <c r="S646" s="13"/>
      <c r="T646" s="13"/>
      <c r="U646" s="13" t="s">
        <v>1057</v>
      </c>
      <c r="V646" s="13" t="s">
        <v>1057</v>
      </c>
      <c r="W646" s="59">
        <f>+J646/$W$2</f>
        <v>7.9690736035284968E-4</v>
      </c>
      <c r="AC646" s="56"/>
    </row>
    <row r="647" spans="1:29">
      <c r="A647" s="13" t="s">
        <v>413</v>
      </c>
      <c r="B647" s="13" t="s">
        <v>404</v>
      </c>
      <c r="C647" s="138">
        <v>46287</v>
      </c>
      <c r="D647" s="138" t="s">
        <v>424</v>
      </c>
      <c r="E647" s="28">
        <v>0.97604029000000003</v>
      </c>
      <c r="F647" s="13"/>
      <c r="G647" s="18">
        <v>15355310.449999999</v>
      </c>
      <c r="H647" s="18">
        <v>14987401.59</v>
      </c>
      <c r="I647" s="18">
        <v>15355310.449999999</v>
      </c>
      <c r="J647" s="18">
        <v>14987401.59</v>
      </c>
      <c r="K647" s="15">
        <v>30749</v>
      </c>
      <c r="L647" s="13" t="s">
        <v>102</v>
      </c>
      <c r="M647" s="13" t="s">
        <v>103</v>
      </c>
      <c r="N647" s="138" t="s">
        <v>330</v>
      </c>
      <c r="O647" s="138" t="s">
        <v>330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937</v>
      </c>
      <c r="V647" s="13" t="s">
        <v>937</v>
      </c>
      <c r="W647" s="59">
        <f>+J647/$W$2</f>
        <v>2.4528492260012327E-4</v>
      </c>
    </row>
    <row r="648" spans="1:29">
      <c r="A648" s="13" t="s">
        <v>356</v>
      </c>
      <c r="B648" s="13" t="s">
        <v>404</v>
      </c>
      <c r="C648" s="138">
        <v>46287</v>
      </c>
      <c r="D648" s="138" t="s">
        <v>424</v>
      </c>
      <c r="E648" s="28">
        <v>0.97604029000000003</v>
      </c>
      <c r="F648" s="13"/>
      <c r="G648" s="18">
        <v>40000000</v>
      </c>
      <c r="H648" s="18">
        <v>39041611.420000002</v>
      </c>
      <c r="I648" s="18">
        <v>40000000</v>
      </c>
      <c r="J648" s="18">
        <v>39041611.420000002</v>
      </c>
      <c r="K648" s="15">
        <v>13662787</v>
      </c>
      <c r="L648" s="13" t="s">
        <v>102</v>
      </c>
      <c r="M648" s="13" t="s">
        <v>103</v>
      </c>
      <c r="N648" s="138" t="s">
        <v>330</v>
      </c>
      <c r="O648" s="138" t="s">
        <v>330</v>
      </c>
      <c r="P648" s="28">
        <v>32</v>
      </c>
      <c r="Q648" s="13" t="s">
        <v>54</v>
      </c>
      <c r="R648" s="13" t="s">
        <v>28</v>
      </c>
      <c r="S648" s="13"/>
      <c r="T648" s="13"/>
      <c r="U648" s="13" t="s">
        <v>949</v>
      </c>
      <c r="V648" s="13" t="s">
        <v>949</v>
      </c>
      <c r="W648" s="59">
        <f>+J648/$W$2</f>
        <v>6.3895789926176185E-4</v>
      </c>
    </row>
    <row r="649" spans="1:29">
      <c r="A649" s="13" t="s">
        <v>2692</v>
      </c>
      <c r="B649" s="13" t="s">
        <v>1907</v>
      </c>
      <c r="C649" s="138">
        <v>46287</v>
      </c>
      <c r="D649" s="138" t="s">
        <v>424</v>
      </c>
      <c r="E649" s="28">
        <v>0.99087800999999998</v>
      </c>
      <c r="F649" s="13" t="s">
        <v>2579</v>
      </c>
      <c r="G649" s="18">
        <v>5609.52</v>
      </c>
      <c r="H649" s="18">
        <v>5558.35</v>
      </c>
      <c r="I649" s="18">
        <v>8582565.2200000007</v>
      </c>
      <c r="J649" s="18">
        <v>8504275.1300000008</v>
      </c>
      <c r="K649" s="15">
        <v>90</v>
      </c>
      <c r="L649" s="13" t="s">
        <v>102</v>
      </c>
      <c r="M649" s="13" t="s">
        <v>103</v>
      </c>
      <c r="N649" s="138" t="s">
        <v>424</v>
      </c>
      <c r="O649" s="138" t="s">
        <v>424</v>
      </c>
      <c r="P649" s="28">
        <v>12</v>
      </c>
      <c r="Q649" s="13" t="s">
        <v>54</v>
      </c>
      <c r="R649" s="13" t="s">
        <v>28</v>
      </c>
      <c r="S649" s="13"/>
      <c r="T649" s="13"/>
      <c r="U649" s="13" t="s">
        <v>2678</v>
      </c>
      <c r="V649" s="13" t="s">
        <v>2678</v>
      </c>
      <c r="W649" s="59">
        <f>+J649/$W$2</f>
        <v>1.3918159558919268E-4</v>
      </c>
    </row>
    <row r="650" spans="1:29">
      <c r="A650" s="13" t="s">
        <v>2218</v>
      </c>
      <c r="B650" s="13" t="s">
        <v>404</v>
      </c>
      <c r="C650" s="138">
        <v>46287</v>
      </c>
      <c r="D650" s="138" t="s">
        <v>424</v>
      </c>
      <c r="E650" s="28">
        <v>0.97897224999999999</v>
      </c>
      <c r="F650" s="13"/>
      <c r="G650" s="18">
        <v>11398000</v>
      </c>
      <c r="H650" s="18">
        <v>11158325.720000001</v>
      </c>
      <c r="I650" s="18">
        <v>11398000</v>
      </c>
      <c r="J650" s="18">
        <v>11158325.720000001</v>
      </c>
      <c r="K650" s="15">
        <v>121</v>
      </c>
      <c r="L650" s="13" t="s">
        <v>102</v>
      </c>
      <c r="M650" s="13" t="s">
        <v>103</v>
      </c>
      <c r="N650" s="138" t="s">
        <v>639</v>
      </c>
      <c r="O650" s="138" t="s">
        <v>639</v>
      </c>
      <c r="P650" s="28">
        <v>28</v>
      </c>
      <c r="Q650" s="13" t="s">
        <v>54</v>
      </c>
      <c r="R650" s="13" t="s">
        <v>28</v>
      </c>
      <c r="S650" s="13"/>
      <c r="T650" s="13"/>
      <c r="U650" s="13" t="s">
        <v>2147</v>
      </c>
      <c r="V650" s="13" t="s">
        <v>2147</v>
      </c>
      <c r="W650" s="59">
        <f>+J650/$W$2</f>
        <v>1.8261798378735276E-4</v>
      </c>
    </row>
    <row r="651" spans="1:29">
      <c r="A651" s="13" t="s">
        <v>2219</v>
      </c>
      <c r="B651" s="13" t="s">
        <v>404</v>
      </c>
      <c r="C651" s="138">
        <v>46287</v>
      </c>
      <c r="D651" s="138" t="s">
        <v>424</v>
      </c>
      <c r="E651" s="28">
        <v>0.97897224999999999</v>
      </c>
      <c r="F651" s="13"/>
      <c r="G651" s="18">
        <v>7700000</v>
      </c>
      <c r="H651" s="18">
        <v>7538086.3300000001</v>
      </c>
      <c r="I651" s="18">
        <v>7700000</v>
      </c>
      <c r="J651" s="18">
        <v>7538086.3300000001</v>
      </c>
      <c r="K651" s="15">
        <v>90015753</v>
      </c>
      <c r="L651" s="13" t="s">
        <v>102</v>
      </c>
      <c r="M651" s="13" t="s">
        <v>103</v>
      </c>
      <c r="N651" s="138" t="s">
        <v>639</v>
      </c>
      <c r="O651" s="138" t="s">
        <v>639</v>
      </c>
      <c r="P651" s="28">
        <v>28</v>
      </c>
      <c r="Q651" s="13" t="s">
        <v>54</v>
      </c>
      <c r="R651" s="13" t="s">
        <v>28</v>
      </c>
      <c r="S651" s="13"/>
      <c r="T651" s="13"/>
      <c r="U651" s="13" t="s">
        <v>2148</v>
      </c>
      <c r="V651" s="13" t="s">
        <v>2148</v>
      </c>
      <c r="W651" s="59">
        <f>+J651/$W$2</f>
        <v>1.2336887824776686E-4</v>
      </c>
    </row>
    <row r="652" spans="1:29">
      <c r="A652" s="13" t="s">
        <v>2220</v>
      </c>
      <c r="B652" s="13" t="s">
        <v>404</v>
      </c>
      <c r="C652" s="138">
        <v>46287</v>
      </c>
      <c r="D652" s="138" t="s">
        <v>424</v>
      </c>
      <c r="E652" s="28">
        <v>0.97897224999999999</v>
      </c>
      <c r="F652" s="13"/>
      <c r="G652" s="18">
        <v>8825438.2699999996</v>
      </c>
      <c r="H652" s="18">
        <v>8639859.1699999999</v>
      </c>
      <c r="I652" s="18">
        <v>8825438.2699999996</v>
      </c>
      <c r="J652" s="18">
        <v>8639859.1699999999</v>
      </c>
      <c r="K652" s="15">
        <v>90001620</v>
      </c>
      <c r="L652" s="13" t="s">
        <v>102</v>
      </c>
      <c r="M652" s="13" t="s">
        <v>103</v>
      </c>
      <c r="N652" s="138" t="s">
        <v>639</v>
      </c>
      <c r="O652" s="138" t="s">
        <v>639</v>
      </c>
      <c r="P652" s="28">
        <v>28</v>
      </c>
      <c r="Q652" s="13" t="s">
        <v>54</v>
      </c>
      <c r="R652" s="13" t="s">
        <v>28</v>
      </c>
      <c r="S652" s="13"/>
      <c r="T652" s="13"/>
      <c r="U652" s="13" t="s">
        <v>2149</v>
      </c>
      <c r="V652" s="13" t="s">
        <v>2149</v>
      </c>
      <c r="W652" s="59">
        <f>+J652/$W$2</f>
        <v>1.4140057401300441E-4</v>
      </c>
    </row>
    <row r="653" spans="1:29">
      <c r="A653" s="13" t="s">
        <v>2226</v>
      </c>
      <c r="B653" s="13" t="s">
        <v>404</v>
      </c>
      <c r="C653" s="138">
        <v>46287</v>
      </c>
      <c r="D653" s="138" t="s">
        <v>424</v>
      </c>
      <c r="E653" s="28">
        <v>0.97897224999999999</v>
      </c>
      <c r="F653" s="13"/>
      <c r="G653" s="18">
        <v>7000000</v>
      </c>
      <c r="H653" s="18">
        <v>6852805.7699999996</v>
      </c>
      <c r="I653" s="18">
        <v>7000000</v>
      </c>
      <c r="J653" s="18">
        <v>6852805.7699999996</v>
      </c>
      <c r="K653" s="15">
        <v>1161723</v>
      </c>
      <c r="L653" s="13" t="s">
        <v>102</v>
      </c>
      <c r="M653" s="13" t="s">
        <v>103</v>
      </c>
      <c r="N653" s="138" t="s">
        <v>639</v>
      </c>
      <c r="O653" s="138" t="s">
        <v>639</v>
      </c>
      <c r="P653" s="28">
        <v>28</v>
      </c>
      <c r="Q653" s="13" t="s">
        <v>54</v>
      </c>
      <c r="R653" s="13" t="s">
        <v>28</v>
      </c>
      <c r="S653" s="13"/>
      <c r="T653" s="13"/>
      <c r="U653" s="13" t="s">
        <v>2204</v>
      </c>
      <c r="V653" s="13" t="s">
        <v>2204</v>
      </c>
      <c r="W653" s="59">
        <f>+J653/$W$2</f>
        <v>1.1215352593271827E-4</v>
      </c>
    </row>
    <row r="654" spans="1:29">
      <c r="A654" s="13" t="s">
        <v>409</v>
      </c>
      <c r="B654" s="13" t="s">
        <v>404</v>
      </c>
      <c r="C654" s="138">
        <v>46287</v>
      </c>
      <c r="D654" s="138" t="s">
        <v>424</v>
      </c>
      <c r="E654" s="28">
        <v>0.97530996000000003</v>
      </c>
      <c r="F654" s="13"/>
      <c r="G654" s="18">
        <v>12500000</v>
      </c>
      <c r="H654" s="18">
        <v>12191374.550000001</v>
      </c>
      <c r="I654" s="18">
        <v>12500000</v>
      </c>
      <c r="J654" s="18">
        <v>12191374.550000001</v>
      </c>
      <c r="K654" s="15">
        <v>1360</v>
      </c>
      <c r="L654" s="13" t="s">
        <v>102</v>
      </c>
      <c r="M654" s="13" t="s">
        <v>103</v>
      </c>
      <c r="N654" s="138" t="s">
        <v>373</v>
      </c>
      <c r="O654" s="138" t="s">
        <v>373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780</v>
      </c>
      <c r="V654" s="13" t="s">
        <v>780</v>
      </c>
      <c r="W654" s="59">
        <f>+J654/$W$2</f>
        <v>1.9952493732343252E-4</v>
      </c>
    </row>
    <row r="655" spans="1:29">
      <c r="A655" s="13" t="s">
        <v>190</v>
      </c>
      <c r="B655" s="13" t="s">
        <v>404</v>
      </c>
      <c r="C655" s="138">
        <v>46287</v>
      </c>
      <c r="D655" s="138" t="s">
        <v>424</v>
      </c>
      <c r="E655" s="28">
        <v>0.9822919</v>
      </c>
      <c r="F655" s="13"/>
      <c r="G655" s="18">
        <v>6005225.8799999999</v>
      </c>
      <c r="H655" s="18">
        <v>5898884.7199999997</v>
      </c>
      <c r="I655" s="18">
        <v>6005225.8799999999</v>
      </c>
      <c r="J655" s="18">
        <v>5898884.7199999997</v>
      </c>
      <c r="K655" s="15">
        <v>95</v>
      </c>
      <c r="L655" s="13" t="s">
        <v>102</v>
      </c>
      <c r="M655" s="13" t="s">
        <v>103</v>
      </c>
      <c r="N655" s="138" t="s">
        <v>339</v>
      </c>
      <c r="O655" s="138" t="s">
        <v>339</v>
      </c>
      <c r="P655" s="28">
        <v>23.5</v>
      </c>
      <c r="Q655" s="13" t="s">
        <v>54</v>
      </c>
      <c r="R655" s="13" t="s">
        <v>28</v>
      </c>
      <c r="S655" s="13"/>
      <c r="T655" s="13"/>
      <c r="U655" s="13" t="s">
        <v>1603</v>
      </c>
      <c r="V655" s="13" t="s">
        <v>1603</v>
      </c>
      <c r="W655" s="59">
        <f>+J655/$W$2</f>
        <v>9.6541583494877831E-5</v>
      </c>
      <c r="AC655" s="56"/>
    </row>
    <row r="656" spans="1:29">
      <c r="A656" s="13" t="s">
        <v>960</v>
      </c>
      <c r="B656" s="13" t="s">
        <v>404</v>
      </c>
      <c r="C656" s="138">
        <v>46287</v>
      </c>
      <c r="D656" s="138" t="s">
        <v>424</v>
      </c>
      <c r="E656" s="28">
        <v>0.97604029000000003</v>
      </c>
      <c r="F656" s="13"/>
      <c r="G656" s="18">
        <v>1000000</v>
      </c>
      <c r="H656" s="18">
        <v>976040.29</v>
      </c>
      <c r="I656" s="18">
        <v>1000000</v>
      </c>
      <c r="J656" s="18">
        <v>976040.29</v>
      </c>
      <c r="K656" s="15">
        <v>67381776</v>
      </c>
      <c r="L656" s="13" t="s">
        <v>102</v>
      </c>
      <c r="M656" s="13" t="s">
        <v>103</v>
      </c>
      <c r="N656" s="138" t="s">
        <v>330</v>
      </c>
      <c r="O656" s="138" t="s">
        <v>330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962</v>
      </c>
      <c r="V656" s="13" t="s">
        <v>962</v>
      </c>
      <c r="W656" s="59">
        <f>+J656/$W$2</f>
        <v>1.5973947555191379E-5</v>
      </c>
    </row>
    <row r="657" spans="1:35">
      <c r="A657" s="13" t="s">
        <v>979</v>
      </c>
      <c r="B657" s="13" t="s">
        <v>404</v>
      </c>
      <c r="C657" s="138">
        <v>46287</v>
      </c>
      <c r="D657" s="138" t="s">
        <v>424</v>
      </c>
      <c r="E657" s="28">
        <v>0.97604022999999995</v>
      </c>
      <c r="F657" s="13"/>
      <c r="G657" s="18">
        <v>10000000</v>
      </c>
      <c r="H657" s="18">
        <v>9760402.2899999991</v>
      </c>
      <c r="I657" s="18">
        <v>10000000</v>
      </c>
      <c r="J657" s="18">
        <v>9760402.2899999991</v>
      </c>
      <c r="K657" s="15">
        <v>67448929</v>
      </c>
      <c r="L657" s="13" t="s">
        <v>102</v>
      </c>
      <c r="M657" s="13" t="s">
        <v>103</v>
      </c>
      <c r="N657" s="138" t="s">
        <v>304</v>
      </c>
      <c r="O657" s="138" t="s">
        <v>304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977</v>
      </c>
      <c r="V657" s="13" t="s">
        <v>977</v>
      </c>
      <c r="W657" s="59">
        <f>+J657/$W$2</f>
        <v>1.5973946556860865E-4</v>
      </c>
    </row>
    <row r="658" spans="1:35">
      <c r="A658" s="13" t="s">
        <v>1030</v>
      </c>
      <c r="B658" s="13" t="s">
        <v>404</v>
      </c>
      <c r="C658" s="138">
        <v>46287</v>
      </c>
      <c r="D658" s="138" t="s">
        <v>424</v>
      </c>
      <c r="E658" s="28">
        <v>0.97750402999999997</v>
      </c>
      <c r="F658" s="13"/>
      <c r="G658" s="18">
        <v>2500000</v>
      </c>
      <c r="H658" s="18">
        <v>2443760.08</v>
      </c>
      <c r="I658" s="18">
        <v>2500000</v>
      </c>
      <c r="J658" s="18">
        <v>2443760.08</v>
      </c>
      <c r="K658" s="15">
        <v>347</v>
      </c>
      <c r="L658" s="13" t="s">
        <v>102</v>
      </c>
      <c r="M658" s="13" t="s">
        <v>103</v>
      </c>
      <c r="N658" s="138" t="s">
        <v>343</v>
      </c>
      <c r="O658" s="138" t="s">
        <v>343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1473</v>
      </c>
      <c r="V658" s="13" t="s">
        <v>1473</v>
      </c>
      <c r="W658" s="59">
        <f>+J658/$W$2</f>
        <v>3.9994758162483522E-5</v>
      </c>
    </row>
    <row r="659" spans="1:35">
      <c r="A659" s="13" t="s">
        <v>1351</v>
      </c>
      <c r="B659" s="13" t="s">
        <v>404</v>
      </c>
      <c r="C659" s="138">
        <v>46287</v>
      </c>
      <c r="D659" s="138" t="s">
        <v>424</v>
      </c>
      <c r="E659" s="28">
        <v>0.97750408</v>
      </c>
      <c r="F659" s="13"/>
      <c r="G659" s="18">
        <v>5628480.1799999997</v>
      </c>
      <c r="H659" s="18">
        <v>5501862.3499999996</v>
      </c>
      <c r="I659" s="18">
        <v>5628480.1799999997</v>
      </c>
      <c r="J659" s="18">
        <v>5501862.3499999996</v>
      </c>
      <c r="K659" s="15">
        <v>68199746</v>
      </c>
      <c r="L659" s="13" t="s">
        <v>102</v>
      </c>
      <c r="M659" s="13" t="s">
        <v>103</v>
      </c>
      <c r="N659" s="138" t="s">
        <v>601</v>
      </c>
      <c r="O659" s="138" t="s">
        <v>601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1343</v>
      </c>
      <c r="V659" s="13" t="s">
        <v>1343</v>
      </c>
      <c r="W659" s="59">
        <f>+J659/$W$2</f>
        <v>9.0043886031366581E-5</v>
      </c>
    </row>
    <row r="660" spans="1:35">
      <c r="A660" s="13" t="s">
        <v>1464</v>
      </c>
      <c r="B660" s="13" t="s">
        <v>404</v>
      </c>
      <c r="C660" s="138">
        <v>46287</v>
      </c>
      <c r="D660" s="138" t="s">
        <v>424</v>
      </c>
      <c r="E660" s="28">
        <v>0.97750402999999997</v>
      </c>
      <c r="F660" s="13"/>
      <c r="G660" s="18">
        <v>2500000</v>
      </c>
      <c r="H660" s="18">
        <v>2443760.08</v>
      </c>
      <c r="I660" s="18">
        <v>2500000</v>
      </c>
      <c r="J660" s="18">
        <v>2443760.08</v>
      </c>
      <c r="K660" s="15">
        <v>382</v>
      </c>
      <c r="L660" s="13" t="s">
        <v>102</v>
      </c>
      <c r="M660" s="13" t="s">
        <v>103</v>
      </c>
      <c r="N660" s="138" t="s">
        <v>343</v>
      </c>
      <c r="O660" s="138" t="s">
        <v>343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1465</v>
      </c>
      <c r="V660" s="13" t="s">
        <v>1465</v>
      </c>
      <c r="W660" s="59">
        <f>+J660/$W$2</f>
        <v>3.9994758162483522E-5</v>
      </c>
    </row>
    <row r="661" spans="1:35">
      <c r="A661" s="13" t="s">
        <v>1751</v>
      </c>
      <c r="B661" s="13" t="s">
        <v>404</v>
      </c>
      <c r="C661" s="138">
        <v>46287</v>
      </c>
      <c r="D661" s="138" t="s">
        <v>424</v>
      </c>
      <c r="E661" s="28">
        <v>0.97604022000000001</v>
      </c>
      <c r="F661" s="13"/>
      <c r="G661" s="18">
        <v>2000000</v>
      </c>
      <c r="H661" s="18">
        <v>1952080.44</v>
      </c>
      <c r="I661" s="18">
        <v>2000000</v>
      </c>
      <c r="J661" s="18">
        <v>1952080.44</v>
      </c>
      <c r="K661" s="15">
        <v>6888262</v>
      </c>
      <c r="L661" s="13" t="s">
        <v>102</v>
      </c>
      <c r="M661" s="13" t="s">
        <v>103</v>
      </c>
      <c r="N661" s="138" t="s">
        <v>387</v>
      </c>
      <c r="O661" s="138" t="s">
        <v>387</v>
      </c>
      <c r="P661" s="28">
        <v>32</v>
      </c>
      <c r="Q661" s="13" t="s">
        <v>54</v>
      </c>
      <c r="R661" s="13" t="s">
        <v>28</v>
      </c>
      <c r="S661" s="13"/>
      <c r="T661" s="13"/>
      <c r="U661" s="13" t="s">
        <v>1719</v>
      </c>
      <c r="V661" s="13" t="s">
        <v>1719</v>
      </c>
      <c r="W661" s="59">
        <f>+J661/$W$2</f>
        <v>3.1947892819132405E-5</v>
      </c>
      <c r="AC661" s="56"/>
    </row>
    <row r="662" spans="1:35">
      <c r="A662" s="13" t="s">
        <v>1755</v>
      </c>
      <c r="B662" s="13" t="s">
        <v>404</v>
      </c>
      <c r="C662" s="138">
        <v>46287</v>
      </c>
      <c r="D662" s="138" t="s">
        <v>424</v>
      </c>
      <c r="E662" s="28">
        <v>0.97604020999999996</v>
      </c>
      <c r="F662" s="13"/>
      <c r="G662" s="18">
        <v>1587931.5</v>
      </c>
      <c r="H662" s="18">
        <v>1549885</v>
      </c>
      <c r="I662" s="18">
        <v>1587931.5</v>
      </c>
      <c r="J662" s="18">
        <v>1549885</v>
      </c>
      <c r="K662" s="15">
        <v>90001113</v>
      </c>
      <c r="L662" s="13" t="s">
        <v>102</v>
      </c>
      <c r="M662" s="13" t="s">
        <v>103</v>
      </c>
      <c r="N662" s="138" t="s">
        <v>387</v>
      </c>
      <c r="O662" s="138" t="s">
        <v>387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1729</v>
      </c>
      <c r="V662" s="13" t="s">
        <v>1729</v>
      </c>
      <c r="W662" s="59">
        <f>+J662/$W$2</f>
        <v>2.5365532509501004E-5</v>
      </c>
    </row>
    <row r="663" spans="1:35">
      <c r="A663" s="13" t="s">
        <v>1756</v>
      </c>
      <c r="B663" s="13" t="s">
        <v>404</v>
      </c>
      <c r="C663" s="138">
        <v>46287</v>
      </c>
      <c r="D663" s="138" t="s">
        <v>424</v>
      </c>
      <c r="E663" s="28">
        <v>0.97604022000000001</v>
      </c>
      <c r="F663" s="13"/>
      <c r="G663" s="18">
        <v>1500000</v>
      </c>
      <c r="H663" s="18">
        <v>1464060.33</v>
      </c>
      <c r="I663" s="18">
        <v>1500000</v>
      </c>
      <c r="J663" s="18">
        <v>1464060.33</v>
      </c>
      <c r="K663" s="15">
        <v>67865082</v>
      </c>
      <c r="L663" s="13" t="s">
        <v>102</v>
      </c>
      <c r="M663" s="13" t="s">
        <v>103</v>
      </c>
      <c r="N663" s="138" t="s">
        <v>387</v>
      </c>
      <c r="O663" s="138" t="s">
        <v>387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1730</v>
      </c>
      <c r="V663" s="13" t="s">
        <v>1730</v>
      </c>
      <c r="W663" s="59">
        <f>+J663/$W$2</f>
        <v>2.3960919614349305E-5</v>
      </c>
    </row>
    <row r="664" spans="1:35">
      <c r="A664" s="13" t="s">
        <v>1349</v>
      </c>
      <c r="B664" s="13" t="s">
        <v>404</v>
      </c>
      <c r="C664" s="138">
        <v>46288</v>
      </c>
      <c r="D664" s="138" t="s">
        <v>424</v>
      </c>
      <c r="E664" s="28">
        <v>0.97671931999999995</v>
      </c>
      <c r="F664" s="13"/>
      <c r="G664" s="18">
        <v>1961936.49</v>
      </c>
      <c r="H664" s="18">
        <v>1916261.28</v>
      </c>
      <c r="I664" s="18">
        <v>1961936.49</v>
      </c>
      <c r="J664" s="18">
        <v>1916261.28</v>
      </c>
      <c r="K664" s="15">
        <v>9795</v>
      </c>
      <c r="L664" s="13" t="s">
        <v>102</v>
      </c>
      <c r="M664" s="13" t="s">
        <v>103</v>
      </c>
      <c r="N664" s="138" t="s">
        <v>601</v>
      </c>
      <c r="O664" s="138" t="s">
        <v>601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1339</v>
      </c>
      <c r="V664" s="13" t="s">
        <v>1339</v>
      </c>
      <c r="W664" s="59">
        <f>+J664/$W$2</f>
        <v>3.1361673798080509E-5</v>
      </c>
    </row>
    <row r="665" spans="1:35">
      <c r="A665" s="13" t="s">
        <v>523</v>
      </c>
      <c r="B665" s="13" t="s">
        <v>404</v>
      </c>
      <c r="C665" s="138">
        <v>46288</v>
      </c>
      <c r="D665" s="138" t="s">
        <v>424</v>
      </c>
      <c r="E665" s="28">
        <v>0.97671931000000001</v>
      </c>
      <c r="F665" s="13"/>
      <c r="G665" s="18">
        <v>6000000</v>
      </c>
      <c r="H665" s="18">
        <v>5860315.8399999999</v>
      </c>
      <c r="I665" s="18">
        <v>6000000</v>
      </c>
      <c r="J665" s="18">
        <v>5860315.8399999999</v>
      </c>
      <c r="K665" s="15">
        <v>10926497</v>
      </c>
      <c r="L665" s="13" t="s">
        <v>102</v>
      </c>
      <c r="M665" s="13" t="s">
        <v>103</v>
      </c>
      <c r="N665" s="138" t="s">
        <v>350</v>
      </c>
      <c r="O665" s="138" t="s">
        <v>350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526</v>
      </c>
      <c r="V665" s="13" t="s">
        <v>526</v>
      </c>
      <c r="W665" s="59">
        <f>+J665/$W$2</f>
        <v>9.5910362352989853E-5</v>
      </c>
    </row>
    <row r="666" spans="1:35">
      <c r="A666" s="13" t="s">
        <v>723</v>
      </c>
      <c r="B666" s="13" t="s">
        <v>404</v>
      </c>
      <c r="C666" s="138">
        <v>46288</v>
      </c>
      <c r="D666" s="138" t="s">
        <v>424</v>
      </c>
      <c r="E666" s="28">
        <v>0.97445075000000003</v>
      </c>
      <c r="F666" s="13"/>
      <c r="G666" s="18">
        <v>4121277.98</v>
      </c>
      <c r="H666" s="18">
        <v>4015982.42</v>
      </c>
      <c r="I666" s="18">
        <v>4121277.98</v>
      </c>
      <c r="J666" s="18">
        <v>4015982.42</v>
      </c>
      <c r="K666" s="15">
        <v>14052047</v>
      </c>
      <c r="L666" s="13" t="s">
        <v>102</v>
      </c>
      <c r="M666" s="13" t="s">
        <v>103</v>
      </c>
      <c r="N666" s="138" t="s">
        <v>422</v>
      </c>
      <c r="O666" s="138" t="s">
        <v>422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2236</v>
      </c>
      <c r="V666" s="13" t="s">
        <v>2236</v>
      </c>
      <c r="W666" s="59">
        <f>+J666/$W$2</f>
        <v>6.5725865230061912E-5</v>
      </c>
      <c r="AC666" s="56"/>
      <c r="AE666" s="16"/>
      <c r="AF666" s="28"/>
      <c r="AG666" s="13"/>
      <c r="AH666" s="18"/>
      <c r="AI666" s="18"/>
    </row>
    <row r="667" spans="1:35">
      <c r="A667" s="13" t="s">
        <v>763</v>
      </c>
      <c r="B667" s="13" t="s">
        <v>404</v>
      </c>
      <c r="C667" s="138">
        <v>46288</v>
      </c>
      <c r="D667" s="138" t="s">
        <v>424</v>
      </c>
      <c r="E667" s="28">
        <v>0.97144229000000004</v>
      </c>
      <c r="F667" s="13"/>
      <c r="G667" s="18">
        <v>3345657.98</v>
      </c>
      <c r="H667" s="18">
        <v>3250113.65</v>
      </c>
      <c r="I667" s="18">
        <v>3345657.98</v>
      </c>
      <c r="J667" s="18">
        <v>3250113.65</v>
      </c>
      <c r="K667" s="15">
        <v>255</v>
      </c>
      <c r="L667" s="13" t="s">
        <v>102</v>
      </c>
      <c r="M667" s="13" t="s">
        <v>103</v>
      </c>
      <c r="N667" s="138" t="s">
        <v>355</v>
      </c>
      <c r="O667" s="138" t="s">
        <v>355</v>
      </c>
      <c r="P667" s="28">
        <v>37</v>
      </c>
      <c r="Q667" s="13" t="s">
        <v>54</v>
      </c>
      <c r="R667" s="13" t="s">
        <v>28</v>
      </c>
      <c r="S667" s="13"/>
      <c r="T667" s="13"/>
      <c r="U667" s="13" t="s">
        <v>1198</v>
      </c>
      <c r="V667" s="13" t="s">
        <v>1198</v>
      </c>
      <c r="W667" s="59">
        <f>+J667/$W$2</f>
        <v>5.3191600311408892E-5</v>
      </c>
      <c r="AC667" s="56"/>
    </row>
    <row r="668" spans="1:35">
      <c r="A668" s="13" t="s">
        <v>537</v>
      </c>
      <c r="B668" s="13" t="s">
        <v>404</v>
      </c>
      <c r="C668" s="138">
        <v>46288</v>
      </c>
      <c r="D668" s="138" t="s">
        <v>424</v>
      </c>
      <c r="E668" s="28">
        <v>0.97596196999999996</v>
      </c>
      <c r="F668" s="13"/>
      <c r="G668" s="18">
        <v>3000000</v>
      </c>
      <c r="H668" s="18">
        <v>2927885.92</v>
      </c>
      <c r="I668" s="18">
        <v>3000000</v>
      </c>
      <c r="J668" s="18">
        <v>2927885.92</v>
      </c>
      <c r="K668" s="15">
        <v>90003468</v>
      </c>
      <c r="L668" s="13" t="s">
        <v>102</v>
      </c>
      <c r="M668" s="13" t="s">
        <v>103</v>
      </c>
      <c r="N668" s="138" t="s">
        <v>289</v>
      </c>
      <c r="O668" s="138" t="s">
        <v>289</v>
      </c>
      <c r="P668" s="28">
        <v>31</v>
      </c>
      <c r="Q668" s="13" t="s">
        <v>54</v>
      </c>
      <c r="R668" s="13" t="s">
        <v>28</v>
      </c>
      <c r="S668" s="13"/>
      <c r="T668" s="13"/>
      <c r="U668" s="13" t="s">
        <v>605</v>
      </c>
      <c r="V668" s="13" t="s">
        <v>605</v>
      </c>
      <c r="W668" s="59">
        <f>+J668/$W$2</f>
        <v>4.7917997456501776E-5</v>
      </c>
    </row>
    <row r="669" spans="1:35">
      <c r="A669" s="13" t="s">
        <v>405</v>
      </c>
      <c r="B669" s="13" t="s">
        <v>404</v>
      </c>
      <c r="C669" s="138">
        <v>46288</v>
      </c>
      <c r="D669" s="138" t="s">
        <v>424</v>
      </c>
      <c r="E669" s="28">
        <v>0.97671934999999999</v>
      </c>
      <c r="F669" s="13"/>
      <c r="G669" s="18">
        <v>7500000</v>
      </c>
      <c r="H669" s="18">
        <v>7325395.1600000001</v>
      </c>
      <c r="I669" s="18">
        <v>7500000</v>
      </c>
      <c r="J669" s="18">
        <v>7325395.1600000001</v>
      </c>
      <c r="K669" s="15">
        <v>513</v>
      </c>
      <c r="L669" s="13" t="s">
        <v>102</v>
      </c>
      <c r="M669" s="13" t="s">
        <v>103</v>
      </c>
      <c r="N669" s="138" t="s">
        <v>326</v>
      </c>
      <c r="O669" s="138" t="s">
        <v>326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760</v>
      </c>
      <c r="V669" s="13" t="s">
        <v>760</v>
      </c>
      <c r="W669" s="59">
        <f>+J669/$W$2</f>
        <v>1.1988795883302395E-4</v>
      </c>
    </row>
    <row r="670" spans="1:35">
      <c r="A670" s="13" t="s">
        <v>516</v>
      </c>
      <c r="B670" s="13" t="s">
        <v>404</v>
      </c>
      <c r="C670" s="138">
        <v>46288</v>
      </c>
      <c r="D670" s="138" t="s">
        <v>424</v>
      </c>
      <c r="E670" s="28">
        <v>0.97445075000000003</v>
      </c>
      <c r="F670" s="13"/>
      <c r="G670" s="18">
        <v>5000000</v>
      </c>
      <c r="H670" s="18">
        <v>4872253.74</v>
      </c>
      <c r="I670" s="18">
        <v>5000000</v>
      </c>
      <c r="J670" s="18">
        <v>4872253.74</v>
      </c>
      <c r="K670" s="15">
        <v>3817585</v>
      </c>
      <c r="L670" s="13" t="s">
        <v>102</v>
      </c>
      <c r="M670" s="13" t="s">
        <v>103</v>
      </c>
      <c r="N670" s="138" t="s">
        <v>422</v>
      </c>
      <c r="O670" s="138" t="s">
        <v>422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2267</v>
      </c>
      <c r="V670" s="13" t="s">
        <v>2267</v>
      </c>
      <c r="W670" s="59">
        <f>+J670/$W$2</f>
        <v>7.9739664966438064E-5</v>
      </c>
    </row>
    <row r="671" spans="1:35">
      <c r="A671" s="13" t="s">
        <v>517</v>
      </c>
      <c r="B671" s="13" t="s">
        <v>404</v>
      </c>
      <c r="C671" s="138">
        <v>46288</v>
      </c>
      <c r="D671" s="138" t="s">
        <v>424</v>
      </c>
      <c r="E671" s="28">
        <v>0.97596196000000002</v>
      </c>
      <c r="F671" s="13"/>
      <c r="G671" s="18">
        <v>10000000</v>
      </c>
      <c r="H671" s="18">
        <v>9759619.5800000001</v>
      </c>
      <c r="I671" s="18">
        <v>10000000</v>
      </c>
      <c r="J671" s="18">
        <v>9759619.5800000001</v>
      </c>
      <c r="K671" s="15">
        <v>14004254</v>
      </c>
      <c r="L671" s="13" t="s">
        <v>102</v>
      </c>
      <c r="M671" s="13" t="s">
        <v>103</v>
      </c>
      <c r="N671" s="138" t="s">
        <v>341</v>
      </c>
      <c r="O671" s="138" t="s">
        <v>341</v>
      </c>
      <c r="P671" s="28">
        <v>31</v>
      </c>
      <c r="Q671" s="13" t="s">
        <v>54</v>
      </c>
      <c r="R671" s="13" t="s">
        <v>28</v>
      </c>
      <c r="S671" s="13"/>
      <c r="T671" s="13"/>
      <c r="U671" s="13" t="s">
        <v>1954</v>
      </c>
      <c r="V671" s="13" t="s">
        <v>1954</v>
      </c>
      <c r="W671" s="59">
        <f>+J671/$W$2</f>
        <v>1.5972665567887459E-4</v>
      </c>
    </row>
    <row r="672" spans="1:35">
      <c r="A672" s="13" t="s">
        <v>565</v>
      </c>
      <c r="B672" s="13" t="s">
        <v>404</v>
      </c>
      <c r="C672" s="138">
        <v>46288</v>
      </c>
      <c r="D672" s="138" t="s">
        <v>424</v>
      </c>
      <c r="E672" s="28">
        <v>0.98128835000000003</v>
      </c>
      <c r="F672" s="13"/>
      <c r="G672" s="18">
        <v>10000000</v>
      </c>
      <c r="H672" s="18">
        <v>9812883.4800000004</v>
      </c>
      <c r="I672" s="18">
        <v>10000000</v>
      </c>
      <c r="J672" s="18">
        <v>9812883.4800000004</v>
      </c>
      <c r="K672" s="15">
        <v>90000402</v>
      </c>
      <c r="L672" s="13" t="s">
        <v>102</v>
      </c>
      <c r="M672" s="13" t="s">
        <v>103</v>
      </c>
      <c r="N672" s="138" t="s">
        <v>339</v>
      </c>
      <c r="O672" s="138" t="s">
        <v>339</v>
      </c>
      <c r="P672" s="28">
        <v>24</v>
      </c>
      <c r="Q672" s="13" t="s">
        <v>54</v>
      </c>
      <c r="R672" s="13" t="s">
        <v>28</v>
      </c>
      <c r="S672" s="13"/>
      <c r="T672" s="13"/>
      <c r="U672" s="13" t="s">
        <v>1577</v>
      </c>
      <c r="V672" s="13" t="s">
        <v>1577</v>
      </c>
      <c r="W672" s="59">
        <f>+J672/$W$2</f>
        <v>1.6059837660464186E-4</v>
      </c>
    </row>
    <row r="673" spans="1:29">
      <c r="A673" s="13" t="s">
        <v>466</v>
      </c>
      <c r="B673" s="13" t="s">
        <v>404</v>
      </c>
      <c r="C673" s="138">
        <v>46288</v>
      </c>
      <c r="D673" s="138" t="s">
        <v>424</v>
      </c>
      <c r="E673" s="28">
        <v>0.97823758999999999</v>
      </c>
      <c r="F673" s="13"/>
      <c r="G673" s="18">
        <v>10000000</v>
      </c>
      <c r="H673" s="18">
        <v>9782375.9100000001</v>
      </c>
      <c r="I673" s="18">
        <v>10000000</v>
      </c>
      <c r="J673" s="18">
        <v>9782375.9100000001</v>
      </c>
      <c r="K673" s="15">
        <v>360566</v>
      </c>
      <c r="L673" s="13" t="s">
        <v>102</v>
      </c>
      <c r="M673" s="13" t="s">
        <v>103</v>
      </c>
      <c r="N673" s="138" t="s">
        <v>308</v>
      </c>
      <c r="O673" s="138" t="s">
        <v>308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557</v>
      </c>
      <c r="V673" s="13" t="s">
        <v>557</v>
      </c>
      <c r="W673" s="59">
        <f>+J673/$W$2</f>
        <v>1.6009908745827237E-4</v>
      </c>
    </row>
    <row r="674" spans="1:29">
      <c r="A674" s="13" t="s">
        <v>285</v>
      </c>
      <c r="B674" s="13" t="s">
        <v>404</v>
      </c>
      <c r="C674" s="138">
        <v>46288</v>
      </c>
      <c r="D674" s="138" t="s">
        <v>424</v>
      </c>
      <c r="E674" s="28">
        <v>0.97899849999999999</v>
      </c>
      <c r="F674" s="13"/>
      <c r="G674" s="18">
        <v>35000000</v>
      </c>
      <c r="H674" s="18">
        <v>34264947.479999997</v>
      </c>
      <c r="I674" s="18">
        <v>35000000</v>
      </c>
      <c r="J674" s="18">
        <v>34264947.479999997</v>
      </c>
      <c r="K674" s="15">
        <v>54027795</v>
      </c>
      <c r="L674" s="13" t="s">
        <v>102</v>
      </c>
      <c r="M674" s="13" t="s">
        <v>103</v>
      </c>
      <c r="N674" s="138" t="s">
        <v>390</v>
      </c>
      <c r="O674" s="138" t="s">
        <v>390</v>
      </c>
      <c r="P674" s="28">
        <v>27</v>
      </c>
      <c r="Q674" s="13" t="s">
        <v>54</v>
      </c>
      <c r="R674" s="13" t="s">
        <v>28</v>
      </c>
      <c r="S674" s="13"/>
      <c r="T674" s="13"/>
      <c r="U674" s="13" t="s">
        <v>1097</v>
      </c>
      <c r="V674" s="13" t="s">
        <v>1097</v>
      </c>
      <c r="W674" s="59">
        <f>+J674/$W$2</f>
        <v>5.6078266403009546E-4</v>
      </c>
    </row>
    <row r="675" spans="1:29">
      <c r="A675" s="13" t="s">
        <v>285</v>
      </c>
      <c r="B675" s="13" t="s">
        <v>404</v>
      </c>
      <c r="C675" s="138">
        <v>46288</v>
      </c>
      <c r="D675" s="138" t="s">
        <v>424</v>
      </c>
      <c r="E675" s="28">
        <v>0.97899851000000004</v>
      </c>
      <c r="F675" s="13"/>
      <c r="G675" s="18">
        <v>10000000</v>
      </c>
      <c r="H675" s="18">
        <v>9789985.1199999992</v>
      </c>
      <c r="I675" s="18">
        <v>10000000</v>
      </c>
      <c r="J675" s="18">
        <v>9789985.1199999992</v>
      </c>
      <c r="K675" s="15">
        <v>67280581</v>
      </c>
      <c r="L675" s="13" t="s">
        <v>102</v>
      </c>
      <c r="M675" s="13" t="s">
        <v>103</v>
      </c>
      <c r="N675" s="138" t="s">
        <v>330</v>
      </c>
      <c r="O675" s="138" t="s">
        <v>330</v>
      </c>
      <c r="P675" s="28">
        <v>27</v>
      </c>
      <c r="Q675" s="13" t="s">
        <v>54</v>
      </c>
      <c r="R675" s="13" t="s">
        <v>28</v>
      </c>
      <c r="S675" s="13"/>
      <c r="T675" s="13"/>
      <c r="U675" s="13" t="s">
        <v>919</v>
      </c>
      <c r="V675" s="13" t="s">
        <v>919</v>
      </c>
      <c r="W675" s="59">
        <f>+J675/$W$2</f>
        <v>1.6022362035176228E-4</v>
      </c>
    </row>
    <row r="676" spans="1:29">
      <c r="A676" s="13" t="s">
        <v>285</v>
      </c>
      <c r="B676" s="13" t="s">
        <v>404</v>
      </c>
      <c r="C676" s="138">
        <v>46288</v>
      </c>
      <c r="D676" s="138" t="s">
        <v>424</v>
      </c>
      <c r="E676" s="28">
        <v>0.97899851000000004</v>
      </c>
      <c r="F676" s="13"/>
      <c r="G676" s="18">
        <v>10000000</v>
      </c>
      <c r="H676" s="18">
        <v>9789985.1199999992</v>
      </c>
      <c r="I676" s="18">
        <v>10000000</v>
      </c>
      <c r="J676" s="18">
        <v>9789985.1199999992</v>
      </c>
      <c r="K676" s="15">
        <v>67280500</v>
      </c>
      <c r="L676" s="13" t="s">
        <v>102</v>
      </c>
      <c r="M676" s="13" t="s">
        <v>103</v>
      </c>
      <c r="N676" s="138" t="s">
        <v>330</v>
      </c>
      <c r="O676" s="138" t="s">
        <v>330</v>
      </c>
      <c r="P676" s="28">
        <v>27</v>
      </c>
      <c r="Q676" s="13" t="s">
        <v>54</v>
      </c>
      <c r="R676" s="13" t="s">
        <v>28</v>
      </c>
      <c r="S676" s="13"/>
      <c r="T676" s="13"/>
      <c r="U676" s="13" t="s">
        <v>922</v>
      </c>
      <c r="V676" s="13" t="s">
        <v>922</v>
      </c>
      <c r="W676" s="59">
        <f>+J676/$W$2</f>
        <v>1.6022362035176228E-4</v>
      </c>
    </row>
    <row r="677" spans="1:29">
      <c r="A677" s="13" t="s">
        <v>285</v>
      </c>
      <c r="B677" s="13" t="s">
        <v>404</v>
      </c>
      <c r="C677" s="138">
        <v>46288</v>
      </c>
      <c r="D677" s="138" t="s">
        <v>424</v>
      </c>
      <c r="E677" s="28">
        <v>0.97899851000000004</v>
      </c>
      <c r="F677" s="13"/>
      <c r="G677" s="18">
        <v>5000000</v>
      </c>
      <c r="H677" s="18">
        <v>4894992.5599999996</v>
      </c>
      <c r="I677" s="18">
        <v>5000000</v>
      </c>
      <c r="J677" s="18">
        <v>4894992.5599999996</v>
      </c>
      <c r="K677" s="15">
        <v>67193054</v>
      </c>
      <c r="L677" s="13" t="s">
        <v>102</v>
      </c>
      <c r="M677" s="13" t="s">
        <v>103</v>
      </c>
      <c r="N677" s="138" t="s">
        <v>330</v>
      </c>
      <c r="O677" s="138" t="s">
        <v>330</v>
      </c>
      <c r="P677" s="28">
        <v>27</v>
      </c>
      <c r="Q677" s="13" t="s">
        <v>54</v>
      </c>
      <c r="R677" s="13" t="s">
        <v>28</v>
      </c>
      <c r="S677" s="13"/>
      <c r="T677" s="13"/>
      <c r="U677" s="13" t="s">
        <v>925</v>
      </c>
      <c r="V677" s="13" t="s">
        <v>925</v>
      </c>
      <c r="W677" s="59">
        <f>+J677/$W$2</f>
        <v>8.0111810175881142E-5</v>
      </c>
    </row>
    <row r="678" spans="1:29">
      <c r="A678" s="13" t="s">
        <v>285</v>
      </c>
      <c r="B678" s="13" t="s">
        <v>404</v>
      </c>
      <c r="C678" s="138">
        <v>46288</v>
      </c>
      <c r="D678" s="138" t="s">
        <v>424</v>
      </c>
      <c r="E678" s="28">
        <v>0.97899851000000004</v>
      </c>
      <c r="F678" s="13"/>
      <c r="G678" s="18">
        <v>5000000</v>
      </c>
      <c r="H678" s="18">
        <v>4894992.5599999996</v>
      </c>
      <c r="I678" s="18">
        <v>5000000</v>
      </c>
      <c r="J678" s="18">
        <v>4894992.5599999996</v>
      </c>
      <c r="K678" s="15">
        <v>67193055</v>
      </c>
      <c r="L678" s="13" t="s">
        <v>102</v>
      </c>
      <c r="M678" s="13" t="s">
        <v>103</v>
      </c>
      <c r="N678" s="138" t="s">
        <v>330</v>
      </c>
      <c r="O678" s="138" t="s">
        <v>330</v>
      </c>
      <c r="P678" s="28">
        <v>27</v>
      </c>
      <c r="Q678" s="13" t="s">
        <v>54</v>
      </c>
      <c r="R678" s="13" t="s">
        <v>28</v>
      </c>
      <c r="S678" s="13"/>
      <c r="T678" s="13"/>
      <c r="U678" s="13" t="s">
        <v>927</v>
      </c>
      <c r="V678" s="13" t="s">
        <v>927</v>
      </c>
      <c r="W678" s="59">
        <f>+J678/$W$2</f>
        <v>8.0111810175881142E-5</v>
      </c>
    </row>
    <row r="679" spans="1:29">
      <c r="A679" s="13" t="s">
        <v>2211</v>
      </c>
      <c r="B679" s="13" t="s">
        <v>404</v>
      </c>
      <c r="C679" s="138">
        <v>46288</v>
      </c>
      <c r="D679" s="138" t="s">
        <v>424</v>
      </c>
      <c r="E679" s="28">
        <v>0.97823773000000003</v>
      </c>
      <c r="F679" s="13"/>
      <c r="G679" s="18">
        <v>6860594.6900000004</v>
      </c>
      <c r="H679" s="18">
        <v>6711292.5599999996</v>
      </c>
      <c r="I679" s="18">
        <v>6860594.6900000004</v>
      </c>
      <c r="J679" s="18">
        <v>6711292.5599999996</v>
      </c>
      <c r="K679" s="15">
        <v>29780518</v>
      </c>
      <c r="L679" s="13" t="s">
        <v>102</v>
      </c>
      <c r="M679" s="13" t="s">
        <v>103</v>
      </c>
      <c r="N679" s="138" t="s">
        <v>639</v>
      </c>
      <c r="O679" s="138" t="s">
        <v>639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2197</v>
      </c>
      <c r="V679" s="13" t="s">
        <v>2197</v>
      </c>
      <c r="W679" s="59">
        <f>+J679/$W$2</f>
        <v>1.0983751027427985E-4</v>
      </c>
    </row>
    <row r="680" spans="1:29">
      <c r="A680" s="13" t="s">
        <v>405</v>
      </c>
      <c r="B680" s="13" t="s">
        <v>404</v>
      </c>
      <c r="C680" s="138">
        <v>46288</v>
      </c>
      <c r="D680" s="138" t="s">
        <v>424</v>
      </c>
      <c r="E680" s="28">
        <v>0.97671929999999996</v>
      </c>
      <c r="F680" s="13"/>
      <c r="G680" s="18">
        <v>10000000</v>
      </c>
      <c r="H680" s="18">
        <v>9767192.9700000007</v>
      </c>
      <c r="I680" s="18">
        <v>10000000</v>
      </c>
      <c r="J680" s="18">
        <v>9767192.9700000007</v>
      </c>
      <c r="K680" s="15">
        <v>580</v>
      </c>
      <c r="L680" s="13" t="s">
        <v>102</v>
      </c>
      <c r="M680" s="13" t="s">
        <v>103</v>
      </c>
      <c r="N680" s="138" t="s">
        <v>164</v>
      </c>
      <c r="O680" s="138" t="s">
        <v>164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870</v>
      </c>
      <c r="V680" s="13" t="s">
        <v>870</v>
      </c>
      <c r="W680" s="59">
        <f>+J680/$W$2</f>
        <v>1.5985060233959596E-4</v>
      </c>
    </row>
    <row r="681" spans="1:29">
      <c r="A681" s="13" t="s">
        <v>218</v>
      </c>
      <c r="B681" s="13" t="s">
        <v>404</v>
      </c>
      <c r="C681" s="138">
        <v>46288</v>
      </c>
      <c r="D681" s="138" t="s">
        <v>424</v>
      </c>
      <c r="E681" s="28">
        <v>0.97445071999999999</v>
      </c>
      <c r="F681" s="13"/>
      <c r="G681" s="18">
        <v>2500000</v>
      </c>
      <c r="H681" s="18">
        <v>2436126.79</v>
      </c>
      <c r="I681" s="18">
        <v>2500000</v>
      </c>
      <c r="J681" s="18">
        <v>2436126.79</v>
      </c>
      <c r="K681" s="15">
        <v>1201</v>
      </c>
      <c r="L681" s="13" t="s">
        <v>102</v>
      </c>
      <c r="M681" s="13" t="s">
        <v>103</v>
      </c>
      <c r="N681" s="138" t="s">
        <v>156</v>
      </c>
      <c r="O681" s="138" t="s">
        <v>156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765</v>
      </c>
      <c r="V681" s="13" t="s">
        <v>765</v>
      </c>
      <c r="W681" s="59">
        <f>+J681/$W$2</f>
        <v>3.9869831173933114E-5</v>
      </c>
      <c r="AC681" s="56"/>
    </row>
    <row r="682" spans="1:29">
      <c r="A682" s="13" t="s">
        <v>413</v>
      </c>
      <c r="B682" s="13" t="s">
        <v>404</v>
      </c>
      <c r="C682" s="138">
        <v>46288</v>
      </c>
      <c r="D682" s="138" t="s">
        <v>424</v>
      </c>
      <c r="E682" s="28">
        <v>0.97520578000000002</v>
      </c>
      <c r="F682" s="13"/>
      <c r="G682" s="18">
        <v>15355310.449999999</v>
      </c>
      <c r="H682" s="18">
        <v>14974587.43</v>
      </c>
      <c r="I682" s="18">
        <v>15355310.449999999</v>
      </c>
      <c r="J682" s="18">
        <v>14974587.43</v>
      </c>
      <c r="K682" s="15">
        <v>30750</v>
      </c>
      <c r="L682" s="13" t="s">
        <v>102</v>
      </c>
      <c r="M682" s="13" t="s">
        <v>103</v>
      </c>
      <c r="N682" s="138" t="s">
        <v>330</v>
      </c>
      <c r="O682" s="138" t="s">
        <v>330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938</v>
      </c>
      <c r="V682" s="13" t="s">
        <v>938</v>
      </c>
      <c r="W682" s="59">
        <f>+J682/$W$2</f>
        <v>2.4507520511007599E-4</v>
      </c>
    </row>
    <row r="683" spans="1:29">
      <c r="A683" s="13" t="s">
        <v>2215</v>
      </c>
      <c r="B683" s="13" t="s">
        <v>404</v>
      </c>
      <c r="C683" s="138">
        <v>46288</v>
      </c>
      <c r="D683" s="138" t="s">
        <v>424</v>
      </c>
      <c r="E683" s="28">
        <v>0.97823773000000003</v>
      </c>
      <c r="F683" s="13"/>
      <c r="G683" s="18">
        <v>12518741.310000001</v>
      </c>
      <c r="H683" s="18">
        <v>12246305.09</v>
      </c>
      <c r="I683" s="18">
        <v>12518741.310000001</v>
      </c>
      <c r="J683" s="18">
        <v>12246305.09</v>
      </c>
      <c r="K683" s="15">
        <v>29830737</v>
      </c>
      <c r="L683" s="13" t="s">
        <v>102</v>
      </c>
      <c r="M683" s="13" t="s">
        <v>103</v>
      </c>
      <c r="N683" s="138" t="s">
        <v>639</v>
      </c>
      <c r="O683" s="138" t="s">
        <v>639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2171</v>
      </c>
      <c r="V683" s="13" t="s">
        <v>2171</v>
      </c>
      <c r="W683" s="59">
        <f>+J683/$W$2</f>
        <v>2.0042393460267222E-4</v>
      </c>
    </row>
    <row r="684" spans="1:29">
      <c r="A684" s="13" t="s">
        <v>189</v>
      </c>
      <c r="B684" s="13" t="s">
        <v>404</v>
      </c>
      <c r="C684" s="138">
        <v>46288</v>
      </c>
      <c r="D684" s="138" t="s">
        <v>424</v>
      </c>
      <c r="E684" s="28">
        <v>0.98435817999999997</v>
      </c>
      <c r="F684" s="13"/>
      <c r="G684" s="18">
        <v>603640.62</v>
      </c>
      <c r="H684" s="18">
        <v>594198.57999999996</v>
      </c>
      <c r="I684" s="18">
        <v>603640.62</v>
      </c>
      <c r="J684" s="18">
        <v>594198.57999999996</v>
      </c>
      <c r="K684" s="15">
        <v>612100</v>
      </c>
      <c r="L684" s="13" t="s">
        <v>102</v>
      </c>
      <c r="M684" s="13" t="s">
        <v>103</v>
      </c>
      <c r="N684" s="138" t="s">
        <v>340</v>
      </c>
      <c r="O684" s="138" t="s">
        <v>340</v>
      </c>
      <c r="P684" s="28">
        <v>20</v>
      </c>
      <c r="Q684" s="13" t="s">
        <v>54</v>
      </c>
      <c r="R684" s="13" t="s">
        <v>28</v>
      </c>
      <c r="S684" s="13"/>
      <c r="T684" s="13"/>
      <c r="U684" s="13" t="s">
        <v>1064</v>
      </c>
      <c r="V684" s="13" t="s">
        <v>1064</v>
      </c>
      <c r="W684" s="59">
        <f>+J684/$W$2</f>
        <v>9.7246978957079602E-6</v>
      </c>
    </row>
    <row r="685" spans="1:29">
      <c r="A685" s="13" t="s">
        <v>189</v>
      </c>
      <c r="B685" s="13" t="s">
        <v>404</v>
      </c>
      <c r="C685" s="138">
        <v>46288</v>
      </c>
      <c r="D685" s="138" t="s">
        <v>424</v>
      </c>
      <c r="E685" s="28">
        <v>0.98128837999999996</v>
      </c>
      <c r="F685" s="13"/>
      <c r="G685" s="18">
        <v>685765.71</v>
      </c>
      <c r="H685" s="18">
        <v>672933.92</v>
      </c>
      <c r="I685" s="18">
        <v>685765.71</v>
      </c>
      <c r="J685" s="18">
        <v>672933.92</v>
      </c>
      <c r="K685" s="15">
        <v>612096</v>
      </c>
      <c r="L685" s="13" t="s">
        <v>102</v>
      </c>
      <c r="M685" s="13" t="s">
        <v>103</v>
      </c>
      <c r="N685" s="138" t="s">
        <v>282</v>
      </c>
      <c r="O685" s="138" t="s">
        <v>282</v>
      </c>
      <c r="P685" s="28">
        <v>24</v>
      </c>
      <c r="Q685" s="13" t="s">
        <v>54</v>
      </c>
      <c r="R685" s="13" t="s">
        <v>28</v>
      </c>
      <c r="S685" s="13"/>
      <c r="T685" s="13"/>
      <c r="U685" s="13" t="s">
        <v>832</v>
      </c>
      <c r="V685" s="13" t="s">
        <v>832</v>
      </c>
      <c r="W685" s="59">
        <f>+J685/$W$2</f>
        <v>1.101328629189001E-5</v>
      </c>
    </row>
    <row r="686" spans="1:29">
      <c r="A686" s="13" t="s">
        <v>189</v>
      </c>
      <c r="B686" s="13" t="s">
        <v>404</v>
      </c>
      <c r="C686" s="138">
        <v>46288</v>
      </c>
      <c r="D686" s="138" t="s">
        <v>424</v>
      </c>
      <c r="E686" s="28">
        <v>0.98128837999999996</v>
      </c>
      <c r="F686" s="13"/>
      <c r="G686" s="18">
        <v>535280.22</v>
      </c>
      <c r="H686" s="18">
        <v>525264.26</v>
      </c>
      <c r="I686" s="18">
        <v>535280.22</v>
      </c>
      <c r="J686" s="18">
        <v>525264.26</v>
      </c>
      <c r="K686" s="15">
        <v>612233</v>
      </c>
      <c r="L686" s="13" t="s">
        <v>102</v>
      </c>
      <c r="M686" s="13" t="s">
        <v>103</v>
      </c>
      <c r="N686" s="138" t="s">
        <v>282</v>
      </c>
      <c r="O686" s="138" t="s">
        <v>282</v>
      </c>
      <c r="P686" s="28">
        <v>24</v>
      </c>
      <c r="Q686" s="13" t="s">
        <v>54</v>
      </c>
      <c r="R686" s="13" t="s">
        <v>28</v>
      </c>
      <c r="S686" s="13"/>
      <c r="T686" s="13"/>
      <c r="U686" s="13" t="s">
        <v>834</v>
      </c>
      <c r="V686" s="13" t="s">
        <v>834</v>
      </c>
      <c r="W686" s="59">
        <f>+J686/$W$2</f>
        <v>8.5965137175396806E-6</v>
      </c>
    </row>
    <row r="687" spans="1:29">
      <c r="A687" s="13" t="s">
        <v>189</v>
      </c>
      <c r="B687" s="13" t="s">
        <v>404</v>
      </c>
      <c r="C687" s="138">
        <v>46288</v>
      </c>
      <c r="D687" s="138" t="s">
        <v>424</v>
      </c>
      <c r="E687" s="28">
        <v>0.98128837999999996</v>
      </c>
      <c r="F687" s="13"/>
      <c r="G687" s="18">
        <v>535280.22</v>
      </c>
      <c r="H687" s="18">
        <v>525264.26</v>
      </c>
      <c r="I687" s="18">
        <v>535280.22</v>
      </c>
      <c r="J687" s="18">
        <v>525264.26</v>
      </c>
      <c r="K687" s="15">
        <v>612235</v>
      </c>
      <c r="L687" s="13" t="s">
        <v>102</v>
      </c>
      <c r="M687" s="13" t="s">
        <v>103</v>
      </c>
      <c r="N687" s="138" t="s">
        <v>282</v>
      </c>
      <c r="O687" s="138" t="s">
        <v>282</v>
      </c>
      <c r="P687" s="28">
        <v>24</v>
      </c>
      <c r="Q687" s="13" t="s">
        <v>54</v>
      </c>
      <c r="R687" s="13" t="s">
        <v>28</v>
      </c>
      <c r="S687" s="13"/>
      <c r="T687" s="13"/>
      <c r="U687" s="13" t="s">
        <v>835</v>
      </c>
      <c r="V687" s="13" t="s">
        <v>835</v>
      </c>
      <c r="W687" s="59">
        <f>+J687/$W$2</f>
        <v>8.5965137175396806E-6</v>
      </c>
    </row>
    <row r="688" spans="1:29">
      <c r="A688" s="13" t="s">
        <v>189</v>
      </c>
      <c r="B688" s="13" t="s">
        <v>404</v>
      </c>
      <c r="C688" s="138">
        <v>46288</v>
      </c>
      <c r="D688" s="138" t="s">
        <v>424</v>
      </c>
      <c r="E688" s="28">
        <v>0.98128837000000002</v>
      </c>
      <c r="F688" s="13"/>
      <c r="G688" s="18">
        <v>689115.82</v>
      </c>
      <c r="H688" s="18">
        <v>676221.34</v>
      </c>
      <c r="I688" s="18">
        <v>689115.82</v>
      </c>
      <c r="J688" s="18">
        <v>676221.34</v>
      </c>
      <c r="K688" s="15">
        <v>612121</v>
      </c>
      <c r="L688" s="13" t="s">
        <v>102</v>
      </c>
      <c r="M688" s="13" t="s">
        <v>103</v>
      </c>
      <c r="N688" s="138" t="s">
        <v>282</v>
      </c>
      <c r="O688" s="138" t="s">
        <v>282</v>
      </c>
      <c r="P688" s="28">
        <v>24</v>
      </c>
      <c r="Q688" s="13" t="s">
        <v>54</v>
      </c>
      <c r="R688" s="13" t="s">
        <v>28</v>
      </c>
      <c r="S688" s="13"/>
      <c r="T688" s="13"/>
      <c r="U688" s="13" t="s">
        <v>836</v>
      </c>
      <c r="V688" s="13" t="s">
        <v>836</v>
      </c>
      <c r="W688" s="59">
        <f>+J688/$W$2</f>
        <v>1.1067088450683975E-5</v>
      </c>
    </row>
    <row r="689" spans="1:23">
      <c r="A689" s="13" t="s">
        <v>189</v>
      </c>
      <c r="B689" s="13" t="s">
        <v>404</v>
      </c>
      <c r="C689" s="138">
        <v>46288</v>
      </c>
      <c r="D689" s="138" t="s">
        <v>424</v>
      </c>
      <c r="E689" s="28">
        <v>0.98128835999999997</v>
      </c>
      <c r="F689" s="13"/>
      <c r="G689" s="18">
        <v>2688265.68</v>
      </c>
      <c r="H689" s="18">
        <v>2637963.8199999998</v>
      </c>
      <c r="I689" s="18">
        <v>2688265.68</v>
      </c>
      <c r="J689" s="18">
        <v>2637963.8199999998</v>
      </c>
      <c r="K689" s="15">
        <v>612240</v>
      </c>
      <c r="L689" s="13" t="s">
        <v>102</v>
      </c>
      <c r="M689" s="13" t="s">
        <v>103</v>
      </c>
      <c r="N689" s="138" t="s">
        <v>282</v>
      </c>
      <c r="O689" s="138" t="s">
        <v>282</v>
      </c>
      <c r="P689" s="28">
        <v>24</v>
      </c>
      <c r="Q689" s="13" t="s">
        <v>54</v>
      </c>
      <c r="R689" s="13" t="s">
        <v>28</v>
      </c>
      <c r="S689" s="13"/>
      <c r="T689" s="13"/>
      <c r="U689" s="13" t="s">
        <v>837</v>
      </c>
      <c r="V689" s="13" t="s">
        <v>837</v>
      </c>
      <c r="W689" s="59">
        <f>+J689/$W$2</f>
        <v>4.317311093087387E-5</v>
      </c>
    </row>
    <row r="690" spans="1:23">
      <c r="A690" s="13" t="s">
        <v>1805</v>
      </c>
      <c r="B690" s="13" t="s">
        <v>404</v>
      </c>
      <c r="C690" s="138">
        <v>46288</v>
      </c>
      <c r="D690" s="138" t="s">
        <v>424</v>
      </c>
      <c r="E690" s="28">
        <v>0.97671933</v>
      </c>
      <c r="F690" s="13"/>
      <c r="G690" s="18">
        <v>1500000</v>
      </c>
      <c r="H690" s="18">
        <v>1465078.99</v>
      </c>
      <c r="I690" s="18">
        <v>1500000</v>
      </c>
      <c r="J690" s="18">
        <v>1465078.99</v>
      </c>
      <c r="K690" s="15">
        <v>1969</v>
      </c>
      <c r="L690" s="13" t="s">
        <v>102</v>
      </c>
      <c r="M690" s="13" t="s">
        <v>103</v>
      </c>
      <c r="N690" s="138" t="s">
        <v>384</v>
      </c>
      <c r="O690" s="138" t="s">
        <v>384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1796</v>
      </c>
      <c r="V690" s="13" t="s">
        <v>1796</v>
      </c>
      <c r="W690" s="59">
        <f>+J690/$W$2</f>
        <v>2.3977591079229684E-5</v>
      </c>
    </row>
    <row r="691" spans="1:23">
      <c r="A691" s="13" t="s">
        <v>2225</v>
      </c>
      <c r="B691" s="13" t="s">
        <v>404</v>
      </c>
      <c r="C691" s="138">
        <v>46288</v>
      </c>
      <c r="D691" s="138" t="s">
        <v>424</v>
      </c>
      <c r="E691" s="28">
        <v>0.97823773000000003</v>
      </c>
      <c r="F691" s="13"/>
      <c r="G691" s="18">
        <v>5584276.4299999997</v>
      </c>
      <c r="H691" s="18">
        <v>5462749.9000000004</v>
      </c>
      <c r="I691" s="18">
        <v>5584276.4299999997</v>
      </c>
      <c r="J691" s="18">
        <v>5462749.9000000004</v>
      </c>
      <c r="K691" s="15">
        <v>40637680</v>
      </c>
      <c r="L691" s="13" t="s">
        <v>102</v>
      </c>
      <c r="M691" s="13" t="s">
        <v>103</v>
      </c>
      <c r="N691" s="138" t="s">
        <v>639</v>
      </c>
      <c r="O691" s="138" t="s">
        <v>639</v>
      </c>
      <c r="P691" s="28">
        <v>28</v>
      </c>
      <c r="Q691" s="13" t="s">
        <v>54</v>
      </c>
      <c r="R691" s="13" t="s">
        <v>28</v>
      </c>
      <c r="S691" s="13"/>
      <c r="T691" s="13"/>
      <c r="U691" s="13" t="s">
        <v>2196</v>
      </c>
      <c r="V691" s="13" t="s">
        <v>2196</v>
      </c>
      <c r="W691" s="59">
        <f>+J691/$W$2</f>
        <v>8.9403768782666689E-5</v>
      </c>
    </row>
    <row r="692" spans="1:23">
      <c r="A692" s="13" t="s">
        <v>2366</v>
      </c>
      <c r="B692" s="13" t="s">
        <v>404</v>
      </c>
      <c r="C692" s="138">
        <v>46288</v>
      </c>
      <c r="D692" s="138" t="s">
        <v>424</v>
      </c>
      <c r="E692" s="28">
        <v>0.97369686</v>
      </c>
      <c r="F692" s="13"/>
      <c r="G692" s="18">
        <v>6668567.0099999998</v>
      </c>
      <c r="H692" s="18">
        <v>6493162.7400000002</v>
      </c>
      <c r="I692" s="18">
        <v>6668567.0099999998</v>
      </c>
      <c r="J692" s="18">
        <v>6493162.7400000002</v>
      </c>
      <c r="K692" s="15">
        <v>977</v>
      </c>
      <c r="L692" s="13" t="s">
        <v>102</v>
      </c>
      <c r="M692" s="13" t="s">
        <v>103</v>
      </c>
      <c r="N692" s="138" t="s">
        <v>342</v>
      </c>
      <c r="O692" s="138" t="s">
        <v>342</v>
      </c>
      <c r="P692" s="28">
        <v>34</v>
      </c>
      <c r="Q692" s="13" t="s">
        <v>54</v>
      </c>
      <c r="R692" s="13" t="s">
        <v>28</v>
      </c>
      <c r="S692" s="13"/>
      <c r="T692" s="13"/>
      <c r="U692" s="13" t="s">
        <v>2367</v>
      </c>
      <c r="V692" s="13" t="s">
        <v>2367</v>
      </c>
      <c r="W692" s="59">
        <f>+J692/$W$2</f>
        <v>1.0626758151149964E-4</v>
      </c>
    </row>
    <row r="693" spans="1:23">
      <c r="A693" s="13" t="s">
        <v>523</v>
      </c>
      <c r="B693" s="13" t="s">
        <v>404</v>
      </c>
      <c r="C693" s="138">
        <v>46288</v>
      </c>
      <c r="D693" s="138" t="s">
        <v>424</v>
      </c>
      <c r="E693" s="28">
        <v>0.97823758000000005</v>
      </c>
      <c r="F693" s="13"/>
      <c r="G693" s="18">
        <v>10000000</v>
      </c>
      <c r="H693" s="18">
        <v>9782375.8499999996</v>
      </c>
      <c r="I693" s="18">
        <v>10000000</v>
      </c>
      <c r="J693" s="18">
        <v>9782375.8499999996</v>
      </c>
      <c r="K693" s="15">
        <v>3487823</v>
      </c>
      <c r="L693" s="13" t="s">
        <v>102</v>
      </c>
      <c r="M693" s="13" t="s">
        <v>103</v>
      </c>
      <c r="N693" s="138" t="s">
        <v>288</v>
      </c>
      <c r="O693" s="138" t="s">
        <v>288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697</v>
      </c>
      <c r="V693" s="13" t="s">
        <v>697</v>
      </c>
      <c r="W693" s="59">
        <f>+J693/$W$2</f>
        <v>1.6009908647630794E-4</v>
      </c>
    </row>
    <row r="694" spans="1:23">
      <c r="A694" s="13" t="s">
        <v>523</v>
      </c>
      <c r="B694" s="13" t="s">
        <v>404</v>
      </c>
      <c r="C694" s="138">
        <v>46288</v>
      </c>
      <c r="D694" s="138" t="s">
        <v>424</v>
      </c>
      <c r="E694" s="28">
        <v>0.97976061999999997</v>
      </c>
      <c r="F694" s="13"/>
      <c r="G694" s="18">
        <v>9000000</v>
      </c>
      <c r="H694" s="18">
        <v>8817845.5999999996</v>
      </c>
      <c r="I694" s="18">
        <v>9000000</v>
      </c>
      <c r="J694" s="18">
        <v>8817845.5999999996</v>
      </c>
      <c r="K694" s="15">
        <v>3487869</v>
      </c>
      <c r="L694" s="13" t="s">
        <v>102</v>
      </c>
      <c r="M694" s="13" t="s">
        <v>103</v>
      </c>
      <c r="N694" s="138" t="s">
        <v>282</v>
      </c>
      <c r="O694" s="138" t="s">
        <v>282</v>
      </c>
      <c r="P694" s="28">
        <v>26</v>
      </c>
      <c r="Q694" s="13" t="s">
        <v>54</v>
      </c>
      <c r="R694" s="13" t="s">
        <v>28</v>
      </c>
      <c r="S694" s="13"/>
      <c r="T694" s="13"/>
      <c r="U694" s="13" t="s">
        <v>819</v>
      </c>
      <c r="V694" s="13" t="s">
        <v>819</v>
      </c>
      <c r="W694" s="59">
        <f>+J694/$W$2</f>
        <v>1.4431351308681636E-4</v>
      </c>
    </row>
    <row r="695" spans="1:23">
      <c r="A695" s="13" t="s">
        <v>1748</v>
      </c>
      <c r="B695" s="13" t="s">
        <v>404</v>
      </c>
      <c r="C695" s="138">
        <v>46288</v>
      </c>
      <c r="D695" s="138" t="s">
        <v>424</v>
      </c>
      <c r="E695" s="28">
        <v>0.97520583000000005</v>
      </c>
      <c r="F695" s="13"/>
      <c r="G695" s="18">
        <v>22110202.949999999</v>
      </c>
      <c r="H695" s="18">
        <v>21561998.859999999</v>
      </c>
      <c r="I695" s="18">
        <v>22110202.949999999</v>
      </c>
      <c r="J695" s="18">
        <v>21561998.859999999</v>
      </c>
      <c r="K695" s="15">
        <v>1105</v>
      </c>
      <c r="L695" s="13" t="s">
        <v>102</v>
      </c>
      <c r="M695" s="13" t="s">
        <v>103</v>
      </c>
      <c r="N695" s="138" t="s">
        <v>387</v>
      </c>
      <c r="O695" s="138" t="s">
        <v>387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1716</v>
      </c>
      <c r="V695" s="13" t="s">
        <v>1716</v>
      </c>
      <c r="W695" s="59">
        <f>+J695/$W$2</f>
        <v>3.528852676509248E-4</v>
      </c>
    </row>
    <row r="696" spans="1:23">
      <c r="A696" s="13" t="s">
        <v>756</v>
      </c>
      <c r="B696" s="13" t="s">
        <v>404</v>
      </c>
      <c r="C696" s="138">
        <v>46288</v>
      </c>
      <c r="D696" s="138" t="s">
        <v>424</v>
      </c>
      <c r="E696" s="28">
        <v>0.97294435000000001</v>
      </c>
      <c r="F696" s="13"/>
      <c r="G696" s="18">
        <v>70000000</v>
      </c>
      <c r="H696" s="18">
        <v>68106104.430000007</v>
      </c>
      <c r="I696" s="18">
        <v>70000000</v>
      </c>
      <c r="J696" s="18">
        <v>68106104.430000007</v>
      </c>
      <c r="K696" s="15">
        <v>9779382</v>
      </c>
      <c r="L696" s="13" t="s">
        <v>102</v>
      </c>
      <c r="M696" s="13" t="s">
        <v>103</v>
      </c>
      <c r="N696" s="138" t="s">
        <v>463</v>
      </c>
      <c r="O696" s="138" t="s">
        <v>463</v>
      </c>
      <c r="P696" s="28">
        <v>35</v>
      </c>
      <c r="Q696" s="13" t="s">
        <v>54</v>
      </c>
      <c r="R696" s="13" t="s">
        <v>28</v>
      </c>
      <c r="S696" s="13"/>
      <c r="T696" s="13"/>
      <c r="U696" s="13" t="s">
        <v>2525</v>
      </c>
      <c r="V696" s="13" t="s">
        <v>2525</v>
      </c>
      <c r="W696" s="59">
        <f>+J696/$W$2</f>
        <v>1.1146295409108647E-3</v>
      </c>
    </row>
    <row r="697" spans="1:23">
      <c r="A697" s="13" t="s">
        <v>897</v>
      </c>
      <c r="B697" s="13" t="s">
        <v>404</v>
      </c>
      <c r="C697" s="138">
        <v>46288</v>
      </c>
      <c r="D697" s="138" t="s">
        <v>424</v>
      </c>
      <c r="E697" s="28">
        <v>0.97445071000000005</v>
      </c>
      <c r="F697" s="13"/>
      <c r="G697" s="18">
        <v>6625114.5199999996</v>
      </c>
      <c r="H697" s="18">
        <v>6455847.5300000003</v>
      </c>
      <c r="I697" s="18">
        <v>6625114.5199999996</v>
      </c>
      <c r="J697" s="18">
        <v>6455847.5300000003</v>
      </c>
      <c r="K697" s="15">
        <v>90000979</v>
      </c>
      <c r="L697" s="13" t="s">
        <v>102</v>
      </c>
      <c r="M697" s="13" t="s">
        <v>103</v>
      </c>
      <c r="N697" s="138" t="s">
        <v>164</v>
      </c>
      <c r="O697" s="138" t="s">
        <v>164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893</v>
      </c>
      <c r="V697" s="13" t="s">
        <v>893</v>
      </c>
      <c r="W697" s="59">
        <f>+J697/$W$2</f>
        <v>1.0565687802552884E-4</v>
      </c>
    </row>
    <row r="698" spans="1:23">
      <c r="A698" s="13" t="s">
        <v>979</v>
      </c>
      <c r="B698" s="13" t="s">
        <v>404</v>
      </c>
      <c r="C698" s="138">
        <v>46288</v>
      </c>
      <c r="D698" s="138" t="s">
        <v>424</v>
      </c>
      <c r="E698" s="28">
        <v>0.97520580000000001</v>
      </c>
      <c r="F698" s="13"/>
      <c r="G698" s="18">
        <v>10000000</v>
      </c>
      <c r="H698" s="18">
        <v>9752057.9800000004</v>
      </c>
      <c r="I698" s="18">
        <v>10000000</v>
      </c>
      <c r="J698" s="18">
        <v>9752057.9800000004</v>
      </c>
      <c r="K698" s="15">
        <v>67448971</v>
      </c>
      <c r="L698" s="13" t="s">
        <v>102</v>
      </c>
      <c r="M698" s="13" t="s">
        <v>103</v>
      </c>
      <c r="N698" s="138" t="s">
        <v>304</v>
      </c>
      <c r="O698" s="138" t="s">
        <v>304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975</v>
      </c>
      <c r="V698" s="13" t="s">
        <v>975</v>
      </c>
      <c r="W698" s="59">
        <f>+J698/$W$2</f>
        <v>1.5960290197416499E-4</v>
      </c>
    </row>
    <row r="699" spans="1:23">
      <c r="A699" s="13" t="s">
        <v>1239</v>
      </c>
      <c r="B699" s="13" t="s">
        <v>404</v>
      </c>
      <c r="C699" s="138">
        <v>46288</v>
      </c>
      <c r="D699" s="138" t="s">
        <v>424</v>
      </c>
      <c r="E699" s="28">
        <v>0.97671933</v>
      </c>
      <c r="F699" s="13"/>
      <c r="G699" s="18">
        <v>30000000</v>
      </c>
      <c r="H699" s="18">
        <v>29301579.920000002</v>
      </c>
      <c r="I699" s="18">
        <v>30000000</v>
      </c>
      <c r="J699" s="18">
        <v>29301579.920000002</v>
      </c>
      <c r="K699" s="15">
        <v>738</v>
      </c>
      <c r="L699" s="13" t="s">
        <v>102</v>
      </c>
      <c r="M699" s="13" t="s">
        <v>103</v>
      </c>
      <c r="N699" s="138" t="s">
        <v>419</v>
      </c>
      <c r="O699" s="138" t="s">
        <v>419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1241</v>
      </c>
      <c r="V699" s="13" t="s">
        <v>1241</v>
      </c>
      <c r="W699" s="59">
        <f>+J699/$W$2</f>
        <v>4.7955182354852255E-4</v>
      </c>
    </row>
    <row r="700" spans="1:23">
      <c r="A700" s="13" t="s">
        <v>1456</v>
      </c>
      <c r="B700" s="13" t="s">
        <v>404</v>
      </c>
      <c r="C700" s="138">
        <v>46288</v>
      </c>
      <c r="D700" s="138" t="s">
        <v>424</v>
      </c>
      <c r="E700" s="28">
        <v>0.97671940000000002</v>
      </c>
      <c r="F700" s="13"/>
      <c r="G700" s="18">
        <v>830000</v>
      </c>
      <c r="H700" s="18">
        <v>810677.1</v>
      </c>
      <c r="I700" s="18">
        <v>830000</v>
      </c>
      <c r="J700" s="18">
        <v>810677.1</v>
      </c>
      <c r="K700" s="15">
        <v>64</v>
      </c>
      <c r="L700" s="13" t="s">
        <v>102</v>
      </c>
      <c r="M700" s="13" t="s">
        <v>103</v>
      </c>
      <c r="N700" s="138" t="s">
        <v>343</v>
      </c>
      <c r="O700" s="138" t="s">
        <v>343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1457</v>
      </c>
      <c r="V700" s="13" t="s">
        <v>1457</v>
      </c>
      <c r="W700" s="59">
        <f>+J700/$W$2</f>
        <v>1.3267601360589977E-5</v>
      </c>
    </row>
    <row r="701" spans="1:23">
      <c r="A701" s="13" t="s">
        <v>1543</v>
      </c>
      <c r="B701" s="13" t="s">
        <v>404</v>
      </c>
      <c r="C701" s="138">
        <v>46288</v>
      </c>
      <c r="D701" s="138" t="s">
        <v>424</v>
      </c>
      <c r="E701" s="28">
        <v>0.97445075000000003</v>
      </c>
      <c r="F701" s="13"/>
      <c r="G701" s="18">
        <v>6308233.75</v>
      </c>
      <c r="H701" s="18">
        <v>6147063.0999999996</v>
      </c>
      <c r="I701" s="18">
        <v>6308233.75</v>
      </c>
      <c r="J701" s="18">
        <v>6147063.0999999996</v>
      </c>
      <c r="K701" s="15">
        <v>90046586</v>
      </c>
      <c r="L701" s="13" t="s">
        <v>102</v>
      </c>
      <c r="M701" s="13" t="s">
        <v>103</v>
      </c>
      <c r="N701" s="138" t="s">
        <v>422</v>
      </c>
      <c r="O701" s="138" t="s">
        <v>422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2261</v>
      </c>
      <c r="V701" s="13" t="s">
        <v>2261</v>
      </c>
      <c r="W701" s="59">
        <f>+J701/$W$2</f>
        <v>1.0060328921242803E-4</v>
      </c>
    </row>
    <row r="702" spans="1:23">
      <c r="A702" s="13" t="s">
        <v>1749</v>
      </c>
      <c r="B702" s="13" t="s">
        <v>404</v>
      </c>
      <c r="C702" s="138">
        <v>46288</v>
      </c>
      <c r="D702" s="138" t="s">
        <v>424</v>
      </c>
      <c r="E702" s="28">
        <v>0.97520583000000005</v>
      </c>
      <c r="F702" s="13"/>
      <c r="G702" s="18">
        <v>9833333.3300000001</v>
      </c>
      <c r="H702" s="18">
        <v>9589524</v>
      </c>
      <c r="I702" s="18">
        <v>9833333.3300000001</v>
      </c>
      <c r="J702" s="18">
        <v>9589524</v>
      </c>
      <c r="K702" s="15">
        <v>40696499</v>
      </c>
      <c r="L702" s="13" t="s">
        <v>102</v>
      </c>
      <c r="M702" s="13" t="s">
        <v>103</v>
      </c>
      <c r="N702" s="138" t="s">
        <v>387</v>
      </c>
      <c r="O702" s="138" t="s">
        <v>387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1709</v>
      </c>
      <c r="V702" s="13" t="s">
        <v>1709</v>
      </c>
      <c r="W702" s="59">
        <f>+J702/$W$2</f>
        <v>1.5694285883961721E-4</v>
      </c>
    </row>
    <row r="703" spans="1:23">
      <c r="A703" s="13" t="s">
        <v>1754</v>
      </c>
      <c r="B703" s="13" t="s">
        <v>404</v>
      </c>
      <c r="C703" s="138">
        <v>46288</v>
      </c>
      <c r="D703" s="138" t="s">
        <v>424</v>
      </c>
      <c r="E703" s="28">
        <v>0.97520583000000005</v>
      </c>
      <c r="F703" s="13"/>
      <c r="G703" s="18">
        <v>1000000</v>
      </c>
      <c r="H703" s="18">
        <v>975205.83</v>
      </c>
      <c r="I703" s="18">
        <v>1000000</v>
      </c>
      <c r="J703" s="18">
        <v>975205.83</v>
      </c>
      <c r="K703" s="15">
        <v>519</v>
      </c>
      <c r="L703" s="13" t="s">
        <v>102</v>
      </c>
      <c r="M703" s="13" t="s">
        <v>103</v>
      </c>
      <c r="N703" s="138" t="s">
        <v>387</v>
      </c>
      <c r="O703" s="138" t="s">
        <v>387</v>
      </c>
      <c r="P703" s="28">
        <v>32</v>
      </c>
      <c r="Q703" s="13" t="s">
        <v>54</v>
      </c>
      <c r="R703" s="13" t="s">
        <v>28</v>
      </c>
      <c r="S703" s="13"/>
      <c r="T703" s="13"/>
      <c r="U703" s="13" t="s">
        <v>1728</v>
      </c>
      <c r="V703" s="13" t="s">
        <v>1728</v>
      </c>
      <c r="W703" s="59">
        <f>+J703/$W$2</f>
        <v>1.5960290721130864E-5</v>
      </c>
    </row>
    <row r="704" spans="1:23">
      <c r="A704" s="13" t="s">
        <v>1757</v>
      </c>
      <c r="B704" s="13" t="s">
        <v>404</v>
      </c>
      <c r="C704" s="138">
        <v>46288</v>
      </c>
      <c r="D704" s="138" t="s">
        <v>424</v>
      </c>
      <c r="E704" s="28">
        <v>0.97369695999999994</v>
      </c>
      <c r="F704" s="13"/>
      <c r="G704" s="18">
        <v>5000000</v>
      </c>
      <c r="H704" s="18">
        <v>4868484.78</v>
      </c>
      <c r="I704" s="18">
        <v>5000000</v>
      </c>
      <c r="J704" s="18">
        <v>4868484.78</v>
      </c>
      <c r="K704" s="15">
        <v>302</v>
      </c>
      <c r="L704" s="13" t="s">
        <v>102</v>
      </c>
      <c r="M704" s="13" t="s">
        <v>103</v>
      </c>
      <c r="N704" s="138" t="s">
        <v>387</v>
      </c>
      <c r="O704" s="138" t="s">
        <v>387</v>
      </c>
      <c r="P704" s="28">
        <v>34</v>
      </c>
      <c r="Q704" s="13" t="s">
        <v>54</v>
      </c>
      <c r="R704" s="13" t="s">
        <v>28</v>
      </c>
      <c r="S704" s="13"/>
      <c r="T704" s="13"/>
      <c r="U704" s="13" t="s">
        <v>1742</v>
      </c>
      <c r="V704" s="13" t="s">
        <v>1742</v>
      </c>
      <c r="W704" s="59">
        <f>+J704/$W$2</f>
        <v>7.9677981888398716E-5</v>
      </c>
    </row>
    <row r="705" spans="1:29">
      <c r="A705" s="13" t="s">
        <v>1757</v>
      </c>
      <c r="B705" s="13" t="s">
        <v>404</v>
      </c>
      <c r="C705" s="138">
        <v>46288</v>
      </c>
      <c r="D705" s="138" t="s">
        <v>424</v>
      </c>
      <c r="E705" s="28">
        <v>0.97369695999999994</v>
      </c>
      <c r="F705" s="13"/>
      <c r="G705" s="18">
        <v>5000000</v>
      </c>
      <c r="H705" s="18">
        <v>4868484.78</v>
      </c>
      <c r="I705" s="18">
        <v>5000000</v>
      </c>
      <c r="J705" s="18">
        <v>4868484.78</v>
      </c>
      <c r="K705" s="15">
        <v>303</v>
      </c>
      <c r="L705" s="13" t="s">
        <v>102</v>
      </c>
      <c r="M705" s="13" t="s">
        <v>103</v>
      </c>
      <c r="N705" s="138" t="s">
        <v>387</v>
      </c>
      <c r="O705" s="138" t="s">
        <v>387</v>
      </c>
      <c r="P705" s="28">
        <v>34</v>
      </c>
      <c r="Q705" s="13" t="s">
        <v>54</v>
      </c>
      <c r="R705" s="13" t="s">
        <v>28</v>
      </c>
      <c r="S705" s="13"/>
      <c r="T705" s="13"/>
      <c r="U705" s="13" t="s">
        <v>1743</v>
      </c>
      <c r="V705" s="13" t="s">
        <v>1743</v>
      </c>
      <c r="W705" s="59">
        <f>+J705/$W$2</f>
        <v>7.9677981888398716E-5</v>
      </c>
    </row>
    <row r="706" spans="1:29">
      <c r="A706" s="13" t="s">
        <v>1349</v>
      </c>
      <c r="B706" s="13" t="s">
        <v>404</v>
      </c>
      <c r="C706" s="138">
        <v>46289</v>
      </c>
      <c r="D706" s="138" t="s">
        <v>424</v>
      </c>
      <c r="E706" s="28">
        <v>0.97593584</v>
      </c>
      <c r="F706" s="13"/>
      <c r="G706" s="18">
        <v>2000000</v>
      </c>
      <c r="H706" s="18">
        <v>1951871.67</v>
      </c>
      <c r="I706" s="18">
        <v>2000000</v>
      </c>
      <c r="J706" s="18">
        <v>1951871.67</v>
      </c>
      <c r="K706" s="15">
        <v>9801</v>
      </c>
      <c r="L706" s="13" t="s">
        <v>102</v>
      </c>
      <c r="M706" s="13" t="s">
        <v>103</v>
      </c>
      <c r="N706" s="138" t="s">
        <v>173</v>
      </c>
      <c r="O706" s="138" t="s">
        <v>173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2008</v>
      </c>
      <c r="V706" s="13" t="s">
        <v>2008</v>
      </c>
      <c r="W706" s="59">
        <f>+J706/$W$2</f>
        <v>3.1944476073875815E-5</v>
      </c>
    </row>
    <row r="707" spans="1:29">
      <c r="A707" s="13" t="s">
        <v>138</v>
      </c>
      <c r="B707" s="13" t="s">
        <v>404</v>
      </c>
      <c r="C707" s="138">
        <v>46289</v>
      </c>
      <c r="D707" s="138" t="s">
        <v>424</v>
      </c>
      <c r="E707" s="28">
        <v>0.97203733000000003</v>
      </c>
      <c r="F707" s="13"/>
      <c r="G707" s="18">
        <v>115000000</v>
      </c>
      <c r="H707" s="18">
        <v>111784293.16</v>
      </c>
      <c r="I707" s="18">
        <v>115000000</v>
      </c>
      <c r="J707" s="18">
        <v>111784293.16</v>
      </c>
      <c r="K707" s="15">
        <v>8428</v>
      </c>
      <c r="L707" s="13" t="s">
        <v>102</v>
      </c>
      <c r="M707" s="13" t="s">
        <v>103</v>
      </c>
      <c r="N707" s="138" t="s">
        <v>338</v>
      </c>
      <c r="O707" s="138" t="s">
        <v>338</v>
      </c>
      <c r="P707" s="28">
        <v>35</v>
      </c>
      <c r="Q707" s="13" t="s">
        <v>54</v>
      </c>
      <c r="R707" s="13" t="s">
        <v>28</v>
      </c>
      <c r="S707" s="13"/>
      <c r="T707" s="13"/>
      <c r="U707" s="13" t="s">
        <v>1015</v>
      </c>
      <c r="V707" s="13" t="s">
        <v>1015</v>
      </c>
      <c r="W707" s="59">
        <f>+J707/$W$2</f>
        <v>1.8294700072596164E-3</v>
      </c>
    </row>
    <row r="708" spans="1:29">
      <c r="A708" s="13" t="s">
        <v>565</v>
      </c>
      <c r="B708" s="13" t="s">
        <v>404</v>
      </c>
      <c r="C708" s="138">
        <v>46289</v>
      </c>
      <c r="D708" s="138" t="s">
        <v>424</v>
      </c>
      <c r="E708" s="28">
        <v>0.97907725999999995</v>
      </c>
      <c r="F708" s="13"/>
      <c r="G708" s="18">
        <v>20000000</v>
      </c>
      <c r="H708" s="18">
        <v>19581545.27</v>
      </c>
      <c r="I708" s="18">
        <v>20000000</v>
      </c>
      <c r="J708" s="18">
        <v>19581545.27</v>
      </c>
      <c r="K708" s="15">
        <v>9508919</v>
      </c>
      <c r="L708" s="13" t="s">
        <v>102</v>
      </c>
      <c r="M708" s="13" t="s">
        <v>103</v>
      </c>
      <c r="N708" s="138" t="s">
        <v>339</v>
      </c>
      <c r="O708" s="138" t="s">
        <v>339</v>
      </c>
      <c r="P708" s="28">
        <v>26</v>
      </c>
      <c r="Q708" s="13" t="s">
        <v>54</v>
      </c>
      <c r="R708" s="13" t="s">
        <v>28</v>
      </c>
      <c r="S708" s="13"/>
      <c r="T708" s="13"/>
      <c r="U708" s="13" t="s">
        <v>1565</v>
      </c>
      <c r="V708" s="13" t="s">
        <v>1565</v>
      </c>
      <c r="W708" s="59">
        <f>+J708/$W$2</f>
        <v>3.2047301776096332E-4</v>
      </c>
    </row>
    <row r="709" spans="1:29">
      <c r="A709" s="13" t="s">
        <v>146</v>
      </c>
      <c r="B709" s="13" t="s">
        <v>404</v>
      </c>
      <c r="C709" s="138">
        <v>46289</v>
      </c>
      <c r="D709" s="138" t="s">
        <v>424</v>
      </c>
      <c r="E709" s="28">
        <v>0.97986578000000002</v>
      </c>
      <c r="F709" s="13"/>
      <c r="G709" s="18">
        <v>50000000</v>
      </c>
      <c r="H709" s="18">
        <v>48993288.869999997</v>
      </c>
      <c r="I709" s="18">
        <v>50000000</v>
      </c>
      <c r="J709" s="18">
        <v>48993288.869999997</v>
      </c>
      <c r="K709" s="15">
        <v>4900</v>
      </c>
      <c r="L709" s="13" t="s">
        <v>102</v>
      </c>
      <c r="M709" s="13" t="s">
        <v>103</v>
      </c>
      <c r="N709" s="138" t="s">
        <v>390</v>
      </c>
      <c r="O709" s="138" t="s">
        <v>390</v>
      </c>
      <c r="P709" s="28">
        <v>25</v>
      </c>
      <c r="Q709" s="13" t="s">
        <v>54</v>
      </c>
      <c r="R709" s="13" t="s">
        <v>28</v>
      </c>
      <c r="S709" s="13"/>
      <c r="T709" s="13"/>
      <c r="U709" s="13" t="s">
        <v>1108</v>
      </c>
      <c r="V709" s="13" t="s">
        <v>1108</v>
      </c>
      <c r="W709" s="59">
        <f>+J709/$W$2</f>
        <v>8.0182778824193968E-4</v>
      </c>
    </row>
    <row r="710" spans="1:29">
      <c r="A710" s="13" t="s">
        <v>285</v>
      </c>
      <c r="B710" s="13" t="s">
        <v>404</v>
      </c>
      <c r="C710" s="138">
        <v>46289</v>
      </c>
      <c r="D710" s="138" t="s">
        <v>424</v>
      </c>
      <c r="E710" s="28">
        <v>0.97829001999999998</v>
      </c>
      <c r="F710" s="13"/>
      <c r="G710" s="18">
        <v>8000000</v>
      </c>
      <c r="H710" s="18">
        <v>7826320.2000000002</v>
      </c>
      <c r="I710" s="18">
        <v>8000000</v>
      </c>
      <c r="J710" s="18">
        <v>7826320.2000000002</v>
      </c>
      <c r="K710" s="15">
        <v>67280737</v>
      </c>
      <c r="L710" s="13" t="s">
        <v>102</v>
      </c>
      <c r="M710" s="13" t="s">
        <v>103</v>
      </c>
      <c r="N710" s="138" t="s">
        <v>330</v>
      </c>
      <c r="O710" s="138" t="s">
        <v>330</v>
      </c>
      <c r="P710" s="28">
        <v>27</v>
      </c>
      <c r="Q710" s="13" t="s">
        <v>54</v>
      </c>
      <c r="R710" s="13" t="s">
        <v>28</v>
      </c>
      <c r="S710" s="13"/>
      <c r="T710" s="13"/>
      <c r="U710" s="13" t="s">
        <v>921</v>
      </c>
      <c r="V710" s="13" t="s">
        <v>921</v>
      </c>
      <c r="W710" s="59">
        <f>+J710/$W$2</f>
        <v>1.2808613507638594E-4</v>
      </c>
    </row>
    <row r="711" spans="1:29">
      <c r="A711" s="13" t="s">
        <v>285</v>
      </c>
      <c r="B711" s="13" t="s">
        <v>404</v>
      </c>
      <c r="C711" s="138">
        <v>46289</v>
      </c>
      <c r="D711" s="138" t="s">
        <v>424</v>
      </c>
      <c r="E711" s="28">
        <v>0.97829003000000003</v>
      </c>
      <c r="F711" s="13"/>
      <c r="G711" s="18">
        <v>5000000</v>
      </c>
      <c r="H711" s="18">
        <v>4891450.1399999997</v>
      </c>
      <c r="I711" s="18">
        <v>5000000</v>
      </c>
      <c r="J711" s="18">
        <v>4891450.1399999997</v>
      </c>
      <c r="K711" s="15">
        <v>67193056</v>
      </c>
      <c r="L711" s="13" t="s">
        <v>102</v>
      </c>
      <c r="M711" s="13" t="s">
        <v>103</v>
      </c>
      <c r="N711" s="138" t="s">
        <v>330</v>
      </c>
      <c r="O711" s="138" t="s">
        <v>330</v>
      </c>
      <c r="P711" s="28">
        <v>27</v>
      </c>
      <c r="Q711" s="13" t="s">
        <v>54</v>
      </c>
      <c r="R711" s="13" t="s">
        <v>28</v>
      </c>
      <c r="S711" s="13"/>
      <c r="T711" s="13"/>
      <c r="U711" s="13" t="s">
        <v>926</v>
      </c>
      <c r="V711" s="13" t="s">
        <v>926</v>
      </c>
      <c r="W711" s="59">
        <f>+J711/$W$2</f>
        <v>8.0053834668232304E-5</v>
      </c>
      <c r="AC711" s="56"/>
    </row>
    <row r="712" spans="1:29">
      <c r="A712" s="13" t="s">
        <v>375</v>
      </c>
      <c r="B712" s="13" t="s">
        <v>404</v>
      </c>
      <c r="C712" s="138">
        <v>46289</v>
      </c>
      <c r="D712" s="138" t="s">
        <v>424</v>
      </c>
      <c r="E712" s="28">
        <v>0.97359298999999999</v>
      </c>
      <c r="F712" s="13"/>
      <c r="G712" s="18">
        <v>5000000</v>
      </c>
      <c r="H712" s="18">
        <v>4867964.93</v>
      </c>
      <c r="I712" s="18">
        <v>5000000</v>
      </c>
      <c r="J712" s="18">
        <v>4867964.93</v>
      </c>
      <c r="K712" s="15">
        <v>3044</v>
      </c>
      <c r="L712" s="13" t="s">
        <v>102</v>
      </c>
      <c r="M712" s="13" t="s">
        <v>103</v>
      </c>
      <c r="N712" s="138" t="s">
        <v>161</v>
      </c>
      <c r="O712" s="138" t="s">
        <v>161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1695</v>
      </c>
      <c r="V712" s="13" t="s">
        <v>1695</v>
      </c>
      <c r="W712" s="59">
        <f>+J712/$W$2</f>
        <v>7.9669473984860664E-5</v>
      </c>
    </row>
    <row r="713" spans="1:29">
      <c r="A713" s="13" t="s">
        <v>405</v>
      </c>
      <c r="B713" s="13" t="s">
        <v>404</v>
      </c>
      <c r="C713" s="138">
        <v>46289</v>
      </c>
      <c r="D713" s="138" t="s">
        <v>424</v>
      </c>
      <c r="E713" s="28">
        <v>0.97593589999999997</v>
      </c>
      <c r="F713" s="13"/>
      <c r="G713" s="18">
        <v>10000000</v>
      </c>
      <c r="H713" s="18">
        <v>9759358.9900000002</v>
      </c>
      <c r="I713" s="18">
        <v>10000000</v>
      </c>
      <c r="J713" s="18">
        <v>9759358.9900000002</v>
      </c>
      <c r="K713" s="15">
        <v>740</v>
      </c>
      <c r="L713" s="13" t="s">
        <v>102</v>
      </c>
      <c r="M713" s="13" t="s">
        <v>103</v>
      </c>
      <c r="N713" s="138" t="s">
        <v>425</v>
      </c>
      <c r="O713" s="138" t="s">
        <v>425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1313</v>
      </c>
      <c r="V713" s="13" t="s">
        <v>1313</v>
      </c>
      <c r="W713" s="59">
        <f>+J713/$W$2</f>
        <v>1.597223908436664E-4</v>
      </c>
    </row>
    <row r="714" spans="1:29">
      <c r="A714" s="13" t="s">
        <v>405</v>
      </c>
      <c r="B714" s="13" t="s">
        <v>404</v>
      </c>
      <c r="C714" s="138">
        <v>46289</v>
      </c>
      <c r="D714" s="138" t="s">
        <v>424</v>
      </c>
      <c r="E714" s="28">
        <v>0.97593585999999999</v>
      </c>
      <c r="F714" s="13"/>
      <c r="G714" s="18">
        <v>5000000</v>
      </c>
      <c r="H714" s="18">
        <v>4879679.3</v>
      </c>
      <c r="I714" s="18">
        <v>5000000</v>
      </c>
      <c r="J714" s="18">
        <v>4879679.3</v>
      </c>
      <c r="K714" s="15">
        <v>782</v>
      </c>
      <c r="L714" s="13" t="s">
        <v>102</v>
      </c>
      <c r="M714" s="13" t="s">
        <v>103</v>
      </c>
      <c r="N714" s="138" t="s">
        <v>421</v>
      </c>
      <c r="O714" s="138" t="s">
        <v>421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1408</v>
      </c>
      <c r="V714" s="13" t="s">
        <v>1408</v>
      </c>
      <c r="W714" s="59">
        <f>+J714/$W$2</f>
        <v>7.9861192230448776E-5</v>
      </c>
      <c r="AC714" s="56"/>
    </row>
    <row r="715" spans="1:29">
      <c r="A715" s="13" t="s">
        <v>375</v>
      </c>
      <c r="B715" s="13" t="s">
        <v>404</v>
      </c>
      <c r="C715" s="138">
        <v>46289</v>
      </c>
      <c r="D715" s="138" t="s">
        <v>424</v>
      </c>
      <c r="E715" s="28">
        <v>0.97048670000000004</v>
      </c>
      <c r="F715" s="13"/>
      <c r="G715" s="18">
        <v>3076923.1</v>
      </c>
      <c r="H715" s="18">
        <v>2986112.93</v>
      </c>
      <c r="I715" s="18">
        <v>3076923.1</v>
      </c>
      <c r="J715" s="18">
        <v>2986112.93</v>
      </c>
      <c r="K715" s="15">
        <v>2781</v>
      </c>
      <c r="L715" s="13" t="s">
        <v>102</v>
      </c>
      <c r="M715" s="13" t="s">
        <v>103</v>
      </c>
      <c r="N715" s="138" t="s">
        <v>355</v>
      </c>
      <c r="O715" s="138" t="s">
        <v>355</v>
      </c>
      <c r="P715" s="28">
        <v>37</v>
      </c>
      <c r="Q715" s="13" t="s">
        <v>54</v>
      </c>
      <c r="R715" s="13" t="s">
        <v>28</v>
      </c>
      <c r="S715" s="13"/>
      <c r="T715" s="13"/>
      <c r="U715" s="13" t="s">
        <v>1193</v>
      </c>
      <c r="V715" s="13" t="s">
        <v>1193</v>
      </c>
      <c r="W715" s="59">
        <f>+J715/$W$2</f>
        <v>4.887094500750462E-5</v>
      </c>
    </row>
    <row r="716" spans="1:29">
      <c r="A716" s="13" t="s">
        <v>1744</v>
      </c>
      <c r="B716" s="13" t="s">
        <v>404</v>
      </c>
      <c r="C716" s="138">
        <v>46289</v>
      </c>
      <c r="D716" s="138" t="s">
        <v>424</v>
      </c>
      <c r="E716" s="28">
        <v>0.97437273000000002</v>
      </c>
      <c r="F716" s="13"/>
      <c r="G716" s="18">
        <v>2097348.4</v>
      </c>
      <c r="H716" s="18">
        <v>2043599.09</v>
      </c>
      <c r="I716" s="18">
        <v>2097348.4</v>
      </c>
      <c r="J716" s="18">
        <v>2043599.09</v>
      </c>
      <c r="K716" s="15">
        <v>76510841</v>
      </c>
      <c r="L716" s="13" t="s">
        <v>102</v>
      </c>
      <c r="M716" s="13" t="s">
        <v>103</v>
      </c>
      <c r="N716" s="138" t="s">
        <v>387</v>
      </c>
      <c r="O716" s="138" t="s">
        <v>387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1726</v>
      </c>
      <c r="V716" s="13" t="s">
        <v>1726</v>
      </c>
      <c r="W716" s="59">
        <f>+J716/$W$2</f>
        <v>3.3445693811980676E-5</v>
      </c>
    </row>
    <row r="717" spans="1:29">
      <c r="A717" s="13" t="s">
        <v>405</v>
      </c>
      <c r="B717" s="13" t="s">
        <v>404</v>
      </c>
      <c r="C717" s="138">
        <v>46289</v>
      </c>
      <c r="D717" s="138" t="s">
        <v>424</v>
      </c>
      <c r="E717" s="28">
        <v>0.97593587000000004</v>
      </c>
      <c r="F717" s="13"/>
      <c r="G717" s="18">
        <v>10000000</v>
      </c>
      <c r="H717" s="18">
        <v>9759358.7300000004</v>
      </c>
      <c r="I717" s="18">
        <v>10000000</v>
      </c>
      <c r="J717" s="18">
        <v>9759358.7300000004</v>
      </c>
      <c r="K717" s="15">
        <v>725</v>
      </c>
      <c r="L717" s="13" t="s">
        <v>102</v>
      </c>
      <c r="M717" s="13" t="s">
        <v>103</v>
      </c>
      <c r="N717" s="138" t="s">
        <v>163</v>
      </c>
      <c r="O717" s="138" t="s">
        <v>163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1137</v>
      </c>
      <c r="V717" s="13" t="s">
        <v>1137</v>
      </c>
      <c r="W717" s="59">
        <f>+J717/$W$2</f>
        <v>1.5972238658848719E-4</v>
      </c>
    </row>
    <row r="718" spans="1:29">
      <c r="A718" s="13" t="s">
        <v>405</v>
      </c>
      <c r="B718" s="13" t="s">
        <v>404</v>
      </c>
      <c r="C718" s="138">
        <v>46289</v>
      </c>
      <c r="D718" s="138" t="s">
        <v>424</v>
      </c>
      <c r="E718" s="28">
        <v>0.97593585999999999</v>
      </c>
      <c r="F718" s="13"/>
      <c r="G718" s="18">
        <v>5000000</v>
      </c>
      <c r="H718" s="18">
        <v>4879679.3</v>
      </c>
      <c r="I718" s="18">
        <v>5000000</v>
      </c>
      <c r="J718" s="18">
        <v>4879679.3</v>
      </c>
      <c r="K718" s="15">
        <v>684</v>
      </c>
      <c r="L718" s="13" t="s">
        <v>102</v>
      </c>
      <c r="M718" s="13" t="s">
        <v>103</v>
      </c>
      <c r="N718" s="138" t="s">
        <v>382</v>
      </c>
      <c r="O718" s="138" t="s">
        <v>382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1115</v>
      </c>
      <c r="V718" s="13" t="s">
        <v>1115</v>
      </c>
      <c r="W718" s="59">
        <f>+J718/$W$2</f>
        <v>7.9861192230448776E-5</v>
      </c>
    </row>
    <row r="719" spans="1:29">
      <c r="A719" s="13" t="s">
        <v>406</v>
      </c>
      <c r="B719" s="13" t="s">
        <v>404</v>
      </c>
      <c r="C719" s="138">
        <v>46289</v>
      </c>
      <c r="D719" s="138" t="s">
        <v>424</v>
      </c>
      <c r="E719" s="28">
        <v>0.97048659999999998</v>
      </c>
      <c r="F719" s="13"/>
      <c r="G719" s="18">
        <v>50000000</v>
      </c>
      <c r="H719" s="18">
        <v>48524329.990000002</v>
      </c>
      <c r="I719" s="18">
        <v>50000000</v>
      </c>
      <c r="J719" s="18">
        <v>48524329.990000002</v>
      </c>
      <c r="K719" s="15">
        <v>67836059</v>
      </c>
      <c r="L719" s="13" t="s">
        <v>102</v>
      </c>
      <c r="M719" s="13" t="s">
        <v>103</v>
      </c>
      <c r="N719" s="138" t="s">
        <v>340</v>
      </c>
      <c r="O719" s="138" t="s">
        <v>340</v>
      </c>
      <c r="P719" s="28">
        <v>37</v>
      </c>
      <c r="Q719" s="13" t="s">
        <v>54</v>
      </c>
      <c r="R719" s="13" t="s">
        <v>28</v>
      </c>
      <c r="S719" s="13"/>
      <c r="T719" s="13"/>
      <c r="U719" s="13" t="s">
        <v>1063</v>
      </c>
      <c r="V719" s="13" t="s">
        <v>1063</v>
      </c>
      <c r="W719" s="59">
        <f>+J719/$W$2</f>
        <v>7.9415277253673631E-4</v>
      </c>
    </row>
    <row r="720" spans="1:29">
      <c r="A720" s="13" t="s">
        <v>1746</v>
      </c>
      <c r="B720" s="13" t="s">
        <v>404</v>
      </c>
      <c r="C720" s="138">
        <v>46289</v>
      </c>
      <c r="D720" s="138" t="s">
        <v>424</v>
      </c>
      <c r="E720" s="28">
        <v>0.97437273000000002</v>
      </c>
      <c r="F720" s="13"/>
      <c r="G720" s="18">
        <v>6501880</v>
      </c>
      <c r="H720" s="18">
        <v>6335254.5499999998</v>
      </c>
      <c r="I720" s="18">
        <v>6501880</v>
      </c>
      <c r="J720" s="18">
        <v>6335254.5499999998</v>
      </c>
      <c r="K720" s="15">
        <v>387</v>
      </c>
      <c r="L720" s="13" t="s">
        <v>102</v>
      </c>
      <c r="M720" s="13" t="s">
        <v>103</v>
      </c>
      <c r="N720" s="138" t="s">
        <v>387</v>
      </c>
      <c r="O720" s="138" t="s">
        <v>387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1710</v>
      </c>
      <c r="V720" s="13" t="s">
        <v>1710</v>
      </c>
      <c r="W720" s="59">
        <f>+J720/$W$2</f>
        <v>1.0368324439812576E-4</v>
      </c>
    </row>
    <row r="721" spans="1:23">
      <c r="A721" s="13" t="s">
        <v>413</v>
      </c>
      <c r="B721" s="13" t="s">
        <v>404</v>
      </c>
      <c r="C721" s="138">
        <v>46289</v>
      </c>
      <c r="D721" s="138" t="s">
        <v>424</v>
      </c>
      <c r="E721" s="28">
        <v>0.97437269000000004</v>
      </c>
      <c r="F721" s="13"/>
      <c r="G721" s="18">
        <v>15355310.449999999</v>
      </c>
      <c r="H721" s="18">
        <v>14961795.15</v>
      </c>
      <c r="I721" s="18">
        <v>15355310.449999999</v>
      </c>
      <c r="J721" s="18">
        <v>14961795.15</v>
      </c>
      <c r="K721" s="15">
        <v>30751</v>
      </c>
      <c r="L721" s="13" t="s">
        <v>102</v>
      </c>
      <c r="M721" s="13" t="s">
        <v>103</v>
      </c>
      <c r="N721" s="138" t="s">
        <v>330</v>
      </c>
      <c r="O721" s="138" t="s">
        <v>330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939</v>
      </c>
      <c r="V721" s="13" t="s">
        <v>939</v>
      </c>
      <c r="W721" s="59">
        <f>+J721/$W$2</f>
        <v>2.4486584570972651E-4</v>
      </c>
    </row>
    <row r="722" spans="1:23">
      <c r="A722" s="13" t="s">
        <v>174</v>
      </c>
      <c r="B722" s="13" t="s">
        <v>404</v>
      </c>
      <c r="C722" s="138">
        <v>46289</v>
      </c>
      <c r="D722" s="138" t="s">
        <v>424</v>
      </c>
      <c r="E722" s="28">
        <v>0.96971308000000001</v>
      </c>
      <c r="F722" s="13"/>
      <c r="G722" s="18">
        <v>286000000</v>
      </c>
      <c r="H722" s="18">
        <v>277337939.91000003</v>
      </c>
      <c r="I722" s="18">
        <v>286000000</v>
      </c>
      <c r="J722" s="18">
        <v>277337939.91000003</v>
      </c>
      <c r="K722" s="15">
        <v>70400443</v>
      </c>
      <c r="L722" s="13" t="s">
        <v>102</v>
      </c>
      <c r="M722" s="13" t="s">
        <v>103</v>
      </c>
      <c r="N722" s="138" t="s">
        <v>173</v>
      </c>
      <c r="O722" s="138" t="s">
        <v>173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2022</v>
      </c>
      <c r="V722" s="13" t="s">
        <v>2022</v>
      </c>
      <c r="W722" s="59">
        <f>+J722/$W$2</f>
        <v>4.5389332311140127E-3</v>
      </c>
    </row>
    <row r="723" spans="1:23">
      <c r="A723" s="13" t="s">
        <v>960</v>
      </c>
      <c r="B723" s="13" t="s">
        <v>404</v>
      </c>
      <c r="C723" s="138">
        <v>46289</v>
      </c>
      <c r="D723" s="138" t="s">
        <v>424</v>
      </c>
      <c r="E723" s="28">
        <v>0.97437269999999998</v>
      </c>
      <c r="F723" s="13"/>
      <c r="G723" s="18">
        <v>1000000</v>
      </c>
      <c r="H723" s="18">
        <v>974372.7</v>
      </c>
      <c r="I723" s="18">
        <v>1000000</v>
      </c>
      <c r="J723" s="18">
        <v>974372.7</v>
      </c>
      <c r="K723" s="15">
        <v>67381805</v>
      </c>
      <c r="L723" s="13" t="s">
        <v>102</v>
      </c>
      <c r="M723" s="13" t="s">
        <v>103</v>
      </c>
      <c r="N723" s="138" t="s">
        <v>330</v>
      </c>
      <c r="O723" s="138" t="s">
        <v>330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970</v>
      </c>
      <c r="V723" s="13" t="s">
        <v>970</v>
      </c>
      <c r="W723" s="59">
        <f>+J723/$W$2</f>
        <v>1.5946655653948691E-5</v>
      </c>
    </row>
    <row r="724" spans="1:23">
      <c r="A724" s="13" t="s">
        <v>1668</v>
      </c>
      <c r="B724" s="13" t="s">
        <v>404</v>
      </c>
      <c r="C724" s="138">
        <v>46289</v>
      </c>
      <c r="D724" s="138" t="s">
        <v>424</v>
      </c>
      <c r="E724" s="28">
        <v>0.97593593999999995</v>
      </c>
      <c r="F724" s="13"/>
      <c r="G724" s="18">
        <v>2870567.11</v>
      </c>
      <c r="H724" s="18">
        <v>2801489.62</v>
      </c>
      <c r="I724" s="18">
        <v>2870567.11</v>
      </c>
      <c r="J724" s="18">
        <v>2801489.62</v>
      </c>
      <c r="K724" s="15">
        <v>105</v>
      </c>
      <c r="L724" s="13" t="s">
        <v>102</v>
      </c>
      <c r="M724" s="13" t="s">
        <v>103</v>
      </c>
      <c r="N724" s="138" t="s">
        <v>383</v>
      </c>
      <c r="O724" s="138" t="s">
        <v>383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1649</v>
      </c>
      <c r="V724" s="13" t="s">
        <v>1649</v>
      </c>
      <c r="W724" s="59">
        <f>+J724/$W$2</f>
        <v>4.5849386264877472E-5</v>
      </c>
    </row>
    <row r="725" spans="1:23">
      <c r="A725" s="13" t="s">
        <v>318</v>
      </c>
      <c r="B725" s="13" t="s">
        <v>404</v>
      </c>
      <c r="C725" s="138">
        <v>46290</v>
      </c>
      <c r="D725" s="138" t="s">
        <v>424</v>
      </c>
      <c r="E725" s="28">
        <v>0.97920861000000003</v>
      </c>
      <c r="F725" s="13"/>
      <c r="G725" s="18">
        <v>7250000</v>
      </c>
      <c r="H725" s="18">
        <v>7099262.3899999997</v>
      </c>
      <c r="I725" s="18">
        <v>7250000</v>
      </c>
      <c r="J725" s="18">
        <v>7099262.3899999997</v>
      </c>
      <c r="K725" s="15">
        <v>33955</v>
      </c>
      <c r="L725" s="13" t="s">
        <v>102</v>
      </c>
      <c r="M725" s="13" t="s">
        <v>103</v>
      </c>
      <c r="N725" s="138" t="s">
        <v>344</v>
      </c>
      <c r="O725" s="138" t="s">
        <v>344</v>
      </c>
      <c r="P725" s="28">
        <v>25</v>
      </c>
      <c r="Q725" s="13" t="s">
        <v>54</v>
      </c>
      <c r="R725" s="13" t="s">
        <v>28</v>
      </c>
      <c r="S725" s="13"/>
      <c r="T725" s="13"/>
      <c r="U725" s="13" t="s">
        <v>1045</v>
      </c>
      <c r="V725" s="13" t="s">
        <v>1045</v>
      </c>
      <c r="W725" s="59">
        <f>+J725/$W$2</f>
        <v>1.1618705319880042E-4</v>
      </c>
    </row>
    <row r="726" spans="1:23">
      <c r="A726" s="13" t="s">
        <v>302</v>
      </c>
      <c r="B726" s="13" t="s">
        <v>404</v>
      </c>
      <c r="C726" s="138">
        <v>46290</v>
      </c>
      <c r="D726" s="138" t="s">
        <v>424</v>
      </c>
      <c r="E726" s="28">
        <v>0.97113218000000001</v>
      </c>
      <c r="F726" s="13"/>
      <c r="G726" s="18">
        <v>6000000</v>
      </c>
      <c r="H726" s="18">
        <v>5826793.0599999996</v>
      </c>
      <c r="I726" s="18">
        <v>6000000</v>
      </c>
      <c r="J726" s="18">
        <v>5826793.0599999996</v>
      </c>
      <c r="K726" s="15">
        <v>40761880</v>
      </c>
      <c r="L726" s="13" t="s">
        <v>102</v>
      </c>
      <c r="M726" s="13" t="s">
        <v>103</v>
      </c>
      <c r="N726" s="138" t="s">
        <v>346</v>
      </c>
      <c r="O726" s="138" t="s">
        <v>346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1525</v>
      </c>
      <c r="V726" s="13" t="s">
        <v>1525</v>
      </c>
      <c r="W726" s="59">
        <f>+J726/$W$2</f>
        <v>9.5361726056813776E-5</v>
      </c>
    </row>
    <row r="727" spans="1:23">
      <c r="A727" s="13" t="s">
        <v>537</v>
      </c>
      <c r="B727" s="13" t="s">
        <v>404</v>
      </c>
      <c r="C727" s="138">
        <v>46290</v>
      </c>
      <c r="D727" s="138" t="s">
        <v>424</v>
      </c>
      <c r="E727" s="28">
        <v>0.98002372999999998</v>
      </c>
      <c r="F727" s="13"/>
      <c r="G727" s="18">
        <v>25000000</v>
      </c>
      <c r="H727" s="18">
        <v>24500593.190000001</v>
      </c>
      <c r="I727" s="18">
        <v>25000000</v>
      </c>
      <c r="J727" s="18">
        <v>24500593.190000001</v>
      </c>
      <c r="K727" s="15">
        <v>333</v>
      </c>
      <c r="L727" s="13" t="s">
        <v>102</v>
      </c>
      <c r="M727" s="13" t="s">
        <v>103</v>
      </c>
      <c r="N727" s="138" t="s">
        <v>161</v>
      </c>
      <c r="O727" s="138" t="s">
        <v>383</v>
      </c>
      <c r="P727" s="28">
        <v>24</v>
      </c>
      <c r="Q727" s="13" t="s">
        <v>54</v>
      </c>
      <c r="R727" s="13" t="s">
        <v>28</v>
      </c>
      <c r="S727" s="13"/>
      <c r="T727" s="13"/>
      <c r="U727" s="13" t="s">
        <v>1675</v>
      </c>
      <c r="V727" s="13" t="s">
        <v>1675</v>
      </c>
      <c r="W727" s="59">
        <f>+J727/$W$2</f>
        <v>4.0097851973727337E-4</v>
      </c>
    </row>
    <row r="728" spans="1:23">
      <c r="A728" s="13" t="s">
        <v>537</v>
      </c>
      <c r="B728" s="13" t="s">
        <v>404</v>
      </c>
      <c r="C728" s="138">
        <v>46290</v>
      </c>
      <c r="D728" s="138" t="s">
        <v>424</v>
      </c>
      <c r="E728" s="28">
        <v>0.97434666999999997</v>
      </c>
      <c r="F728" s="13"/>
      <c r="G728" s="18">
        <v>3000000</v>
      </c>
      <c r="H728" s="18">
        <v>2923040.01</v>
      </c>
      <c r="I728" s="18">
        <v>3000000</v>
      </c>
      <c r="J728" s="18">
        <v>2923040.01</v>
      </c>
      <c r="K728" s="15">
        <v>90003469</v>
      </c>
      <c r="L728" s="13" t="s">
        <v>102</v>
      </c>
      <c r="M728" s="13" t="s">
        <v>103</v>
      </c>
      <c r="N728" s="138" t="s">
        <v>289</v>
      </c>
      <c r="O728" s="138" t="s">
        <v>289</v>
      </c>
      <c r="P728" s="28">
        <v>31</v>
      </c>
      <c r="Q728" s="13" t="s">
        <v>54</v>
      </c>
      <c r="R728" s="13" t="s">
        <v>28</v>
      </c>
      <c r="S728" s="13"/>
      <c r="T728" s="13"/>
      <c r="U728" s="13" t="s">
        <v>602</v>
      </c>
      <c r="V728" s="13" t="s">
        <v>602</v>
      </c>
      <c r="W728" s="59">
        <f>+J728/$W$2</f>
        <v>4.7838688935132052E-5</v>
      </c>
    </row>
    <row r="729" spans="1:23">
      <c r="A729" s="13" t="s">
        <v>1745</v>
      </c>
      <c r="B729" s="13" t="s">
        <v>404</v>
      </c>
      <c r="C729" s="138">
        <v>46290</v>
      </c>
      <c r="D729" s="138" t="s">
        <v>424</v>
      </c>
      <c r="E729" s="28">
        <v>0.97354105000000002</v>
      </c>
      <c r="F729" s="13"/>
      <c r="G729" s="18">
        <v>3921022.75</v>
      </c>
      <c r="H729" s="18">
        <v>3817276.62</v>
      </c>
      <c r="I729" s="18">
        <v>3921022.75</v>
      </c>
      <c r="J729" s="18">
        <v>3817276.62</v>
      </c>
      <c r="K729" s="15">
        <v>123178</v>
      </c>
      <c r="L729" s="13" t="s">
        <v>102</v>
      </c>
      <c r="M729" s="13" t="s">
        <v>103</v>
      </c>
      <c r="N729" s="138" t="s">
        <v>387</v>
      </c>
      <c r="O729" s="138" t="s">
        <v>387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1717</v>
      </c>
      <c r="V729" s="13" t="s">
        <v>1717</v>
      </c>
      <c r="W729" s="59">
        <f>+J729/$W$2</f>
        <v>6.2473831414826332E-5</v>
      </c>
    </row>
    <row r="730" spans="1:23">
      <c r="A730" s="13" t="s">
        <v>537</v>
      </c>
      <c r="B730" s="13" t="s">
        <v>404</v>
      </c>
      <c r="C730" s="138">
        <v>46290</v>
      </c>
      <c r="D730" s="138" t="s">
        <v>424</v>
      </c>
      <c r="E730" s="28">
        <v>0.97758265</v>
      </c>
      <c r="F730" s="13"/>
      <c r="G730" s="18">
        <v>30000000</v>
      </c>
      <c r="H730" s="18">
        <v>29327479.59</v>
      </c>
      <c r="I730" s="18">
        <v>30000000</v>
      </c>
      <c r="J730" s="18">
        <v>29327479.59</v>
      </c>
      <c r="K730" s="15">
        <v>90000209</v>
      </c>
      <c r="L730" s="13" t="s">
        <v>102</v>
      </c>
      <c r="M730" s="13" t="s">
        <v>103</v>
      </c>
      <c r="N730" s="138" t="s">
        <v>374</v>
      </c>
      <c r="O730" s="138" t="s">
        <v>374</v>
      </c>
      <c r="P730" s="28">
        <v>27</v>
      </c>
      <c r="Q730" s="13" t="s">
        <v>54</v>
      </c>
      <c r="R730" s="13" t="s">
        <v>28</v>
      </c>
      <c r="S730" s="13"/>
      <c r="T730" s="13"/>
      <c r="U730" s="13" t="s">
        <v>1211</v>
      </c>
      <c r="V730" s="13" t="s">
        <v>1211</v>
      </c>
      <c r="W730" s="59">
        <f>+J730/$W$2</f>
        <v>4.7997569946278093E-4</v>
      </c>
    </row>
    <row r="731" spans="1:23">
      <c r="A731" s="13" t="s">
        <v>537</v>
      </c>
      <c r="B731" s="13" t="s">
        <v>404</v>
      </c>
      <c r="C731" s="138">
        <v>46290</v>
      </c>
      <c r="D731" s="138" t="s">
        <v>424</v>
      </c>
      <c r="E731" s="28">
        <v>0.97758265</v>
      </c>
      <c r="F731" s="13"/>
      <c r="G731" s="18">
        <v>22000000</v>
      </c>
      <c r="H731" s="18">
        <v>21506818.370000001</v>
      </c>
      <c r="I731" s="18">
        <v>22000000</v>
      </c>
      <c r="J731" s="18">
        <v>21506818.370000001</v>
      </c>
      <c r="K731" s="15">
        <v>90000343</v>
      </c>
      <c r="L731" s="13" t="s">
        <v>102</v>
      </c>
      <c r="M731" s="13" t="s">
        <v>103</v>
      </c>
      <c r="N731" s="138" t="s">
        <v>374</v>
      </c>
      <c r="O731" s="138" t="s">
        <v>374</v>
      </c>
      <c r="P731" s="28">
        <v>27</v>
      </c>
      <c r="Q731" s="13" t="s">
        <v>54</v>
      </c>
      <c r="R731" s="13" t="s">
        <v>28</v>
      </c>
      <c r="S731" s="13"/>
      <c r="T731" s="13"/>
      <c r="U731" s="13" t="s">
        <v>1212</v>
      </c>
      <c r="V731" s="13" t="s">
        <v>1212</v>
      </c>
      <c r="W731" s="59">
        <f>+J731/$W$2</f>
        <v>3.5198217967150362E-4</v>
      </c>
    </row>
    <row r="732" spans="1:23">
      <c r="A732" s="13" t="s">
        <v>537</v>
      </c>
      <c r="B732" s="13" t="s">
        <v>404</v>
      </c>
      <c r="C732" s="138">
        <v>46290</v>
      </c>
      <c r="D732" s="138" t="s">
        <v>424</v>
      </c>
      <c r="E732" s="28">
        <v>0.97758265</v>
      </c>
      <c r="F732" s="13"/>
      <c r="G732" s="18">
        <v>10000000</v>
      </c>
      <c r="H732" s="18">
        <v>9775826.5399999991</v>
      </c>
      <c r="I732" s="18">
        <v>10000000</v>
      </c>
      <c r="J732" s="18">
        <v>9775826.5399999991</v>
      </c>
      <c r="K732" s="15">
        <v>90000267</v>
      </c>
      <c r="L732" s="13" t="s">
        <v>102</v>
      </c>
      <c r="M732" s="13" t="s">
        <v>103</v>
      </c>
      <c r="N732" s="138" t="s">
        <v>374</v>
      </c>
      <c r="O732" s="138" t="s">
        <v>374</v>
      </c>
      <c r="P732" s="28">
        <v>27</v>
      </c>
      <c r="Q732" s="13" t="s">
        <v>54</v>
      </c>
      <c r="R732" s="13" t="s">
        <v>28</v>
      </c>
      <c r="S732" s="13"/>
      <c r="T732" s="13"/>
      <c r="U732" s="13" t="s">
        <v>1213</v>
      </c>
      <c r="V732" s="13" t="s">
        <v>1213</v>
      </c>
      <c r="W732" s="59">
        <f>+J732/$W$2</f>
        <v>1.599918999845877E-4</v>
      </c>
    </row>
    <row r="733" spans="1:23">
      <c r="A733" s="13" t="s">
        <v>537</v>
      </c>
      <c r="B733" s="13" t="s">
        <v>404</v>
      </c>
      <c r="C733" s="138">
        <v>46290</v>
      </c>
      <c r="D733" s="138" t="s">
        <v>424</v>
      </c>
      <c r="E733" s="28">
        <v>0.97758265</v>
      </c>
      <c r="F733" s="13"/>
      <c r="G733" s="18">
        <v>24600000</v>
      </c>
      <c r="H733" s="18">
        <v>24048533.260000002</v>
      </c>
      <c r="I733" s="18">
        <v>24600000</v>
      </c>
      <c r="J733" s="18">
        <v>24048533.260000002</v>
      </c>
      <c r="K733" s="15">
        <v>90000306</v>
      </c>
      <c r="L733" s="13" t="s">
        <v>102</v>
      </c>
      <c r="M733" s="13" t="s">
        <v>103</v>
      </c>
      <c r="N733" s="138" t="s">
        <v>374</v>
      </c>
      <c r="O733" s="138" t="s">
        <v>374</v>
      </c>
      <c r="P733" s="28">
        <v>27</v>
      </c>
      <c r="Q733" s="13" t="s">
        <v>54</v>
      </c>
      <c r="R733" s="13" t="s">
        <v>28</v>
      </c>
      <c r="S733" s="13"/>
      <c r="T733" s="13"/>
      <c r="U733" s="13" t="s">
        <v>1214</v>
      </c>
      <c r="V733" s="13" t="s">
        <v>1214</v>
      </c>
      <c r="W733" s="59">
        <f>+J733/$W$2</f>
        <v>3.9358007349728929E-4</v>
      </c>
    </row>
    <row r="734" spans="1:23">
      <c r="A734" s="13" t="s">
        <v>537</v>
      </c>
      <c r="B734" s="13" t="s">
        <v>404</v>
      </c>
      <c r="C734" s="138">
        <v>46290</v>
      </c>
      <c r="D734" s="138" t="s">
        <v>424</v>
      </c>
      <c r="E734" s="28">
        <v>0.97758265</v>
      </c>
      <c r="F734" s="13"/>
      <c r="G734" s="18">
        <v>18000000</v>
      </c>
      <c r="H734" s="18">
        <v>17596487.75</v>
      </c>
      <c r="I734" s="18">
        <v>18000000</v>
      </c>
      <c r="J734" s="18">
        <v>17596487.75</v>
      </c>
      <c r="K734" s="15">
        <v>90000338</v>
      </c>
      <c r="L734" s="13" t="s">
        <v>102</v>
      </c>
      <c r="M734" s="13" t="s">
        <v>103</v>
      </c>
      <c r="N734" s="138" t="s">
        <v>374</v>
      </c>
      <c r="O734" s="138" t="s">
        <v>374</v>
      </c>
      <c r="P734" s="28">
        <v>27</v>
      </c>
      <c r="Q734" s="13" t="s">
        <v>54</v>
      </c>
      <c r="R734" s="13" t="s">
        <v>28</v>
      </c>
      <c r="S734" s="13"/>
      <c r="T734" s="13"/>
      <c r="U734" s="13" t="s">
        <v>1215</v>
      </c>
      <c r="V734" s="13" t="s">
        <v>1215</v>
      </c>
      <c r="W734" s="59">
        <f>+J734/$W$2</f>
        <v>2.8798541961220424E-4</v>
      </c>
    </row>
    <row r="735" spans="1:23">
      <c r="A735" s="13" t="s">
        <v>285</v>
      </c>
      <c r="B735" s="13" t="s">
        <v>404</v>
      </c>
      <c r="C735" s="138">
        <v>46290</v>
      </c>
      <c r="D735" s="138" t="s">
        <v>424</v>
      </c>
      <c r="E735" s="28">
        <v>0.97758263000000001</v>
      </c>
      <c r="F735" s="13"/>
      <c r="G735" s="18">
        <v>35000000</v>
      </c>
      <c r="H735" s="18">
        <v>34215391.969999999</v>
      </c>
      <c r="I735" s="18">
        <v>35000000</v>
      </c>
      <c r="J735" s="18">
        <v>34215391.969999999</v>
      </c>
      <c r="K735" s="15">
        <v>54027796</v>
      </c>
      <c r="L735" s="13" t="s">
        <v>102</v>
      </c>
      <c r="M735" s="13" t="s">
        <v>103</v>
      </c>
      <c r="N735" s="138" t="s">
        <v>390</v>
      </c>
      <c r="O735" s="138" t="s">
        <v>390</v>
      </c>
      <c r="P735" s="28">
        <v>27</v>
      </c>
      <c r="Q735" s="13" t="s">
        <v>54</v>
      </c>
      <c r="R735" s="13" t="s">
        <v>28</v>
      </c>
      <c r="S735" s="13"/>
      <c r="T735" s="13"/>
      <c r="U735" s="13" t="s">
        <v>1096</v>
      </c>
      <c r="V735" s="13" t="s">
        <v>1096</v>
      </c>
      <c r="W735" s="59">
        <f>+J735/$W$2</f>
        <v>5.5997163488926891E-4</v>
      </c>
    </row>
    <row r="736" spans="1:23">
      <c r="A736" s="13" t="s">
        <v>285</v>
      </c>
      <c r="B736" s="13" t="s">
        <v>404</v>
      </c>
      <c r="C736" s="138">
        <v>46290</v>
      </c>
      <c r="D736" s="138" t="s">
        <v>424</v>
      </c>
      <c r="E736" s="28">
        <v>0.97758255999999999</v>
      </c>
      <c r="F736" s="13"/>
      <c r="G736" s="18">
        <v>5000000</v>
      </c>
      <c r="H736" s="18">
        <v>4887912.8099999996</v>
      </c>
      <c r="I736" s="18">
        <v>5000000</v>
      </c>
      <c r="J736" s="18">
        <v>4887912.8099999996</v>
      </c>
      <c r="K736" s="15">
        <v>67193057</v>
      </c>
      <c r="L736" s="13" t="s">
        <v>102</v>
      </c>
      <c r="M736" s="13" t="s">
        <v>103</v>
      </c>
      <c r="N736" s="138" t="s">
        <v>330</v>
      </c>
      <c r="O736" s="138" t="s">
        <v>330</v>
      </c>
      <c r="P736" s="28">
        <v>27</v>
      </c>
      <c r="Q736" s="13" t="s">
        <v>54</v>
      </c>
      <c r="R736" s="13" t="s">
        <v>28</v>
      </c>
      <c r="S736" s="13"/>
      <c r="T736" s="13"/>
      <c r="U736" s="13" t="s">
        <v>929</v>
      </c>
      <c r="V736" s="13" t="s">
        <v>929</v>
      </c>
      <c r="W736" s="59">
        <f>+J736/$W$2</f>
        <v>7.9995942463899832E-5</v>
      </c>
    </row>
    <row r="737" spans="1:29">
      <c r="A737" s="13" t="s">
        <v>285</v>
      </c>
      <c r="B737" s="13" t="s">
        <v>404</v>
      </c>
      <c r="C737" s="138">
        <v>46290</v>
      </c>
      <c r="D737" s="138" t="s">
        <v>424</v>
      </c>
      <c r="E737" s="28">
        <v>0.97677166999999998</v>
      </c>
      <c r="F737" s="13"/>
      <c r="G737" s="18">
        <v>9000000</v>
      </c>
      <c r="H737" s="18">
        <v>8790945.0099999998</v>
      </c>
      <c r="I737" s="18">
        <v>9000000</v>
      </c>
      <c r="J737" s="18">
        <v>8790945.0099999998</v>
      </c>
      <c r="K737" s="15">
        <v>68958366</v>
      </c>
      <c r="L737" s="13" t="s">
        <v>102</v>
      </c>
      <c r="M737" s="13" t="s">
        <v>103</v>
      </c>
      <c r="N737" s="138" t="s">
        <v>342</v>
      </c>
      <c r="O737" s="138" t="s">
        <v>342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2382</v>
      </c>
      <c r="V737" s="13" t="s">
        <v>2382</v>
      </c>
      <c r="W737" s="59">
        <f>+J737/$W$2</f>
        <v>1.4387325604182932E-4</v>
      </c>
    </row>
    <row r="738" spans="1:29">
      <c r="A738" s="13" t="s">
        <v>405</v>
      </c>
      <c r="B738" s="13" t="s">
        <v>404</v>
      </c>
      <c r="C738" s="138">
        <v>46290</v>
      </c>
      <c r="D738" s="138" t="s">
        <v>424</v>
      </c>
      <c r="E738" s="28">
        <v>0.97515366000000003</v>
      </c>
      <c r="F738" s="13"/>
      <c r="G738" s="18">
        <v>6500000</v>
      </c>
      <c r="H738" s="18">
        <v>6338498.79</v>
      </c>
      <c r="I738" s="18">
        <v>6500000</v>
      </c>
      <c r="J738" s="18">
        <v>6338498.79</v>
      </c>
      <c r="K738" s="15">
        <v>741</v>
      </c>
      <c r="L738" s="13" t="s">
        <v>102</v>
      </c>
      <c r="M738" s="13" t="s">
        <v>103</v>
      </c>
      <c r="N738" s="138" t="s">
        <v>425</v>
      </c>
      <c r="O738" s="138" t="s">
        <v>425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1318</v>
      </c>
      <c r="V738" s="13" t="s">
        <v>1318</v>
      </c>
      <c r="W738" s="59">
        <f>+J738/$W$2</f>
        <v>1.0373633986984697E-4</v>
      </c>
      <c r="AC738" s="56"/>
    </row>
    <row r="739" spans="1:29">
      <c r="A739" s="13" t="s">
        <v>405</v>
      </c>
      <c r="B739" s="13" t="s">
        <v>404</v>
      </c>
      <c r="C739" s="138">
        <v>46290</v>
      </c>
      <c r="D739" s="138" t="s">
        <v>424</v>
      </c>
      <c r="E739" s="28">
        <v>0.97515362000000005</v>
      </c>
      <c r="F739" s="13"/>
      <c r="G739" s="18">
        <v>5000000</v>
      </c>
      <c r="H739" s="18">
        <v>4875768.12</v>
      </c>
      <c r="I739" s="18">
        <v>5000000</v>
      </c>
      <c r="J739" s="18">
        <v>4875768.12</v>
      </c>
      <c r="K739" s="15">
        <v>783</v>
      </c>
      <c r="L739" s="13" t="s">
        <v>102</v>
      </c>
      <c r="M739" s="13" t="s">
        <v>103</v>
      </c>
      <c r="N739" s="138" t="s">
        <v>421</v>
      </c>
      <c r="O739" s="138" t="s">
        <v>421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1409</v>
      </c>
      <c r="V739" s="13" t="s">
        <v>1409</v>
      </c>
      <c r="W739" s="59">
        <f>+J739/$W$2</f>
        <v>7.9797181569373599E-5</v>
      </c>
      <c r="AC739" s="56"/>
    </row>
    <row r="740" spans="1:29">
      <c r="A740" s="13" t="s">
        <v>375</v>
      </c>
      <c r="B740" s="13" t="s">
        <v>404</v>
      </c>
      <c r="C740" s="138">
        <v>46290</v>
      </c>
      <c r="D740" s="138" t="s">
        <v>424</v>
      </c>
      <c r="E740" s="28">
        <v>0.96953286000000005</v>
      </c>
      <c r="F740" s="13"/>
      <c r="G740" s="18">
        <v>3076923.1</v>
      </c>
      <c r="H740" s="18">
        <v>2983178.04</v>
      </c>
      <c r="I740" s="18">
        <v>3076923.1</v>
      </c>
      <c r="J740" s="18">
        <v>2983178.04</v>
      </c>
      <c r="K740" s="15">
        <v>2782</v>
      </c>
      <c r="L740" s="13" t="s">
        <v>102</v>
      </c>
      <c r="M740" s="13" t="s">
        <v>103</v>
      </c>
      <c r="N740" s="138" t="s">
        <v>355</v>
      </c>
      <c r="O740" s="138" t="s">
        <v>355</v>
      </c>
      <c r="P740" s="28">
        <v>37</v>
      </c>
      <c r="Q740" s="13" t="s">
        <v>54</v>
      </c>
      <c r="R740" s="13" t="s">
        <v>28</v>
      </c>
      <c r="S740" s="13"/>
      <c r="T740" s="13"/>
      <c r="U740" s="13" t="s">
        <v>1192</v>
      </c>
      <c r="V740" s="13" t="s">
        <v>1192</v>
      </c>
      <c r="W740" s="59">
        <f>+J740/$W$2</f>
        <v>4.8822912380756952E-5</v>
      </c>
    </row>
    <row r="741" spans="1:29">
      <c r="A741" s="13" t="s">
        <v>405</v>
      </c>
      <c r="B741" s="13" t="s">
        <v>404</v>
      </c>
      <c r="C741" s="138">
        <v>46290</v>
      </c>
      <c r="D741" s="138" t="s">
        <v>424</v>
      </c>
      <c r="E741" s="28">
        <v>0.97515364000000004</v>
      </c>
      <c r="F741" s="13"/>
      <c r="G741" s="18">
        <v>10000000</v>
      </c>
      <c r="H741" s="18">
        <v>9751536.3699999992</v>
      </c>
      <c r="I741" s="18">
        <v>10000000</v>
      </c>
      <c r="J741" s="18">
        <v>9751536.3699999992</v>
      </c>
      <c r="K741" s="15">
        <v>570</v>
      </c>
      <c r="L741" s="13" t="s">
        <v>102</v>
      </c>
      <c r="M741" s="13" t="s">
        <v>103</v>
      </c>
      <c r="N741" s="138" t="s">
        <v>325</v>
      </c>
      <c r="O741" s="138" t="s">
        <v>325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845</v>
      </c>
      <c r="V741" s="13" t="s">
        <v>845</v>
      </c>
      <c r="W741" s="59">
        <f>+J741/$W$2</f>
        <v>1.5959436526633678E-4</v>
      </c>
    </row>
    <row r="742" spans="1:29">
      <c r="A742" s="13" t="s">
        <v>1417</v>
      </c>
      <c r="B742" s="13" t="s">
        <v>404</v>
      </c>
      <c r="C742" s="138">
        <v>46290</v>
      </c>
      <c r="D742" s="138" t="s">
        <v>424</v>
      </c>
      <c r="E742" s="28">
        <v>0.97354101999999998</v>
      </c>
      <c r="F742" s="13"/>
      <c r="G742" s="18">
        <v>475000000</v>
      </c>
      <c r="H742" s="18">
        <v>462431985.5</v>
      </c>
      <c r="I742" s="18">
        <v>475000000</v>
      </c>
      <c r="J742" s="18">
        <v>462431985.5</v>
      </c>
      <c r="K742" s="15">
        <v>929</v>
      </c>
      <c r="L742" s="13" t="s">
        <v>102</v>
      </c>
      <c r="M742" s="13" t="s">
        <v>103</v>
      </c>
      <c r="N742" s="138" t="s">
        <v>421</v>
      </c>
      <c r="O742" s="138" t="s">
        <v>421</v>
      </c>
      <c r="P742" s="28">
        <v>32</v>
      </c>
      <c r="Q742" s="13" t="s">
        <v>54</v>
      </c>
      <c r="R742" s="13" t="s">
        <v>28</v>
      </c>
      <c r="S742" s="13"/>
      <c r="T742" s="13"/>
      <c r="U742" s="13" t="s">
        <v>1394</v>
      </c>
      <c r="V742" s="13" t="s">
        <v>1394</v>
      </c>
      <c r="W742" s="59">
        <f>+J742/$W$2</f>
        <v>7.5681960672135977E-3</v>
      </c>
      <c r="AC742" s="56"/>
    </row>
    <row r="743" spans="1:29">
      <c r="A743" s="13" t="s">
        <v>229</v>
      </c>
      <c r="B743" s="13" t="s">
        <v>404</v>
      </c>
      <c r="C743" s="138">
        <v>46290</v>
      </c>
      <c r="D743" s="138" t="s">
        <v>424</v>
      </c>
      <c r="E743" s="28">
        <v>0.97354110000000005</v>
      </c>
      <c r="F743" s="13"/>
      <c r="G743" s="18">
        <v>50000000</v>
      </c>
      <c r="H743" s="18">
        <v>48677055.170000002</v>
      </c>
      <c r="I743" s="18">
        <v>50000000</v>
      </c>
      <c r="J743" s="18">
        <v>48677055.170000002</v>
      </c>
      <c r="K743" s="15">
        <v>4898</v>
      </c>
      <c r="L743" s="13" t="s">
        <v>102</v>
      </c>
      <c r="M743" s="13" t="s">
        <v>103</v>
      </c>
      <c r="N743" s="138" t="s">
        <v>390</v>
      </c>
      <c r="O743" s="138" t="s">
        <v>390</v>
      </c>
      <c r="P743" s="28">
        <v>32</v>
      </c>
      <c r="Q743" s="13" t="s">
        <v>54</v>
      </c>
      <c r="R743" s="13" t="s">
        <v>28</v>
      </c>
      <c r="S743" s="13"/>
      <c r="T743" s="13"/>
      <c r="U743" s="13" t="s">
        <v>1107</v>
      </c>
      <c r="V743" s="13" t="s">
        <v>1107</v>
      </c>
      <c r="W743" s="59">
        <f>+J743/$W$2</f>
        <v>7.9665228412521512E-4</v>
      </c>
      <c r="AC743" s="56"/>
    </row>
    <row r="744" spans="1:29">
      <c r="A744" s="13" t="s">
        <v>2215</v>
      </c>
      <c r="B744" s="13" t="s">
        <v>404</v>
      </c>
      <c r="C744" s="138">
        <v>46290</v>
      </c>
      <c r="D744" s="138" t="s">
        <v>424</v>
      </c>
      <c r="E744" s="28">
        <v>0.97677164000000005</v>
      </c>
      <c r="F744" s="13"/>
      <c r="G744" s="18">
        <v>12000000</v>
      </c>
      <c r="H744" s="18">
        <v>11721259.689999999</v>
      </c>
      <c r="I744" s="18">
        <v>12000000</v>
      </c>
      <c r="J744" s="18">
        <v>11721259.689999999</v>
      </c>
      <c r="K744" s="15">
        <v>29830734</v>
      </c>
      <c r="L744" s="13" t="s">
        <v>102</v>
      </c>
      <c r="M744" s="13" t="s">
        <v>103</v>
      </c>
      <c r="N744" s="138" t="s">
        <v>639</v>
      </c>
      <c r="O744" s="138" t="s">
        <v>639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2168</v>
      </c>
      <c r="V744" s="13" t="s">
        <v>2168</v>
      </c>
      <c r="W744" s="59">
        <f>+J744/$W$2</f>
        <v>1.9183100276407518E-4</v>
      </c>
    </row>
    <row r="745" spans="1:29">
      <c r="A745" s="13" t="s">
        <v>2221</v>
      </c>
      <c r="B745" s="13" t="s">
        <v>404</v>
      </c>
      <c r="C745" s="138">
        <v>46290</v>
      </c>
      <c r="D745" s="138" t="s">
        <v>424</v>
      </c>
      <c r="E745" s="28">
        <v>0.97677164000000005</v>
      </c>
      <c r="F745" s="13"/>
      <c r="G745" s="18">
        <v>10299910.310000001</v>
      </c>
      <c r="H745" s="18">
        <v>10060660.289999999</v>
      </c>
      <c r="I745" s="18">
        <v>10299910.310000001</v>
      </c>
      <c r="J745" s="18">
        <v>10060660.289999999</v>
      </c>
      <c r="K745" s="15">
        <v>944</v>
      </c>
      <c r="L745" s="13" t="s">
        <v>102</v>
      </c>
      <c r="M745" s="13" t="s">
        <v>103</v>
      </c>
      <c r="N745" s="138" t="s">
        <v>639</v>
      </c>
      <c r="O745" s="138" t="s">
        <v>639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2172</v>
      </c>
      <c r="V745" s="13" t="s">
        <v>2172</v>
      </c>
      <c r="W745" s="59">
        <f>+J745/$W$2</f>
        <v>1.646535101978797E-4</v>
      </c>
    </row>
    <row r="746" spans="1:29">
      <c r="A746" s="13" t="s">
        <v>756</v>
      </c>
      <c r="B746" s="13" t="s">
        <v>404</v>
      </c>
      <c r="C746" s="138">
        <v>46290</v>
      </c>
      <c r="D746" s="138" t="s">
        <v>424</v>
      </c>
      <c r="E746" s="28">
        <v>0.97434675999999998</v>
      </c>
      <c r="F746" s="13"/>
      <c r="G746" s="18">
        <v>70000000</v>
      </c>
      <c r="H746" s="18">
        <v>68204273.280000001</v>
      </c>
      <c r="I746" s="18">
        <v>70000000</v>
      </c>
      <c r="J746" s="18">
        <v>68204273.280000001</v>
      </c>
      <c r="K746" s="15">
        <v>9756468</v>
      </c>
      <c r="L746" s="13" t="s">
        <v>102</v>
      </c>
      <c r="M746" s="13" t="s">
        <v>103</v>
      </c>
      <c r="N746" s="138" t="s">
        <v>384</v>
      </c>
      <c r="O746" s="138" t="s">
        <v>384</v>
      </c>
      <c r="P746" s="28">
        <v>31</v>
      </c>
      <c r="Q746" s="13" t="s">
        <v>54</v>
      </c>
      <c r="R746" s="13" t="s">
        <v>28</v>
      </c>
      <c r="S746" s="13"/>
      <c r="T746" s="13"/>
      <c r="U746" s="13" t="s">
        <v>1782</v>
      </c>
      <c r="V746" s="13" t="s">
        <v>1782</v>
      </c>
      <c r="W746" s="59">
        <f>+J746/$W$2</f>
        <v>1.116236179568633E-3</v>
      </c>
    </row>
    <row r="747" spans="1:29">
      <c r="A747" s="13" t="s">
        <v>1752</v>
      </c>
      <c r="B747" s="13" t="s">
        <v>404</v>
      </c>
      <c r="C747" s="138">
        <v>46290</v>
      </c>
      <c r="D747" s="138" t="s">
        <v>424</v>
      </c>
      <c r="E747" s="28">
        <v>0.97354105000000002</v>
      </c>
      <c r="F747" s="13"/>
      <c r="G747" s="18">
        <v>1015583.27</v>
      </c>
      <c r="H747" s="18">
        <v>988712</v>
      </c>
      <c r="I747" s="18">
        <v>1015583.27</v>
      </c>
      <c r="J747" s="18">
        <v>988712</v>
      </c>
      <c r="K747" s="15">
        <v>9625573</v>
      </c>
      <c r="L747" s="13" t="s">
        <v>102</v>
      </c>
      <c r="M747" s="13" t="s">
        <v>103</v>
      </c>
      <c r="N747" s="138" t="s">
        <v>387</v>
      </c>
      <c r="O747" s="138" t="s">
        <v>387</v>
      </c>
      <c r="P747" s="28">
        <v>32</v>
      </c>
      <c r="Q747" s="13" t="s">
        <v>54</v>
      </c>
      <c r="R747" s="13" t="s">
        <v>28</v>
      </c>
      <c r="S747" s="13"/>
      <c r="T747" s="13"/>
      <c r="U747" s="13" t="s">
        <v>1721</v>
      </c>
      <c r="V747" s="13" t="s">
        <v>1721</v>
      </c>
      <c r="W747" s="59">
        <f>+J747/$W$2</f>
        <v>1.6181333698005826E-5</v>
      </c>
    </row>
    <row r="748" spans="1:29">
      <c r="A748" s="13" t="s">
        <v>1753</v>
      </c>
      <c r="B748" s="13" t="s">
        <v>404</v>
      </c>
      <c r="C748" s="138">
        <v>46290</v>
      </c>
      <c r="D748" s="138" t="s">
        <v>424</v>
      </c>
      <c r="E748" s="28">
        <v>0.97354105000000002</v>
      </c>
      <c r="F748" s="13"/>
      <c r="G748" s="18">
        <v>5880854</v>
      </c>
      <c r="H748" s="18">
        <v>5725252.7599999998</v>
      </c>
      <c r="I748" s="18">
        <v>5880854</v>
      </c>
      <c r="J748" s="18">
        <v>5725252.7599999998</v>
      </c>
      <c r="K748" s="15">
        <v>10412873</v>
      </c>
      <c r="L748" s="13" t="s">
        <v>102</v>
      </c>
      <c r="M748" s="13" t="s">
        <v>103</v>
      </c>
      <c r="N748" s="138" t="s">
        <v>387</v>
      </c>
      <c r="O748" s="138" t="s">
        <v>387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1722</v>
      </c>
      <c r="V748" s="13" t="s">
        <v>1722</v>
      </c>
      <c r="W748" s="59">
        <f>+J748/$W$2</f>
        <v>9.3699909999058216E-5</v>
      </c>
    </row>
    <row r="749" spans="1:29">
      <c r="A749" s="13" t="s">
        <v>1805</v>
      </c>
      <c r="B749" s="13" t="s">
        <v>404</v>
      </c>
      <c r="C749" s="138">
        <v>46290</v>
      </c>
      <c r="D749" s="138" t="s">
        <v>424</v>
      </c>
      <c r="E749" s="28">
        <v>0.97515373000000005</v>
      </c>
      <c r="F749" s="13"/>
      <c r="G749" s="18">
        <v>1500000</v>
      </c>
      <c r="H749" s="18">
        <v>1462730.59</v>
      </c>
      <c r="I749" s="18">
        <v>1500000</v>
      </c>
      <c r="J749" s="18">
        <v>1462730.59</v>
      </c>
      <c r="K749" s="15">
        <v>1970</v>
      </c>
      <c r="L749" s="13" t="s">
        <v>102</v>
      </c>
      <c r="M749" s="13" t="s">
        <v>103</v>
      </c>
      <c r="N749" s="138" t="s">
        <v>384</v>
      </c>
      <c r="O749" s="138" t="s">
        <v>384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1791</v>
      </c>
      <c r="V749" s="13" t="s">
        <v>1791</v>
      </c>
      <c r="W749" s="59">
        <f>+J749/$W$2</f>
        <v>2.3939156991187468E-5</v>
      </c>
    </row>
    <row r="750" spans="1:29">
      <c r="A750" s="13" t="s">
        <v>135</v>
      </c>
      <c r="B750" s="13" t="s">
        <v>404</v>
      </c>
      <c r="C750" s="138">
        <v>46293</v>
      </c>
      <c r="D750" s="138" t="s">
        <v>424</v>
      </c>
      <c r="E750" s="28">
        <v>0.96930126000000005</v>
      </c>
      <c r="F750" s="13"/>
      <c r="G750" s="18">
        <v>100000000</v>
      </c>
      <c r="H750" s="18">
        <v>96930125.980000004</v>
      </c>
      <c r="I750" s="18">
        <v>100000000</v>
      </c>
      <c r="J750" s="18">
        <v>96930125.980000004</v>
      </c>
      <c r="K750" s="15">
        <v>852</v>
      </c>
      <c r="L750" s="13" t="s">
        <v>102</v>
      </c>
      <c r="M750" s="13" t="s">
        <v>103</v>
      </c>
      <c r="N750" s="138" t="s">
        <v>424</v>
      </c>
      <c r="O750" s="138" t="s">
        <v>424</v>
      </c>
      <c r="P750" s="28">
        <v>34</v>
      </c>
      <c r="Q750" s="13" t="s">
        <v>54</v>
      </c>
      <c r="R750" s="13" t="s">
        <v>28</v>
      </c>
      <c r="S750" s="13"/>
      <c r="T750" s="13"/>
      <c r="U750" s="13" t="s">
        <v>2589</v>
      </c>
      <c r="V750" s="13" t="s">
        <v>2589</v>
      </c>
      <c r="W750" s="59">
        <f>+J750/$W$2</f>
        <v>1.586365608864992E-3</v>
      </c>
    </row>
    <row r="751" spans="1:29">
      <c r="A751" s="13" t="s">
        <v>1032</v>
      </c>
      <c r="B751" s="13" t="s">
        <v>404</v>
      </c>
      <c r="C751" s="138">
        <v>46293</v>
      </c>
      <c r="D751" s="138" t="s">
        <v>424</v>
      </c>
      <c r="E751" s="28">
        <v>0.97017708000000002</v>
      </c>
      <c r="F751" s="13"/>
      <c r="G751" s="18">
        <v>19470986.34</v>
      </c>
      <c r="H751" s="18">
        <v>18890304.59</v>
      </c>
      <c r="I751" s="18">
        <v>19470986.34</v>
      </c>
      <c r="J751" s="18">
        <v>18890304.59</v>
      </c>
      <c r="K751" s="15">
        <v>1067</v>
      </c>
      <c r="L751" s="13" t="s">
        <v>102</v>
      </c>
      <c r="M751" s="13" t="s">
        <v>103</v>
      </c>
      <c r="N751" s="138" t="s">
        <v>344</v>
      </c>
      <c r="O751" s="138" t="s">
        <v>344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1035</v>
      </c>
      <c r="V751" s="13" t="s">
        <v>1035</v>
      </c>
      <c r="W751" s="59">
        <f>+J751/$W$2</f>
        <v>3.0916012168129959E-4</v>
      </c>
    </row>
    <row r="752" spans="1:29">
      <c r="A752" s="13" t="s">
        <v>763</v>
      </c>
      <c r="B752" s="13" t="s">
        <v>404</v>
      </c>
      <c r="C752" s="138">
        <v>46293</v>
      </c>
      <c r="D752" s="138" t="s">
        <v>424</v>
      </c>
      <c r="E752" s="28">
        <v>0.96668268000000002</v>
      </c>
      <c r="F752" s="13"/>
      <c r="G752" s="18">
        <v>3345657.98</v>
      </c>
      <c r="H752" s="18">
        <v>3234189.62</v>
      </c>
      <c r="I752" s="18">
        <v>3345657.98</v>
      </c>
      <c r="J752" s="18">
        <v>3234189.62</v>
      </c>
      <c r="K752" s="15">
        <v>258</v>
      </c>
      <c r="L752" s="13" t="s">
        <v>102</v>
      </c>
      <c r="M752" s="13" t="s">
        <v>103</v>
      </c>
      <c r="N752" s="138" t="s">
        <v>355</v>
      </c>
      <c r="O752" s="138" t="s">
        <v>355</v>
      </c>
      <c r="P752" s="28">
        <v>37</v>
      </c>
      <c r="Q752" s="13" t="s">
        <v>54</v>
      </c>
      <c r="R752" s="13" t="s">
        <v>28</v>
      </c>
      <c r="S752" s="13"/>
      <c r="T752" s="13"/>
      <c r="U752" s="13" t="s">
        <v>1199</v>
      </c>
      <c r="V752" s="13" t="s">
        <v>1199</v>
      </c>
      <c r="W752" s="59">
        <f>+J752/$W$2</f>
        <v>5.2930986458995797E-5</v>
      </c>
      <c r="AC752" s="56"/>
    </row>
    <row r="753" spans="1:29">
      <c r="A753" s="13" t="s">
        <v>517</v>
      </c>
      <c r="B753" s="13" t="s">
        <v>404</v>
      </c>
      <c r="C753" s="138">
        <v>46293</v>
      </c>
      <c r="D753" s="138" t="s">
        <v>424</v>
      </c>
      <c r="E753" s="28">
        <v>0.97193388999999997</v>
      </c>
      <c r="F753" s="13"/>
      <c r="G753" s="18">
        <v>10000000</v>
      </c>
      <c r="H753" s="18">
        <v>9719338.9000000004</v>
      </c>
      <c r="I753" s="18">
        <v>10000000</v>
      </c>
      <c r="J753" s="18">
        <v>9719338.9000000004</v>
      </c>
      <c r="K753" s="15">
        <v>14004255</v>
      </c>
      <c r="L753" s="13" t="s">
        <v>102</v>
      </c>
      <c r="M753" s="13" t="s">
        <v>103</v>
      </c>
      <c r="N753" s="138" t="s">
        <v>341</v>
      </c>
      <c r="O753" s="138" t="s">
        <v>341</v>
      </c>
      <c r="P753" s="28">
        <v>31</v>
      </c>
      <c r="Q753" s="13" t="s">
        <v>54</v>
      </c>
      <c r="R753" s="13" t="s">
        <v>28</v>
      </c>
      <c r="S753" s="13"/>
      <c r="T753" s="13"/>
      <c r="U753" s="13" t="s">
        <v>1960</v>
      </c>
      <c r="V753" s="13" t="s">
        <v>1960</v>
      </c>
      <c r="W753" s="59">
        <f>+J753/$W$2</f>
        <v>1.5906741909161502E-4</v>
      </c>
    </row>
    <row r="754" spans="1:29">
      <c r="A754" s="13" t="s">
        <v>565</v>
      </c>
      <c r="B754" s="13" t="s">
        <v>404</v>
      </c>
      <c r="C754" s="138">
        <v>46293</v>
      </c>
      <c r="D754" s="138" t="s">
        <v>424</v>
      </c>
      <c r="E754" s="28">
        <v>0.97546641000000001</v>
      </c>
      <c r="F754" s="13"/>
      <c r="G754" s="18">
        <v>100000000</v>
      </c>
      <c r="H754" s="18">
        <v>97546641.340000004</v>
      </c>
      <c r="I754" s="18">
        <v>100000000</v>
      </c>
      <c r="J754" s="18">
        <v>97546641.340000004</v>
      </c>
      <c r="K754" s="15">
        <v>14032579</v>
      </c>
      <c r="L754" s="13" t="s">
        <v>102</v>
      </c>
      <c r="M754" s="13" t="s">
        <v>103</v>
      </c>
      <c r="N754" s="138" t="s">
        <v>324</v>
      </c>
      <c r="O754" s="138" t="s">
        <v>324</v>
      </c>
      <c r="P754" s="28">
        <v>27</v>
      </c>
      <c r="Q754" s="13" t="s">
        <v>54</v>
      </c>
      <c r="R754" s="13" t="s">
        <v>28</v>
      </c>
      <c r="S754" s="13"/>
      <c r="T754" s="13"/>
      <c r="U754" s="13" t="s">
        <v>1156</v>
      </c>
      <c r="V754" s="13" t="s">
        <v>1156</v>
      </c>
      <c r="W754" s="59">
        <f>+J754/$W$2</f>
        <v>1.596455544832297E-3</v>
      </c>
    </row>
    <row r="755" spans="1:29">
      <c r="A755" s="13" t="s">
        <v>565</v>
      </c>
      <c r="B755" s="13" t="s">
        <v>404</v>
      </c>
      <c r="C755" s="138">
        <v>46293</v>
      </c>
      <c r="D755" s="138" t="s">
        <v>424</v>
      </c>
      <c r="E755" s="28">
        <v>0.97724237999999997</v>
      </c>
      <c r="F755" s="13"/>
      <c r="G755" s="18">
        <v>25000000</v>
      </c>
      <c r="H755" s="18">
        <v>24431059.609999999</v>
      </c>
      <c r="I755" s="18">
        <v>25000000</v>
      </c>
      <c r="J755" s="18">
        <v>24431059.609999999</v>
      </c>
      <c r="K755" s="15">
        <v>928</v>
      </c>
      <c r="L755" s="13" t="s">
        <v>102</v>
      </c>
      <c r="M755" s="13" t="s">
        <v>103</v>
      </c>
      <c r="N755" s="138" t="s">
        <v>355</v>
      </c>
      <c r="O755" s="138" t="s">
        <v>355</v>
      </c>
      <c r="P755" s="28">
        <v>25</v>
      </c>
      <c r="Q755" s="13" t="s">
        <v>54</v>
      </c>
      <c r="R755" s="13" t="s">
        <v>28</v>
      </c>
      <c r="S755" s="13"/>
      <c r="T755" s="13"/>
      <c r="U755" s="13" t="s">
        <v>1172</v>
      </c>
      <c r="V755" s="13" t="s">
        <v>1172</v>
      </c>
      <c r="W755" s="59">
        <f>+J755/$W$2</f>
        <v>3.9984052802563542E-4</v>
      </c>
    </row>
    <row r="756" spans="1:29">
      <c r="A756" s="13" t="s">
        <v>285</v>
      </c>
      <c r="B756" s="13" t="s">
        <v>404</v>
      </c>
      <c r="C756" s="138">
        <v>46293</v>
      </c>
      <c r="D756" s="138" t="s">
        <v>424</v>
      </c>
      <c r="E756" s="28">
        <v>0.97546637000000003</v>
      </c>
      <c r="F756" s="13"/>
      <c r="G756" s="18">
        <v>5000000</v>
      </c>
      <c r="H756" s="18">
        <v>4877331.87</v>
      </c>
      <c r="I756" s="18">
        <v>5000000</v>
      </c>
      <c r="J756" s="18">
        <v>4877331.87</v>
      </c>
      <c r="K756" s="15">
        <v>67193059</v>
      </c>
      <c r="L756" s="13" t="s">
        <v>102</v>
      </c>
      <c r="M756" s="13" t="s">
        <v>103</v>
      </c>
      <c r="N756" s="138" t="s">
        <v>330</v>
      </c>
      <c r="O756" s="138" t="s">
        <v>330</v>
      </c>
      <c r="P756" s="28">
        <v>27</v>
      </c>
      <c r="Q756" s="13" t="s">
        <v>54</v>
      </c>
      <c r="R756" s="13" t="s">
        <v>28</v>
      </c>
      <c r="S756" s="13"/>
      <c r="T756" s="13"/>
      <c r="U756" s="13" t="s">
        <v>931</v>
      </c>
      <c r="V756" s="13" t="s">
        <v>931</v>
      </c>
      <c r="W756" s="59">
        <f>+J756/$W$2</f>
        <v>7.9822774017498284E-5</v>
      </c>
    </row>
    <row r="757" spans="1:29">
      <c r="A757" s="13" t="s">
        <v>375</v>
      </c>
      <c r="B757" s="13" t="s">
        <v>404</v>
      </c>
      <c r="C757" s="138">
        <v>46293</v>
      </c>
      <c r="D757" s="138" t="s">
        <v>424</v>
      </c>
      <c r="E757" s="28">
        <v>0.97017704000000005</v>
      </c>
      <c r="F757" s="13"/>
      <c r="G757" s="18">
        <v>5000000</v>
      </c>
      <c r="H757" s="18">
        <v>4850885.21</v>
      </c>
      <c r="I757" s="18">
        <v>5000000</v>
      </c>
      <c r="J757" s="18">
        <v>4850885.21</v>
      </c>
      <c r="K757" s="15">
        <v>3043</v>
      </c>
      <c r="L757" s="13" t="s">
        <v>102</v>
      </c>
      <c r="M757" s="13" t="s">
        <v>103</v>
      </c>
      <c r="N757" s="138" t="s">
        <v>161</v>
      </c>
      <c r="O757" s="138" t="s">
        <v>161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1696</v>
      </c>
      <c r="V757" s="13" t="s">
        <v>1696</v>
      </c>
      <c r="W757" s="59">
        <f>+J757/$W$2</f>
        <v>7.9389946024455111E-5</v>
      </c>
    </row>
    <row r="758" spans="1:29">
      <c r="A758" s="13" t="s">
        <v>285</v>
      </c>
      <c r="B758" s="13" t="s">
        <v>404</v>
      </c>
      <c r="C758" s="138">
        <v>46293</v>
      </c>
      <c r="D758" s="138" t="s">
        <v>424</v>
      </c>
      <c r="E758" s="28">
        <v>0.97458093000000001</v>
      </c>
      <c r="F758" s="13"/>
      <c r="G758" s="18">
        <v>9000000</v>
      </c>
      <c r="H758" s="18">
        <v>8771228.3800000008</v>
      </c>
      <c r="I758" s="18">
        <v>9000000</v>
      </c>
      <c r="J758" s="18">
        <v>8771228.3800000008</v>
      </c>
      <c r="K758" s="15">
        <v>68958369</v>
      </c>
      <c r="L758" s="13" t="s">
        <v>102</v>
      </c>
      <c r="M758" s="13" t="s">
        <v>103</v>
      </c>
      <c r="N758" s="138" t="s">
        <v>342</v>
      </c>
      <c r="O758" s="138" t="s">
        <v>342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2412</v>
      </c>
      <c r="V758" s="13" t="s">
        <v>2412</v>
      </c>
      <c r="W758" s="59">
        <f>+J758/$W$2</f>
        <v>1.4355057221738894E-4</v>
      </c>
    </row>
    <row r="759" spans="1:29">
      <c r="A759" s="13" t="s">
        <v>405</v>
      </c>
      <c r="B759" s="13" t="s">
        <v>404</v>
      </c>
      <c r="C759" s="138">
        <v>46293</v>
      </c>
      <c r="D759" s="138" t="s">
        <v>424</v>
      </c>
      <c r="E759" s="28">
        <v>0.97281454000000001</v>
      </c>
      <c r="F759" s="13"/>
      <c r="G759" s="18">
        <v>10000000</v>
      </c>
      <c r="H759" s="18">
        <v>9728145.4199999999</v>
      </c>
      <c r="I759" s="18">
        <v>10000000</v>
      </c>
      <c r="J759" s="18">
        <v>9728145.4199999999</v>
      </c>
      <c r="K759" s="15">
        <v>674</v>
      </c>
      <c r="L759" s="13" t="s">
        <v>102</v>
      </c>
      <c r="M759" s="13" t="s">
        <v>103</v>
      </c>
      <c r="N759" s="138" t="s">
        <v>312</v>
      </c>
      <c r="O759" s="138" t="s">
        <v>312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1079</v>
      </c>
      <c r="V759" s="13" t="s">
        <v>1079</v>
      </c>
      <c r="W759" s="59">
        <f>+J759/$W$2</f>
        <v>1.5921154724909481E-4</v>
      </c>
      <c r="AC759" s="56"/>
    </row>
    <row r="760" spans="1:29">
      <c r="A760" s="13" t="s">
        <v>375</v>
      </c>
      <c r="B760" s="13" t="s">
        <v>404</v>
      </c>
      <c r="C760" s="138">
        <v>46293</v>
      </c>
      <c r="D760" s="138" t="s">
        <v>424</v>
      </c>
      <c r="E760" s="28">
        <v>0.96668266999999997</v>
      </c>
      <c r="F760" s="13"/>
      <c r="G760" s="18">
        <v>3076923.1</v>
      </c>
      <c r="H760" s="18">
        <v>2974408.24</v>
      </c>
      <c r="I760" s="18">
        <v>3076923.1</v>
      </c>
      <c r="J760" s="18">
        <v>2974408.24</v>
      </c>
      <c r="K760" s="15">
        <v>2783</v>
      </c>
      <c r="L760" s="13" t="s">
        <v>102</v>
      </c>
      <c r="M760" s="13" t="s">
        <v>103</v>
      </c>
      <c r="N760" s="138" t="s">
        <v>355</v>
      </c>
      <c r="O760" s="138" t="s">
        <v>355</v>
      </c>
      <c r="P760" s="28">
        <v>37</v>
      </c>
      <c r="Q760" s="13" t="s">
        <v>54</v>
      </c>
      <c r="R760" s="13" t="s">
        <v>28</v>
      </c>
      <c r="S760" s="13"/>
      <c r="T760" s="13"/>
      <c r="U760" s="13" t="s">
        <v>1195</v>
      </c>
      <c r="V760" s="13" t="s">
        <v>1195</v>
      </c>
      <c r="W760" s="59">
        <f>+J760/$W$2</f>
        <v>4.8679385185512263E-5</v>
      </c>
      <c r="AC760" s="56"/>
    </row>
    <row r="761" spans="1:29">
      <c r="A761" s="13" t="s">
        <v>405</v>
      </c>
      <c r="B761" s="13" t="s">
        <v>404</v>
      </c>
      <c r="C761" s="138">
        <v>46293</v>
      </c>
      <c r="D761" s="138" t="s">
        <v>424</v>
      </c>
      <c r="E761" s="28">
        <v>0.97281457000000005</v>
      </c>
      <c r="F761" s="13"/>
      <c r="G761" s="18">
        <v>10000000</v>
      </c>
      <c r="H761" s="18">
        <v>9728145.6699999999</v>
      </c>
      <c r="I761" s="18">
        <v>10000000</v>
      </c>
      <c r="J761" s="18">
        <v>9728145.6699999999</v>
      </c>
      <c r="K761" s="15">
        <v>732</v>
      </c>
      <c r="L761" s="13" t="s">
        <v>102</v>
      </c>
      <c r="M761" s="13" t="s">
        <v>103</v>
      </c>
      <c r="N761" s="138" t="s">
        <v>324</v>
      </c>
      <c r="O761" s="138" t="s">
        <v>324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1159</v>
      </c>
      <c r="V761" s="13" t="s">
        <v>1159</v>
      </c>
      <c r="W761" s="59">
        <f>+J761/$W$2</f>
        <v>1.5921155134061328E-4</v>
      </c>
      <c r="AC761" s="56"/>
    </row>
    <row r="762" spans="1:29">
      <c r="A762" s="13" t="s">
        <v>2212</v>
      </c>
      <c r="B762" s="13" t="s">
        <v>404</v>
      </c>
      <c r="C762" s="138">
        <v>46293</v>
      </c>
      <c r="D762" s="138" t="s">
        <v>424</v>
      </c>
      <c r="E762" s="28">
        <v>0.97458089999999997</v>
      </c>
      <c r="F762" s="13"/>
      <c r="G762" s="18">
        <v>7553027.6100000003</v>
      </c>
      <c r="H762" s="18">
        <v>7361036.46</v>
      </c>
      <c r="I762" s="18">
        <v>7553027.6100000003</v>
      </c>
      <c r="J762" s="18">
        <v>7361036.46</v>
      </c>
      <c r="K762" s="15">
        <v>10537649</v>
      </c>
      <c r="L762" s="13" t="s">
        <v>102</v>
      </c>
      <c r="M762" s="13" t="s">
        <v>103</v>
      </c>
      <c r="N762" s="138" t="s">
        <v>639</v>
      </c>
      <c r="O762" s="138" t="s">
        <v>639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2186</v>
      </c>
      <c r="V762" s="13" t="s">
        <v>2186</v>
      </c>
      <c r="W762" s="59">
        <f>+J762/$W$2</f>
        <v>1.2047126698416475E-4</v>
      </c>
    </row>
    <row r="763" spans="1:29">
      <c r="A763" s="13" t="s">
        <v>356</v>
      </c>
      <c r="B763" s="13" t="s">
        <v>404</v>
      </c>
      <c r="C763" s="138">
        <v>46293</v>
      </c>
      <c r="D763" s="138" t="s">
        <v>424</v>
      </c>
      <c r="E763" s="28">
        <v>0.97105463000000003</v>
      </c>
      <c r="F763" s="13"/>
      <c r="G763" s="18">
        <v>40000000</v>
      </c>
      <c r="H763" s="18">
        <v>38842185.219999999</v>
      </c>
      <c r="I763" s="18">
        <v>40000000</v>
      </c>
      <c r="J763" s="18">
        <v>38842185.219999999</v>
      </c>
      <c r="K763" s="15">
        <v>13662790</v>
      </c>
      <c r="L763" s="13" t="s">
        <v>102</v>
      </c>
      <c r="M763" s="13" t="s">
        <v>103</v>
      </c>
      <c r="N763" s="138" t="s">
        <v>338</v>
      </c>
      <c r="O763" s="138" t="s">
        <v>338</v>
      </c>
      <c r="P763" s="28">
        <v>32</v>
      </c>
      <c r="Q763" s="13" t="s">
        <v>54</v>
      </c>
      <c r="R763" s="13" t="s">
        <v>28</v>
      </c>
      <c r="S763" s="13"/>
      <c r="T763" s="13"/>
      <c r="U763" s="13" t="s">
        <v>1003</v>
      </c>
      <c r="V763" s="13" t="s">
        <v>1003</v>
      </c>
      <c r="W763" s="59">
        <f>+J763/$W$2</f>
        <v>6.3569407532685935E-4</v>
      </c>
      <c r="AC763" s="56"/>
    </row>
    <row r="764" spans="1:29">
      <c r="A764" s="13" t="s">
        <v>2223</v>
      </c>
      <c r="B764" s="13" t="s">
        <v>404</v>
      </c>
      <c r="C764" s="138">
        <v>46293</v>
      </c>
      <c r="D764" s="138" t="s">
        <v>424</v>
      </c>
      <c r="E764" s="28">
        <v>0.97458089999999997</v>
      </c>
      <c r="F764" s="13"/>
      <c r="G764" s="18">
        <v>7940103.1200000001</v>
      </c>
      <c r="H764" s="18">
        <v>7738272.8700000001</v>
      </c>
      <c r="I764" s="18">
        <v>7940103.1200000001</v>
      </c>
      <c r="J764" s="18">
        <v>7738272.8700000001</v>
      </c>
      <c r="K764" s="15">
        <v>13786546</v>
      </c>
      <c r="L764" s="13" t="s">
        <v>102</v>
      </c>
      <c r="M764" s="13" t="s">
        <v>103</v>
      </c>
      <c r="N764" s="138" t="s">
        <v>639</v>
      </c>
      <c r="O764" s="138" t="s">
        <v>639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2189</v>
      </c>
      <c r="V764" s="13" t="s">
        <v>2189</v>
      </c>
      <c r="W764" s="59">
        <f>+J764/$W$2</f>
        <v>1.266451459633293E-4</v>
      </c>
    </row>
    <row r="765" spans="1:29">
      <c r="A765" s="13" t="s">
        <v>2512</v>
      </c>
      <c r="B765" s="13" t="s">
        <v>404</v>
      </c>
      <c r="C765" s="138">
        <v>46293</v>
      </c>
      <c r="D765" s="138" t="s">
        <v>424</v>
      </c>
      <c r="E765" s="28">
        <v>0.96930105</v>
      </c>
      <c r="F765" s="13"/>
      <c r="G765" s="18">
        <v>6110495.9400000004</v>
      </c>
      <c r="H765" s="18">
        <v>5922910.1399999997</v>
      </c>
      <c r="I765" s="18">
        <v>6110495.9400000004</v>
      </c>
      <c r="J765" s="18">
        <v>5922910.1399999997</v>
      </c>
      <c r="K765" s="15">
        <v>2581</v>
      </c>
      <c r="L765" s="13" t="s">
        <v>102</v>
      </c>
      <c r="M765" s="13" t="s">
        <v>103</v>
      </c>
      <c r="N765" s="138" t="s">
        <v>170</v>
      </c>
      <c r="O765" s="138" t="s">
        <v>170</v>
      </c>
      <c r="P765" s="28">
        <v>34</v>
      </c>
      <c r="Q765" s="13" t="s">
        <v>54</v>
      </c>
      <c r="R765" s="13" t="s">
        <v>28</v>
      </c>
      <c r="S765" s="13"/>
      <c r="T765" s="13"/>
      <c r="U765" s="13" t="s">
        <v>2453</v>
      </c>
      <c r="V765" s="13" t="s">
        <v>2453</v>
      </c>
      <c r="W765" s="59">
        <f>+J765/$W$2</f>
        <v>9.6934785295052948E-5</v>
      </c>
    </row>
    <row r="766" spans="1:29">
      <c r="A766" s="13" t="s">
        <v>2043</v>
      </c>
      <c r="B766" s="13" t="s">
        <v>404</v>
      </c>
      <c r="C766" s="138">
        <v>46293</v>
      </c>
      <c r="D766" s="138" t="s">
        <v>424</v>
      </c>
      <c r="E766" s="28">
        <v>0.97458096000000005</v>
      </c>
      <c r="F766" s="13"/>
      <c r="G766" s="18">
        <v>63439463.229999997</v>
      </c>
      <c r="H766" s="18">
        <v>61826892.780000001</v>
      </c>
      <c r="I766" s="18">
        <v>63439463.229999997</v>
      </c>
      <c r="J766" s="18">
        <v>61826892.780000001</v>
      </c>
      <c r="K766" s="15">
        <v>40291968</v>
      </c>
      <c r="L766" s="13" t="s">
        <v>102</v>
      </c>
      <c r="M766" s="13" t="s">
        <v>103</v>
      </c>
      <c r="N766" s="138" t="s">
        <v>422</v>
      </c>
      <c r="O766" s="138" t="s">
        <v>422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2260</v>
      </c>
      <c r="V766" s="13" t="s">
        <v>2260</v>
      </c>
      <c r="W766" s="59">
        <f>+J766/$W$2</f>
        <v>1.0118634987579872E-3</v>
      </c>
    </row>
    <row r="767" spans="1:29">
      <c r="A767" s="13" t="s">
        <v>1668</v>
      </c>
      <c r="B767" s="13" t="s">
        <v>404</v>
      </c>
      <c r="C767" s="138">
        <v>46293</v>
      </c>
      <c r="D767" s="138" t="s">
        <v>424</v>
      </c>
      <c r="E767" s="28">
        <v>0.97281461000000002</v>
      </c>
      <c r="F767" s="13"/>
      <c r="G767" s="18">
        <v>2870567.11</v>
      </c>
      <c r="H767" s="18">
        <v>2792529.63</v>
      </c>
      <c r="I767" s="18">
        <v>2870567.11</v>
      </c>
      <c r="J767" s="18">
        <v>2792529.63</v>
      </c>
      <c r="K767" s="15">
        <v>106</v>
      </c>
      <c r="L767" s="13" t="s">
        <v>102</v>
      </c>
      <c r="M767" s="13" t="s">
        <v>103</v>
      </c>
      <c r="N767" s="138" t="s">
        <v>383</v>
      </c>
      <c r="O767" s="138" t="s">
        <v>383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1650</v>
      </c>
      <c r="V767" s="13" t="s">
        <v>1650</v>
      </c>
      <c r="W767" s="59">
        <f>+J767/$W$2</f>
        <v>4.5702746406029998E-5</v>
      </c>
    </row>
    <row r="768" spans="1:29">
      <c r="A768" s="13" t="s">
        <v>1758</v>
      </c>
      <c r="B768" s="13" t="s">
        <v>404</v>
      </c>
      <c r="C768" s="138">
        <v>46294</v>
      </c>
      <c r="D768" s="138" t="s">
        <v>424</v>
      </c>
      <c r="E768" s="28">
        <v>0.97022861000000005</v>
      </c>
      <c r="F768" s="13"/>
      <c r="G768" s="18">
        <v>4615815.71</v>
      </c>
      <c r="H768" s="18">
        <v>4478396.4800000004</v>
      </c>
      <c r="I768" s="18">
        <v>4615815.71</v>
      </c>
      <c r="J768" s="18">
        <v>4478396.4800000004</v>
      </c>
      <c r="K768" s="15">
        <v>10038099</v>
      </c>
      <c r="L768" s="13" t="s">
        <v>102</v>
      </c>
      <c r="M768" s="13" t="s">
        <v>103</v>
      </c>
      <c r="N768" s="138" t="s">
        <v>387</v>
      </c>
      <c r="O768" s="138" t="s">
        <v>387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1715</v>
      </c>
      <c r="V768" s="13" t="s">
        <v>1715</v>
      </c>
      <c r="W768" s="59">
        <f>+J768/$W$2</f>
        <v>7.32937679272171E-5</v>
      </c>
    </row>
    <row r="769" spans="1:29">
      <c r="A769" s="13" t="s">
        <v>2230</v>
      </c>
      <c r="B769" s="13" t="s">
        <v>404</v>
      </c>
      <c r="C769" s="138">
        <v>46294</v>
      </c>
      <c r="D769" s="138" t="s">
        <v>424</v>
      </c>
      <c r="E769" s="28">
        <v>0.97385277999999997</v>
      </c>
      <c r="F769" s="13"/>
      <c r="G769" s="18">
        <v>12995000</v>
      </c>
      <c r="H769" s="18">
        <v>12655216.84</v>
      </c>
      <c r="I769" s="18">
        <v>12995000</v>
      </c>
      <c r="J769" s="18">
        <v>12655216.84</v>
      </c>
      <c r="K769" s="15">
        <v>7563</v>
      </c>
      <c r="L769" s="13" t="s">
        <v>102</v>
      </c>
      <c r="M769" s="13" t="s">
        <v>103</v>
      </c>
      <c r="N769" s="138" t="s">
        <v>639</v>
      </c>
      <c r="O769" s="138" t="s">
        <v>639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2199</v>
      </c>
      <c r="V769" s="13" t="s">
        <v>2199</v>
      </c>
      <c r="W769" s="59">
        <f>+J769/$W$2</f>
        <v>2.0711621453837193E-4</v>
      </c>
    </row>
    <row r="770" spans="1:29">
      <c r="A770" s="13" t="s">
        <v>521</v>
      </c>
      <c r="B770" s="13" t="s">
        <v>404</v>
      </c>
      <c r="C770" s="138">
        <v>46294</v>
      </c>
      <c r="D770" s="138" t="s">
        <v>424</v>
      </c>
      <c r="E770" s="28">
        <v>0.96484272999999998</v>
      </c>
      <c r="F770" s="13"/>
      <c r="G770" s="18">
        <v>6899161.7699999996</v>
      </c>
      <c r="H770" s="18">
        <v>6656606.0599999996</v>
      </c>
      <c r="I770" s="18">
        <v>6899161.7699999996</v>
      </c>
      <c r="J770" s="18">
        <v>6656606.0599999996</v>
      </c>
      <c r="K770" s="15">
        <v>65964605</v>
      </c>
      <c r="L770" s="13" t="s">
        <v>102</v>
      </c>
      <c r="M770" s="13" t="s">
        <v>103</v>
      </c>
      <c r="N770" s="138" t="s">
        <v>289</v>
      </c>
      <c r="O770" s="138" t="s">
        <v>289</v>
      </c>
      <c r="P770" s="28">
        <v>38</v>
      </c>
      <c r="Q770" s="13" t="s">
        <v>54</v>
      </c>
      <c r="R770" s="13" t="s">
        <v>28</v>
      </c>
      <c r="S770" s="13"/>
      <c r="T770" s="13"/>
      <c r="U770" s="13" t="s">
        <v>620</v>
      </c>
      <c r="V770" s="13" t="s">
        <v>620</v>
      </c>
      <c r="W770" s="59">
        <f>+J770/$W$2</f>
        <v>1.089425069717246E-4</v>
      </c>
    </row>
    <row r="771" spans="1:29">
      <c r="A771" s="13" t="s">
        <v>465</v>
      </c>
      <c r="B771" s="13" t="s">
        <v>404</v>
      </c>
      <c r="C771" s="138">
        <v>46294</v>
      </c>
      <c r="D771" s="138" t="s">
        <v>424</v>
      </c>
      <c r="E771" s="28">
        <v>0.97385281999999995</v>
      </c>
      <c r="F771" s="13"/>
      <c r="G771" s="18">
        <v>12500000</v>
      </c>
      <c r="H771" s="18">
        <v>12173160.189999999</v>
      </c>
      <c r="I771" s="18">
        <v>12500000</v>
      </c>
      <c r="J771" s="18">
        <v>12173160.189999999</v>
      </c>
      <c r="K771" s="15">
        <v>90027594</v>
      </c>
      <c r="L771" s="13" t="s">
        <v>102</v>
      </c>
      <c r="M771" s="13" t="s">
        <v>103</v>
      </c>
      <c r="N771" s="138" t="s">
        <v>374</v>
      </c>
      <c r="O771" s="138" t="s">
        <v>374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1210</v>
      </c>
      <c r="V771" s="13" t="s">
        <v>1210</v>
      </c>
      <c r="W771" s="59">
        <f>+J771/$W$2</f>
        <v>1.9922683976089092E-4</v>
      </c>
    </row>
    <row r="772" spans="1:29">
      <c r="A772" s="13" t="s">
        <v>1094</v>
      </c>
      <c r="B772" s="13" t="s">
        <v>404</v>
      </c>
      <c r="C772" s="138">
        <v>46294</v>
      </c>
      <c r="D772" s="138" t="s">
        <v>424</v>
      </c>
      <c r="E772" s="28">
        <v>0.97022869</v>
      </c>
      <c r="F772" s="13"/>
      <c r="G772" s="18">
        <v>29575498</v>
      </c>
      <c r="H772" s="18">
        <v>28694996.579999998</v>
      </c>
      <c r="I772" s="18">
        <v>29575498</v>
      </c>
      <c r="J772" s="18">
        <v>28694996.579999998</v>
      </c>
      <c r="K772" s="15">
        <v>90044735</v>
      </c>
      <c r="L772" s="13" t="s">
        <v>102</v>
      </c>
      <c r="M772" s="13" t="s">
        <v>103</v>
      </c>
      <c r="N772" s="138" t="s">
        <v>445</v>
      </c>
      <c r="O772" s="138" t="s">
        <v>445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2530</v>
      </c>
      <c r="V772" s="13" t="s">
        <v>2530</v>
      </c>
      <c r="W772" s="59">
        <f>+J772/$W$2</f>
        <v>4.6962443575491737E-4</v>
      </c>
    </row>
    <row r="773" spans="1:29">
      <c r="A773" s="13" t="s">
        <v>405</v>
      </c>
      <c r="B773" s="13" t="s">
        <v>404</v>
      </c>
      <c r="C773" s="138">
        <v>46294</v>
      </c>
      <c r="D773" s="138" t="s">
        <v>424</v>
      </c>
      <c r="E773" s="28">
        <v>0.97022872000000004</v>
      </c>
      <c r="F773" s="13"/>
      <c r="G773" s="18">
        <v>2000000</v>
      </c>
      <c r="H773" s="18">
        <v>1940457.45</v>
      </c>
      <c r="I773" s="18">
        <v>2000000</v>
      </c>
      <c r="J773" s="18">
        <v>1940457.45</v>
      </c>
      <c r="K773" s="15">
        <v>1008</v>
      </c>
      <c r="L773" s="13" t="s">
        <v>102</v>
      </c>
      <c r="M773" s="13" t="s">
        <v>103</v>
      </c>
      <c r="N773" s="138" t="s">
        <v>345</v>
      </c>
      <c r="O773" s="138" t="s">
        <v>345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2428</v>
      </c>
      <c r="V773" s="13" t="s">
        <v>2428</v>
      </c>
      <c r="W773" s="59">
        <f>+J773/$W$2</f>
        <v>3.1757670105380989E-5</v>
      </c>
    </row>
    <row r="774" spans="1:29">
      <c r="A774" s="13" t="s">
        <v>407</v>
      </c>
      <c r="B774" s="13" t="s">
        <v>404</v>
      </c>
      <c r="C774" s="138">
        <v>46294</v>
      </c>
      <c r="D774" s="138" t="s">
        <v>424</v>
      </c>
      <c r="E774" s="28">
        <v>0.97022870999999999</v>
      </c>
      <c r="F774" s="13"/>
      <c r="G774" s="18">
        <v>65000000</v>
      </c>
      <c r="H774" s="18">
        <v>63064866.159999996</v>
      </c>
      <c r="I774" s="18">
        <v>65000000</v>
      </c>
      <c r="J774" s="18">
        <v>63064866.159999996</v>
      </c>
      <c r="K774" s="15">
        <v>334</v>
      </c>
      <c r="L774" s="13" t="s">
        <v>102</v>
      </c>
      <c r="M774" s="13" t="s">
        <v>103</v>
      </c>
      <c r="N774" s="138" t="s">
        <v>382</v>
      </c>
      <c r="O774" s="138" t="s">
        <v>382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1119</v>
      </c>
      <c r="V774" s="13" t="s">
        <v>1119</v>
      </c>
      <c r="W774" s="59">
        <f>+J774/$W$2</f>
        <v>1.0321242626316208E-3</v>
      </c>
    </row>
    <row r="775" spans="1:29">
      <c r="A775" s="13" t="s">
        <v>565</v>
      </c>
      <c r="B775" s="13" t="s">
        <v>404</v>
      </c>
      <c r="C775" s="138">
        <v>46294</v>
      </c>
      <c r="D775" s="138" t="s">
        <v>424</v>
      </c>
      <c r="E775" s="28">
        <v>0.97476306000000001</v>
      </c>
      <c r="F775" s="13"/>
      <c r="G775" s="18">
        <v>20000000</v>
      </c>
      <c r="H775" s="18">
        <v>19495261.260000002</v>
      </c>
      <c r="I775" s="18">
        <v>20000000</v>
      </c>
      <c r="J775" s="18">
        <v>19495261.260000002</v>
      </c>
      <c r="K775" s="15">
        <v>67970141</v>
      </c>
      <c r="L775" s="13" t="s">
        <v>102</v>
      </c>
      <c r="M775" s="13" t="s">
        <v>103</v>
      </c>
      <c r="N775" s="138" t="s">
        <v>393</v>
      </c>
      <c r="O775" s="138" t="s">
        <v>393</v>
      </c>
      <c r="P775" s="28">
        <v>27</v>
      </c>
      <c r="Q775" s="13" t="s">
        <v>54</v>
      </c>
      <c r="R775" s="13" t="s">
        <v>28</v>
      </c>
      <c r="S775" s="13"/>
      <c r="T775" s="13"/>
      <c r="U775" s="13" t="s">
        <v>1132</v>
      </c>
      <c r="V775" s="13" t="s">
        <v>1132</v>
      </c>
      <c r="W775" s="59">
        <f>+J775/$W$2</f>
        <v>3.1906088727340777E-4</v>
      </c>
    </row>
    <row r="776" spans="1:29">
      <c r="A776" s="13" t="s">
        <v>565</v>
      </c>
      <c r="B776" s="13" t="s">
        <v>404</v>
      </c>
      <c r="C776" s="138">
        <v>46294</v>
      </c>
      <c r="D776" s="138" t="s">
        <v>424</v>
      </c>
      <c r="E776" s="28">
        <v>0.97750409999999999</v>
      </c>
      <c r="F776" s="13"/>
      <c r="G776" s="18">
        <v>4000000</v>
      </c>
      <c r="H776" s="18">
        <v>3910016.39</v>
      </c>
      <c r="I776" s="18">
        <v>4000000</v>
      </c>
      <c r="J776" s="18">
        <v>3910016.39</v>
      </c>
      <c r="K776" s="15">
        <v>16821013</v>
      </c>
      <c r="L776" s="13" t="s">
        <v>102</v>
      </c>
      <c r="M776" s="13" t="s">
        <v>103</v>
      </c>
      <c r="N776" s="138" t="s">
        <v>339</v>
      </c>
      <c r="O776" s="138" t="s">
        <v>339</v>
      </c>
      <c r="P776" s="28">
        <v>24</v>
      </c>
      <c r="Q776" s="13" t="s">
        <v>54</v>
      </c>
      <c r="R776" s="13" t="s">
        <v>28</v>
      </c>
      <c r="S776" s="13"/>
      <c r="T776" s="13"/>
      <c r="U776" s="13" t="s">
        <v>1576</v>
      </c>
      <c r="V776" s="13" t="s">
        <v>1576</v>
      </c>
      <c r="W776" s="59">
        <f>+J776/$W$2</f>
        <v>6.3991617347885016E-5</v>
      </c>
    </row>
    <row r="777" spans="1:29">
      <c r="A777" s="13" t="s">
        <v>565</v>
      </c>
      <c r="B777" s="13" t="s">
        <v>404</v>
      </c>
      <c r="C777" s="138">
        <v>46294</v>
      </c>
      <c r="D777" s="138" t="s">
        <v>424</v>
      </c>
      <c r="E777" s="28">
        <v>0.97385275000000004</v>
      </c>
      <c r="F777" s="13"/>
      <c r="G777" s="18">
        <v>10950000</v>
      </c>
      <c r="H777" s="18">
        <v>10663687.560000001</v>
      </c>
      <c r="I777" s="18">
        <v>10950000</v>
      </c>
      <c r="J777" s="18">
        <v>10663687.560000001</v>
      </c>
      <c r="K777" s="15">
        <v>90000869</v>
      </c>
      <c r="L777" s="13" t="s">
        <v>102</v>
      </c>
      <c r="M777" s="13" t="s">
        <v>103</v>
      </c>
      <c r="N777" s="138" t="s">
        <v>535</v>
      </c>
      <c r="O777" s="138" t="s">
        <v>535</v>
      </c>
      <c r="P777" s="28">
        <v>28</v>
      </c>
      <c r="Q777" s="13" t="s">
        <v>54</v>
      </c>
      <c r="R777" s="13" t="s">
        <v>28</v>
      </c>
      <c r="S777" s="13"/>
      <c r="T777" s="13"/>
      <c r="U777" s="13" t="s">
        <v>2330</v>
      </c>
      <c r="V777" s="13" t="s">
        <v>2330</v>
      </c>
      <c r="W777" s="59">
        <f>+J777/$W$2</f>
        <v>1.7452269908692676E-4</v>
      </c>
      <c r="AC777" s="56"/>
    </row>
    <row r="778" spans="1:29">
      <c r="A778" s="13" t="s">
        <v>466</v>
      </c>
      <c r="B778" s="13" t="s">
        <v>404</v>
      </c>
      <c r="C778" s="138">
        <v>46294</v>
      </c>
      <c r="D778" s="138" t="s">
        <v>424</v>
      </c>
      <c r="E778" s="28">
        <v>0.97385277000000003</v>
      </c>
      <c r="F778" s="13"/>
      <c r="G778" s="18">
        <v>10000000</v>
      </c>
      <c r="H778" s="18">
        <v>9738527.7300000004</v>
      </c>
      <c r="I778" s="18">
        <v>10000000</v>
      </c>
      <c r="J778" s="18">
        <v>9738527.7300000004</v>
      </c>
      <c r="K778" s="15">
        <v>360567</v>
      </c>
      <c r="L778" s="13" t="s">
        <v>102</v>
      </c>
      <c r="M778" s="13" t="s">
        <v>103</v>
      </c>
      <c r="N778" s="138" t="s">
        <v>308</v>
      </c>
      <c r="O778" s="138" t="s">
        <v>308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559</v>
      </c>
      <c r="V778" s="13" t="s">
        <v>559</v>
      </c>
      <c r="W778" s="59">
        <f>+J778/$W$2</f>
        <v>1.5938146490222953E-4</v>
      </c>
    </row>
    <row r="779" spans="1:29">
      <c r="A779" s="13" t="s">
        <v>146</v>
      </c>
      <c r="B779" s="13" t="s">
        <v>404</v>
      </c>
      <c r="C779" s="138">
        <v>46294</v>
      </c>
      <c r="D779" s="138" t="s">
        <v>424</v>
      </c>
      <c r="E779" s="28">
        <v>0.97658869000000004</v>
      </c>
      <c r="F779" s="13"/>
      <c r="G779" s="18">
        <v>50000000</v>
      </c>
      <c r="H779" s="18">
        <v>48829434.460000001</v>
      </c>
      <c r="I779" s="18">
        <v>50000000</v>
      </c>
      <c r="J779" s="18">
        <v>48829434.460000001</v>
      </c>
      <c r="K779" s="15">
        <v>4899</v>
      </c>
      <c r="L779" s="13" t="s">
        <v>102</v>
      </c>
      <c r="M779" s="13" t="s">
        <v>103</v>
      </c>
      <c r="N779" s="138" t="s">
        <v>390</v>
      </c>
      <c r="O779" s="138" t="s">
        <v>390</v>
      </c>
      <c r="P779" s="28">
        <v>25</v>
      </c>
      <c r="Q779" s="13" t="s">
        <v>54</v>
      </c>
      <c r="R779" s="13" t="s">
        <v>28</v>
      </c>
      <c r="S779" s="13"/>
      <c r="T779" s="13"/>
      <c r="U779" s="13" t="s">
        <v>1110</v>
      </c>
      <c r="V779" s="13" t="s">
        <v>1110</v>
      </c>
      <c r="W779" s="59">
        <f>+J779/$W$2</f>
        <v>7.9914613485237854E-4</v>
      </c>
    </row>
    <row r="780" spans="1:29">
      <c r="A780" s="13" t="s">
        <v>285</v>
      </c>
      <c r="B780" s="13" t="s">
        <v>404</v>
      </c>
      <c r="C780" s="138">
        <v>46294</v>
      </c>
      <c r="D780" s="138" t="s">
        <v>424</v>
      </c>
      <c r="E780" s="28">
        <v>0.97476304999999996</v>
      </c>
      <c r="F780" s="13"/>
      <c r="G780" s="18">
        <v>30000000</v>
      </c>
      <c r="H780" s="18">
        <v>29242891.539999999</v>
      </c>
      <c r="I780" s="18">
        <v>30000000</v>
      </c>
      <c r="J780" s="18">
        <v>29242891.539999999</v>
      </c>
      <c r="K780" s="15">
        <v>54027797</v>
      </c>
      <c r="L780" s="13" t="s">
        <v>102</v>
      </c>
      <c r="M780" s="13" t="s">
        <v>103</v>
      </c>
      <c r="N780" s="138" t="s">
        <v>390</v>
      </c>
      <c r="O780" s="138" t="s">
        <v>390</v>
      </c>
      <c r="P780" s="28">
        <v>27</v>
      </c>
      <c r="Q780" s="13" t="s">
        <v>54</v>
      </c>
      <c r="R780" s="13" t="s">
        <v>28</v>
      </c>
      <c r="S780" s="13"/>
      <c r="T780" s="13"/>
      <c r="U780" s="13" t="s">
        <v>1098</v>
      </c>
      <c r="V780" s="13" t="s">
        <v>1098</v>
      </c>
      <c r="W780" s="59">
        <f>+J780/$W$2</f>
        <v>4.7859132518198567E-4</v>
      </c>
    </row>
    <row r="781" spans="1:29">
      <c r="A781" s="13" t="s">
        <v>285</v>
      </c>
      <c r="B781" s="13" t="s">
        <v>404</v>
      </c>
      <c r="C781" s="138">
        <v>46294</v>
      </c>
      <c r="D781" s="138" t="s">
        <v>424</v>
      </c>
      <c r="E781" s="28">
        <v>0.97476306000000001</v>
      </c>
      <c r="F781" s="13"/>
      <c r="G781" s="18">
        <v>5000000</v>
      </c>
      <c r="H781" s="18">
        <v>4873815.3099999996</v>
      </c>
      <c r="I781" s="18">
        <v>5000000</v>
      </c>
      <c r="J781" s="18">
        <v>4873815.3099999996</v>
      </c>
      <c r="K781" s="15">
        <v>67193060</v>
      </c>
      <c r="L781" s="13" t="s">
        <v>102</v>
      </c>
      <c r="M781" s="13" t="s">
        <v>103</v>
      </c>
      <c r="N781" s="138" t="s">
        <v>330</v>
      </c>
      <c r="O781" s="138" t="s">
        <v>330</v>
      </c>
      <c r="P781" s="28">
        <v>27</v>
      </c>
      <c r="Q781" s="13" t="s">
        <v>54</v>
      </c>
      <c r="R781" s="13" t="s">
        <v>28</v>
      </c>
      <c r="S781" s="13"/>
      <c r="T781" s="13"/>
      <c r="U781" s="13" t="s">
        <v>933</v>
      </c>
      <c r="V781" s="13" t="s">
        <v>933</v>
      </c>
      <c r="W781" s="59">
        <f>+J781/$W$2</f>
        <v>7.9765221736521552E-5</v>
      </c>
    </row>
    <row r="782" spans="1:29">
      <c r="A782" s="13" t="s">
        <v>285</v>
      </c>
      <c r="B782" s="13" t="s">
        <v>404</v>
      </c>
      <c r="C782" s="138">
        <v>46294</v>
      </c>
      <c r="D782" s="138" t="s">
        <v>424</v>
      </c>
      <c r="E782" s="28">
        <v>0.97658871999999997</v>
      </c>
      <c r="F782" s="13"/>
      <c r="G782" s="18">
        <v>5000000</v>
      </c>
      <c r="H782" s="18">
        <v>4882943.58</v>
      </c>
      <c r="I782" s="18">
        <v>5000000</v>
      </c>
      <c r="J782" s="18">
        <v>4882943.58</v>
      </c>
      <c r="K782" s="15">
        <v>8743</v>
      </c>
      <c r="L782" s="13" t="s">
        <v>102</v>
      </c>
      <c r="M782" s="13" t="s">
        <v>103</v>
      </c>
      <c r="N782" s="138" t="s">
        <v>339</v>
      </c>
      <c r="O782" s="138" t="s">
        <v>339</v>
      </c>
      <c r="P782" s="28">
        <v>25</v>
      </c>
      <c r="Q782" s="13" t="s">
        <v>54</v>
      </c>
      <c r="R782" s="13" t="s">
        <v>28</v>
      </c>
      <c r="S782" s="13"/>
      <c r="T782" s="13"/>
      <c r="U782" s="13" t="s">
        <v>1588</v>
      </c>
      <c r="V782" s="13" t="s">
        <v>1588</v>
      </c>
      <c r="W782" s="59">
        <f>+J782/$W$2</f>
        <v>7.9914615678291763E-5</v>
      </c>
    </row>
    <row r="783" spans="1:29">
      <c r="A783" s="13" t="s">
        <v>285</v>
      </c>
      <c r="B783" s="13" t="s">
        <v>404</v>
      </c>
      <c r="C783" s="138">
        <v>46294</v>
      </c>
      <c r="D783" s="138" t="s">
        <v>424</v>
      </c>
      <c r="E783" s="28">
        <v>0.97385279999999996</v>
      </c>
      <c r="F783" s="13"/>
      <c r="G783" s="18">
        <v>9000000</v>
      </c>
      <c r="H783" s="18">
        <v>8764675.2100000009</v>
      </c>
      <c r="I783" s="18">
        <v>9000000</v>
      </c>
      <c r="J783" s="18">
        <v>8764675.2100000009</v>
      </c>
      <c r="K783" s="15">
        <v>68958371</v>
      </c>
      <c r="L783" s="13" t="s">
        <v>102</v>
      </c>
      <c r="M783" s="13" t="s">
        <v>103</v>
      </c>
      <c r="N783" s="138" t="s">
        <v>342</v>
      </c>
      <c r="O783" s="138" t="s">
        <v>342</v>
      </c>
      <c r="P783" s="28">
        <v>28</v>
      </c>
      <c r="Q783" s="13" t="s">
        <v>54</v>
      </c>
      <c r="R783" s="13" t="s">
        <v>28</v>
      </c>
      <c r="S783" s="13"/>
      <c r="T783" s="13"/>
      <c r="U783" s="13" t="s">
        <v>2411</v>
      </c>
      <c r="V783" s="13" t="s">
        <v>2411</v>
      </c>
      <c r="W783" s="59">
        <f>+J783/$W$2</f>
        <v>1.434433225526233E-4</v>
      </c>
    </row>
    <row r="784" spans="1:29">
      <c r="A784" s="13" t="s">
        <v>1744</v>
      </c>
      <c r="B784" s="13" t="s">
        <v>404</v>
      </c>
      <c r="C784" s="138">
        <v>46294</v>
      </c>
      <c r="D784" s="138" t="s">
        <v>424</v>
      </c>
      <c r="E784" s="28">
        <v>0.97022861000000005</v>
      </c>
      <c r="F784" s="13"/>
      <c r="G784" s="18">
        <v>2097348.4</v>
      </c>
      <c r="H784" s="18">
        <v>2034907.42</v>
      </c>
      <c r="I784" s="18">
        <v>2097348.4</v>
      </c>
      <c r="J784" s="18">
        <v>2034907.42</v>
      </c>
      <c r="K784" s="15">
        <v>76510842</v>
      </c>
      <c r="L784" s="13" t="s">
        <v>102</v>
      </c>
      <c r="M784" s="13" t="s">
        <v>103</v>
      </c>
      <c r="N784" s="138" t="s">
        <v>387</v>
      </c>
      <c r="O784" s="138" t="s">
        <v>387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1724</v>
      </c>
      <c r="V784" s="13" t="s">
        <v>1724</v>
      </c>
      <c r="W784" s="59">
        <f>+J784/$W$2</f>
        <v>3.3303445298092965E-5</v>
      </c>
    </row>
    <row r="785" spans="1:29">
      <c r="A785" s="13" t="s">
        <v>2212</v>
      </c>
      <c r="B785" s="13" t="s">
        <v>404</v>
      </c>
      <c r="C785" s="138">
        <v>46294</v>
      </c>
      <c r="D785" s="138" t="s">
        <v>424</v>
      </c>
      <c r="E785" s="28">
        <v>0.97385277999999997</v>
      </c>
      <c r="F785" s="13"/>
      <c r="G785" s="18">
        <v>7560000</v>
      </c>
      <c r="H785" s="18">
        <v>7362326.9900000002</v>
      </c>
      <c r="I785" s="18">
        <v>7560000</v>
      </c>
      <c r="J785" s="18">
        <v>7362326.9900000002</v>
      </c>
      <c r="K785" s="15">
        <v>10537648</v>
      </c>
      <c r="L785" s="13" t="s">
        <v>102</v>
      </c>
      <c r="M785" s="13" t="s">
        <v>103</v>
      </c>
      <c r="N785" s="138" t="s">
        <v>639</v>
      </c>
      <c r="O785" s="138" t="s">
        <v>639</v>
      </c>
      <c r="P785" s="28">
        <v>28</v>
      </c>
      <c r="Q785" s="13" t="s">
        <v>54</v>
      </c>
      <c r="R785" s="13" t="s">
        <v>28</v>
      </c>
      <c r="S785" s="13"/>
      <c r="T785" s="13"/>
      <c r="U785" s="13" t="s">
        <v>2184</v>
      </c>
      <c r="V785" s="13" t="s">
        <v>2184</v>
      </c>
      <c r="W785" s="59">
        <f>+J785/$W$2</f>
        <v>1.2049238789356739E-4</v>
      </c>
    </row>
    <row r="786" spans="1:29">
      <c r="A786" s="13" t="s">
        <v>2317</v>
      </c>
      <c r="B786" s="13" t="s">
        <v>404</v>
      </c>
      <c r="C786" s="138">
        <v>46294</v>
      </c>
      <c r="D786" s="138" t="s">
        <v>424</v>
      </c>
      <c r="E786" s="28">
        <v>0.97385288999999997</v>
      </c>
      <c r="F786" s="13"/>
      <c r="G786" s="18">
        <v>100000000</v>
      </c>
      <c r="H786" s="18">
        <v>97385288.609999999</v>
      </c>
      <c r="I786" s="18">
        <v>100000000</v>
      </c>
      <c r="J786" s="18">
        <v>97385288.609999999</v>
      </c>
      <c r="K786" s="15">
        <v>83</v>
      </c>
      <c r="L786" s="13" t="s">
        <v>102</v>
      </c>
      <c r="M786" s="13" t="s">
        <v>103</v>
      </c>
      <c r="N786" s="138" t="s">
        <v>441</v>
      </c>
      <c r="O786" s="138" t="s">
        <v>441</v>
      </c>
      <c r="P786" s="28">
        <v>28</v>
      </c>
      <c r="Q786" s="13" t="s">
        <v>54</v>
      </c>
      <c r="R786" s="13" t="s">
        <v>28</v>
      </c>
      <c r="S786" s="13"/>
      <c r="T786" s="13"/>
      <c r="U786" s="13" t="s">
        <v>2301</v>
      </c>
      <c r="V786" s="13" t="s">
        <v>2301</v>
      </c>
      <c r="W786" s="59">
        <f>+J786/$W$2</f>
        <v>1.5938148341225916E-3</v>
      </c>
    </row>
    <row r="787" spans="1:29">
      <c r="A787" s="13" t="s">
        <v>2215</v>
      </c>
      <c r="B787" s="13" t="s">
        <v>404</v>
      </c>
      <c r="C787" s="138">
        <v>46294</v>
      </c>
      <c r="D787" s="138" t="s">
        <v>424</v>
      </c>
      <c r="E787" s="28">
        <v>0.97385277999999997</v>
      </c>
      <c r="F787" s="13"/>
      <c r="G787" s="18">
        <v>12000000</v>
      </c>
      <c r="H787" s="18">
        <v>11686233.33</v>
      </c>
      <c r="I787" s="18">
        <v>12000000</v>
      </c>
      <c r="J787" s="18">
        <v>11686233.33</v>
      </c>
      <c r="K787" s="15">
        <v>29830738</v>
      </c>
      <c r="L787" s="13" t="s">
        <v>102</v>
      </c>
      <c r="M787" s="13" t="s">
        <v>103</v>
      </c>
      <c r="N787" s="138" t="s">
        <v>639</v>
      </c>
      <c r="O787" s="138" t="s">
        <v>639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2169</v>
      </c>
      <c r="V787" s="13" t="s">
        <v>2169</v>
      </c>
      <c r="W787" s="59">
        <f>+J787/$W$2</f>
        <v>1.9125775876644344E-4</v>
      </c>
    </row>
    <row r="788" spans="1:29">
      <c r="A788" s="13" t="s">
        <v>356</v>
      </c>
      <c r="B788" s="13" t="s">
        <v>404</v>
      </c>
      <c r="C788" s="138">
        <v>46294</v>
      </c>
      <c r="D788" s="138" t="s">
        <v>424</v>
      </c>
      <c r="E788" s="28">
        <v>0.97022861999999999</v>
      </c>
      <c r="F788" s="13"/>
      <c r="G788" s="18">
        <v>40000000</v>
      </c>
      <c r="H788" s="18">
        <v>38809144.609999999</v>
      </c>
      <c r="I788" s="18">
        <v>40000000</v>
      </c>
      <c r="J788" s="18">
        <v>38809144.609999999</v>
      </c>
      <c r="K788" s="15">
        <v>13662791</v>
      </c>
      <c r="L788" s="13" t="s">
        <v>102</v>
      </c>
      <c r="M788" s="13" t="s">
        <v>103</v>
      </c>
      <c r="N788" s="138" t="s">
        <v>338</v>
      </c>
      <c r="O788" s="138" t="s">
        <v>338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1004</v>
      </c>
      <c r="V788" s="13" t="s">
        <v>1004</v>
      </c>
      <c r="W788" s="59">
        <f>+J788/$W$2</f>
        <v>6.3515333026055529E-4</v>
      </c>
    </row>
    <row r="789" spans="1:29">
      <c r="A789" s="13" t="s">
        <v>2224</v>
      </c>
      <c r="B789" s="13" t="s">
        <v>404</v>
      </c>
      <c r="C789" s="138">
        <v>46294</v>
      </c>
      <c r="D789" s="138" t="s">
        <v>424</v>
      </c>
      <c r="E789" s="28">
        <v>0.97385277999999997</v>
      </c>
      <c r="F789" s="13"/>
      <c r="G789" s="18">
        <v>5225717</v>
      </c>
      <c r="H789" s="18">
        <v>5089079.01</v>
      </c>
      <c r="I789" s="18">
        <v>5225717</v>
      </c>
      <c r="J789" s="18">
        <v>5089079.01</v>
      </c>
      <c r="K789" s="15">
        <v>3171</v>
      </c>
      <c r="L789" s="13" t="s">
        <v>102</v>
      </c>
      <c r="M789" s="13" t="s">
        <v>103</v>
      </c>
      <c r="N789" s="138" t="s">
        <v>639</v>
      </c>
      <c r="O789" s="138" t="s">
        <v>639</v>
      </c>
      <c r="P789" s="28">
        <v>28</v>
      </c>
      <c r="Q789" s="13" t="s">
        <v>54</v>
      </c>
      <c r="R789" s="13" t="s">
        <v>28</v>
      </c>
      <c r="S789" s="13"/>
      <c r="T789" s="13"/>
      <c r="U789" s="13" t="s">
        <v>2192</v>
      </c>
      <c r="V789" s="13" t="s">
        <v>2192</v>
      </c>
      <c r="W789" s="59">
        <f>+J789/$W$2</f>
        <v>8.328824336745899E-5</v>
      </c>
    </row>
    <row r="790" spans="1:29">
      <c r="A790" s="13" t="s">
        <v>2226</v>
      </c>
      <c r="B790" s="13" t="s">
        <v>404</v>
      </c>
      <c r="C790" s="138">
        <v>46294</v>
      </c>
      <c r="D790" s="138" t="s">
        <v>424</v>
      </c>
      <c r="E790" s="28">
        <v>0.97385277999999997</v>
      </c>
      <c r="F790" s="13"/>
      <c r="G790" s="18">
        <v>8000000</v>
      </c>
      <c r="H790" s="18">
        <v>7790822.2199999997</v>
      </c>
      <c r="I790" s="18">
        <v>8000000</v>
      </c>
      <c r="J790" s="18">
        <v>7790822.2199999997</v>
      </c>
      <c r="K790" s="15">
        <v>1161724</v>
      </c>
      <c r="L790" s="13" t="s">
        <v>102</v>
      </c>
      <c r="M790" s="13" t="s">
        <v>103</v>
      </c>
      <c r="N790" s="138" t="s">
        <v>639</v>
      </c>
      <c r="O790" s="138" t="s">
        <v>639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2205</v>
      </c>
      <c r="V790" s="13" t="s">
        <v>2205</v>
      </c>
      <c r="W790" s="59">
        <f>+J790/$W$2</f>
        <v>1.2750517251096228E-4</v>
      </c>
      <c r="AC790" s="56"/>
    </row>
    <row r="791" spans="1:29">
      <c r="A791" s="13" t="s">
        <v>2518</v>
      </c>
      <c r="B791" s="13" t="s">
        <v>404</v>
      </c>
      <c r="C791" s="138">
        <v>46294</v>
      </c>
      <c r="D791" s="138" t="s">
        <v>424</v>
      </c>
      <c r="E791" s="28">
        <v>0.97022872999999998</v>
      </c>
      <c r="F791" s="13"/>
      <c r="G791" s="18">
        <v>13629007.35</v>
      </c>
      <c r="H791" s="18">
        <v>13223254.43</v>
      </c>
      <c r="I791" s="18">
        <v>13629007.35</v>
      </c>
      <c r="J791" s="18">
        <v>13223254.43</v>
      </c>
      <c r="K791" s="15">
        <v>68961023</v>
      </c>
      <c r="L791" s="13" t="s">
        <v>102</v>
      </c>
      <c r="M791" s="13" t="s">
        <v>103</v>
      </c>
      <c r="N791" s="138" t="s">
        <v>424</v>
      </c>
      <c r="O791" s="138" t="s">
        <v>424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2672</v>
      </c>
      <c r="V791" s="13" t="s">
        <v>2672</v>
      </c>
      <c r="W791" s="59">
        <f>+J791/$W$2</f>
        <v>2.1641275973737935E-4</v>
      </c>
    </row>
    <row r="792" spans="1:29">
      <c r="A792" s="13" t="s">
        <v>409</v>
      </c>
      <c r="B792" s="13" t="s">
        <v>404</v>
      </c>
      <c r="C792" s="138">
        <v>46294</v>
      </c>
      <c r="D792" s="138" t="s">
        <v>424</v>
      </c>
      <c r="E792" s="28">
        <v>0.96932678999999999</v>
      </c>
      <c r="F792" s="13"/>
      <c r="G792" s="18">
        <v>12500000</v>
      </c>
      <c r="H792" s="18">
        <v>12116584.9</v>
      </c>
      <c r="I792" s="18">
        <v>12500000</v>
      </c>
      <c r="J792" s="18">
        <v>12116584.9</v>
      </c>
      <c r="K792" s="15">
        <v>1361</v>
      </c>
      <c r="L792" s="13" t="s">
        <v>102</v>
      </c>
      <c r="M792" s="13" t="s">
        <v>103</v>
      </c>
      <c r="N792" s="138" t="s">
        <v>373</v>
      </c>
      <c r="O792" s="138" t="s">
        <v>373</v>
      </c>
      <c r="P792" s="28">
        <v>33</v>
      </c>
      <c r="Q792" s="13" t="s">
        <v>54</v>
      </c>
      <c r="R792" s="13" t="s">
        <v>28</v>
      </c>
      <c r="S792" s="13"/>
      <c r="T792" s="13"/>
      <c r="U792" s="13" t="s">
        <v>781</v>
      </c>
      <c r="V792" s="13" t="s">
        <v>781</v>
      </c>
      <c r="W792" s="59">
        <f>+J792/$W$2</f>
        <v>1.9830092438153732E-4</v>
      </c>
    </row>
    <row r="793" spans="1:29">
      <c r="A793" s="13" t="s">
        <v>174</v>
      </c>
      <c r="B793" s="13" t="s">
        <v>404</v>
      </c>
      <c r="C793" s="138">
        <v>46294</v>
      </c>
      <c r="D793" s="138" t="s">
        <v>424</v>
      </c>
      <c r="E793" s="28">
        <v>0.96484285999999997</v>
      </c>
      <c r="F793" s="13"/>
      <c r="G793" s="18">
        <v>145700000</v>
      </c>
      <c r="H793" s="18">
        <v>140577605.12</v>
      </c>
      <c r="I793" s="18">
        <v>145700000</v>
      </c>
      <c r="J793" s="18">
        <v>140577605.12</v>
      </c>
      <c r="K793" s="15">
        <v>70400444</v>
      </c>
      <c r="L793" s="13" t="s">
        <v>102</v>
      </c>
      <c r="M793" s="13" t="s">
        <v>103</v>
      </c>
      <c r="N793" s="138" t="s">
        <v>173</v>
      </c>
      <c r="O793" s="138" t="s">
        <v>173</v>
      </c>
      <c r="P793" s="28">
        <v>38</v>
      </c>
      <c r="Q793" s="13" t="s">
        <v>54</v>
      </c>
      <c r="R793" s="13" t="s">
        <v>28</v>
      </c>
      <c r="S793" s="13"/>
      <c r="T793" s="13"/>
      <c r="U793" s="13" t="s">
        <v>2023</v>
      </c>
      <c r="V793" s="13" t="s">
        <v>2023</v>
      </c>
      <c r="W793" s="59">
        <f>+J793/$W$2</f>
        <v>2.300703479793117E-3</v>
      </c>
      <c r="AC793" s="56"/>
    </row>
    <row r="794" spans="1:29">
      <c r="A794" s="13" t="s">
        <v>981</v>
      </c>
      <c r="B794" s="13" t="s">
        <v>404</v>
      </c>
      <c r="C794" s="138">
        <v>46294</v>
      </c>
      <c r="D794" s="138" t="s">
        <v>424</v>
      </c>
      <c r="E794" s="28">
        <v>0.96484294000000004</v>
      </c>
      <c r="F794" s="13"/>
      <c r="G794" s="18">
        <v>555972720.34000003</v>
      </c>
      <c r="H794" s="18">
        <v>536426351.88</v>
      </c>
      <c r="I794" s="18">
        <v>555972720.34000003</v>
      </c>
      <c r="J794" s="18">
        <v>536426351.88</v>
      </c>
      <c r="K794" s="15">
        <v>160819</v>
      </c>
      <c r="L794" s="13" t="s">
        <v>102</v>
      </c>
      <c r="M794" s="13" t="s">
        <v>103</v>
      </c>
      <c r="N794" s="138" t="s">
        <v>441</v>
      </c>
      <c r="O794" s="138" t="s">
        <v>441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2306</v>
      </c>
      <c r="V794" s="13" t="s">
        <v>2306</v>
      </c>
      <c r="W794" s="59">
        <f>+J794/$W$2</f>
        <v>8.7791933385800661E-3</v>
      </c>
    </row>
    <row r="795" spans="1:29">
      <c r="A795" s="13" t="s">
        <v>960</v>
      </c>
      <c r="B795" s="13" t="s">
        <v>404</v>
      </c>
      <c r="C795" s="138">
        <v>46294</v>
      </c>
      <c r="D795" s="138" t="s">
        <v>424</v>
      </c>
      <c r="E795" s="28">
        <v>0.97022867000000002</v>
      </c>
      <c r="F795" s="13"/>
      <c r="G795" s="18">
        <v>1008513.5</v>
      </c>
      <c r="H795" s="18">
        <v>978488.71</v>
      </c>
      <c r="I795" s="18">
        <v>1008513.5</v>
      </c>
      <c r="J795" s="18">
        <v>978488.71</v>
      </c>
      <c r="K795" s="15">
        <v>67381841</v>
      </c>
      <c r="L795" s="13" t="s">
        <v>102</v>
      </c>
      <c r="M795" s="13" t="s">
        <v>103</v>
      </c>
      <c r="N795" s="138" t="s">
        <v>330</v>
      </c>
      <c r="O795" s="138" t="s">
        <v>330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965</v>
      </c>
      <c r="V795" s="13" t="s">
        <v>965</v>
      </c>
      <c r="W795" s="59">
        <f>+J795/$W$2</f>
        <v>1.6014018577949139E-5</v>
      </c>
    </row>
    <row r="796" spans="1:29">
      <c r="A796" s="13" t="s">
        <v>1423</v>
      </c>
      <c r="B796" s="13" t="s">
        <v>404</v>
      </c>
      <c r="C796" s="138">
        <v>46294</v>
      </c>
      <c r="D796" s="138" t="s">
        <v>424</v>
      </c>
      <c r="E796" s="28">
        <v>0.96932691000000004</v>
      </c>
      <c r="F796" s="13"/>
      <c r="G796" s="18">
        <v>9828483.25</v>
      </c>
      <c r="H796" s="18">
        <v>9527013.3000000007</v>
      </c>
      <c r="I796" s="18">
        <v>9828483.25</v>
      </c>
      <c r="J796" s="18">
        <v>9527013.3000000007</v>
      </c>
      <c r="K796" s="15">
        <v>33</v>
      </c>
      <c r="L796" s="13" t="s">
        <v>102</v>
      </c>
      <c r="M796" s="13" t="s">
        <v>103</v>
      </c>
      <c r="N796" s="138" t="s">
        <v>421</v>
      </c>
      <c r="O796" s="138" t="s">
        <v>421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1395</v>
      </c>
      <c r="V796" s="13" t="s">
        <v>1395</v>
      </c>
      <c r="W796" s="59">
        <f>+J796/$W$2</f>
        <v>1.5591980410133556E-4</v>
      </c>
    </row>
    <row r="797" spans="1:29">
      <c r="A797" s="13" t="s">
        <v>916</v>
      </c>
      <c r="B797" s="13" t="s">
        <v>404</v>
      </c>
      <c r="C797" s="138">
        <v>46295</v>
      </c>
      <c r="D797" s="138" t="s">
        <v>424</v>
      </c>
      <c r="E797" s="28">
        <v>0.97126135999999996</v>
      </c>
      <c r="F797" s="13"/>
      <c r="G797" s="18">
        <v>100000000</v>
      </c>
      <c r="H797" s="18">
        <v>97126135.760000005</v>
      </c>
      <c r="I797" s="18">
        <v>100000000</v>
      </c>
      <c r="J797" s="18">
        <v>97126135.760000005</v>
      </c>
      <c r="K797" s="15">
        <v>90003961</v>
      </c>
      <c r="L797" s="13" t="s">
        <v>102</v>
      </c>
      <c r="M797" s="13" t="s">
        <v>103</v>
      </c>
      <c r="N797" s="138" t="s">
        <v>341</v>
      </c>
      <c r="O797" s="138" t="s">
        <v>341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1968</v>
      </c>
      <c r="V797" s="13" t="s">
        <v>1968</v>
      </c>
      <c r="W797" s="59">
        <f>+J797/$W$2</f>
        <v>1.5895735194175621E-3</v>
      </c>
    </row>
    <row r="798" spans="1:29">
      <c r="A798" s="13" t="s">
        <v>302</v>
      </c>
      <c r="B798" s="13" t="s">
        <v>404</v>
      </c>
      <c r="C798" s="138">
        <v>46295</v>
      </c>
      <c r="D798" s="138" t="s">
        <v>424</v>
      </c>
      <c r="E798" s="28">
        <v>0.96663138999999998</v>
      </c>
      <c r="F798" s="13"/>
      <c r="G798" s="18">
        <v>6000000</v>
      </c>
      <c r="H798" s="18">
        <v>5799788.3200000003</v>
      </c>
      <c r="I798" s="18">
        <v>6000000</v>
      </c>
      <c r="J798" s="18">
        <v>5799788.3200000003</v>
      </c>
      <c r="K798" s="15">
        <v>40761910</v>
      </c>
      <c r="L798" s="13" t="s">
        <v>102</v>
      </c>
      <c r="M798" s="13" t="s">
        <v>103</v>
      </c>
      <c r="N798" s="138" t="s">
        <v>346</v>
      </c>
      <c r="O798" s="138" t="s">
        <v>346</v>
      </c>
      <c r="P798" s="28">
        <v>35</v>
      </c>
      <c r="Q798" s="13" t="s">
        <v>54</v>
      </c>
      <c r="R798" s="13" t="s">
        <v>28</v>
      </c>
      <c r="S798" s="13"/>
      <c r="T798" s="13"/>
      <c r="U798" s="13" t="s">
        <v>1526</v>
      </c>
      <c r="V798" s="13" t="s">
        <v>1526</v>
      </c>
      <c r="W798" s="59">
        <f>+J798/$W$2</f>
        <v>9.4919764485225819E-5</v>
      </c>
    </row>
    <row r="799" spans="1:29">
      <c r="A799" s="13" t="s">
        <v>522</v>
      </c>
      <c r="B799" s="13" t="s">
        <v>404</v>
      </c>
      <c r="C799" s="138">
        <v>46295</v>
      </c>
      <c r="D799" s="138" t="s">
        <v>424</v>
      </c>
      <c r="E799" s="28">
        <v>0.96387458000000004</v>
      </c>
      <c r="F799" s="13"/>
      <c r="G799" s="18">
        <v>4500591.28</v>
      </c>
      <c r="H799" s="18">
        <v>4338005.53</v>
      </c>
      <c r="I799" s="18">
        <v>4500591.28</v>
      </c>
      <c r="J799" s="18">
        <v>4338005.53</v>
      </c>
      <c r="K799" s="15">
        <v>90000179</v>
      </c>
      <c r="L799" s="13" t="s">
        <v>102</v>
      </c>
      <c r="M799" s="13" t="s">
        <v>103</v>
      </c>
      <c r="N799" s="138" t="s">
        <v>289</v>
      </c>
      <c r="O799" s="138" t="s">
        <v>289</v>
      </c>
      <c r="P799" s="28">
        <v>38</v>
      </c>
      <c r="Q799" s="13" t="s">
        <v>54</v>
      </c>
      <c r="R799" s="13" t="s">
        <v>28</v>
      </c>
      <c r="S799" s="13"/>
      <c r="T799" s="13"/>
      <c r="U799" s="13" t="s">
        <v>624</v>
      </c>
      <c r="V799" s="13" t="s">
        <v>624</v>
      </c>
      <c r="W799" s="59">
        <f>+J799/$W$2</f>
        <v>7.0996119258919305E-5</v>
      </c>
    </row>
    <row r="800" spans="1:29">
      <c r="A800" s="13" t="s">
        <v>2209</v>
      </c>
      <c r="B800" s="13" t="s">
        <v>404</v>
      </c>
      <c r="C800" s="138">
        <v>46295</v>
      </c>
      <c r="D800" s="138" t="s">
        <v>424</v>
      </c>
      <c r="E800" s="28">
        <v>0.97312573999999996</v>
      </c>
      <c r="F800" s="13"/>
      <c r="G800" s="18">
        <v>11902483.460000001</v>
      </c>
      <c r="H800" s="18">
        <v>11582613</v>
      </c>
      <c r="I800" s="18">
        <v>11902483.460000001</v>
      </c>
      <c r="J800" s="18">
        <v>11582613</v>
      </c>
      <c r="K800" s="15">
        <v>31834827</v>
      </c>
      <c r="L800" s="13" t="s">
        <v>102</v>
      </c>
      <c r="M800" s="13" t="s">
        <v>103</v>
      </c>
      <c r="N800" s="138" t="s">
        <v>639</v>
      </c>
      <c r="O800" s="138" t="s">
        <v>639</v>
      </c>
      <c r="P800" s="28">
        <v>28</v>
      </c>
      <c r="Q800" s="13" t="s">
        <v>54</v>
      </c>
      <c r="R800" s="13" t="s">
        <v>28</v>
      </c>
      <c r="S800" s="13"/>
      <c r="T800" s="13"/>
      <c r="U800" s="13" t="s">
        <v>2177</v>
      </c>
      <c r="V800" s="13" t="s">
        <v>2177</v>
      </c>
      <c r="W800" s="59">
        <f>+J800/$W$2</f>
        <v>1.8956190078390909E-4</v>
      </c>
    </row>
    <row r="801" spans="1:23">
      <c r="A801" s="13" t="s">
        <v>431</v>
      </c>
      <c r="B801" s="13" t="s">
        <v>404</v>
      </c>
      <c r="C801" s="138">
        <v>46295</v>
      </c>
      <c r="D801" s="138" t="s">
        <v>424</v>
      </c>
      <c r="E801" s="28">
        <v>0.97126137000000001</v>
      </c>
      <c r="F801" s="13"/>
      <c r="G801" s="18">
        <v>50000000</v>
      </c>
      <c r="H801" s="18">
        <v>48563068.299999997</v>
      </c>
      <c r="I801" s="18">
        <v>50000000</v>
      </c>
      <c r="J801" s="18">
        <v>48563068.299999997</v>
      </c>
      <c r="K801" s="15">
        <v>787</v>
      </c>
      <c r="L801" s="13" t="s">
        <v>102</v>
      </c>
      <c r="M801" s="13" t="s">
        <v>103</v>
      </c>
      <c r="N801" s="138" t="s">
        <v>289</v>
      </c>
      <c r="O801" s="138" t="s">
        <v>289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576</v>
      </c>
      <c r="V801" s="13" t="s">
        <v>576</v>
      </c>
      <c r="W801" s="59">
        <f>+J801/$W$2</f>
        <v>7.9478676658253195E-4</v>
      </c>
    </row>
    <row r="802" spans="1:23">
      <c r="A802" s="13" t="s">
        <v>157</v>
      </c>
      <c r="B802" s="13" t="s">
        <v>404</v>
      </c>
      <c r="C802" s="138">
        <v>46295</v>
      </c>
      <c r="D802" s="138" t="s">
        <v>424</v>
      </c>
      <c r="E802" s="28">
        <v>0.97312573999999996</v>
      </c>
      <c r="F802" s="13"/>
      <c r="G802" s="18">
        <v>35000000</v>
      </c>
      <c r="H802" s="18">
        <v>34059400.82</v>
      </c>
      <c r="I802" s="18">
        <v>35000000</v>
      </c>
      <c r="J802" s="18">
        <v>34059400.82</v>
      </c>
      <c r="K802" s="15">
        <v>3329633</v>
      </c>
      <c r="L802" s="13" t="s">
        <v>102</v>
      </c>
      <c r="M802" s="13" t="s">
        <v>103</v>
      </c>
      <c r="N802" s="138" t="s">
        <v>303</v>
      </c>
      <c r="O802" s="138" t="s">
        <v>303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683</v>
      </c>
      <c r="V802" s="13" t="s">
        <v>683</v>
      </c>
      <c r="W802" s="59">
        <f>+J802/$W$2</f>
        <v>5.5741867219428229E-4</v>
      </c>
    </row>
    <row r="803" spans="1:23">
      <c r="A803" s="13" t="s">
        <v>284</v>
      </c>
      <c r="B803" s="13" t="s">
        <v>404</v>
      </c>
      <c r="C803" s="138">
        <v>46295</v>
      </c>
      <c r="D803" s="138" t="s">
        <v>424</v>
      </c>
      <c r="E803" s="28">
        <v>0.97593585000000005</v>
      </c>
      <c r="F803" s="13"/>
      <c r="G803" s="18">
        <v>408135</v>
      </c>
      <c r="H803" s="18">
        <v>398313.58</v>
      </c>
      <c r="I803" s="18">
        <v>408135</v>
      </c>
      <c r="J803" s="18">
        <v>398313.58</v>
      </c>
      <c r="K803" s="15">
        <v>2227</v>
      </c>
      <c r="L803" s="13" t="s">
        <v>102</v>
      </c>
      <c r="M803" s="13" t="s">
        <v>103</v>
      </c>
      <c r="N803" s="138" t="s">
        <v>173</v>
      </c>
      <c r="O803" s="138" t="s">
        <v>173</v>
      </c>
      <c r="P803" s="28">
        <v>25</v>
      </c>
      <c r="Q803" s="13" t="s">
        <v>54</v>
      </c>
      <c r="R803" s="13" t="s">
        <v>28</v>
      </c>
      <c r="S803" s="13"/>
      <c r="T803" s="13"/>
      <c r="U803" s="13" t="s">
        <v>1993</v>
      </c>
      <c r="V803" s="13" t="s">
        <v>1993</v>
      </c>
      <c r="W803" s="59">
        <f>+J803/$W$2</f>
        <v>6.5188295018441559E-6</v>
      </c>
    </row>
    <row r="804" spans="1:23">
      <c r="A804" s="13" t="s">
        <v>2279</v>
      </c>
      <c r="B804" s="13" t="s">
        <v>404</v>
      </c>
      <c r="C804" s="138">
        <v>46295</v>
      </c>
      <c r="D804" s="138" t="s">
        <v>424</v>
      </c>
      <c r="E804" s="28">
        <v>0.96847808999999996</v>
      </c>
      <c r="F804" s="13"/>
      <c r="G804" s="18">
        <v>1716831.66</v>
      </c>
      <c r="H804" s="18">
        <v>1662713.85</v>
      </c>
      <c r="I804" s="18">
        <v>1716831.66</v>
      </c>
      <c r="J804" s="18">
        <v>1662713.85</v>
      </c>
      <c r="K804" s="15">
        <v>112156</v>
      </c>
      <c r="L804" s="13" t="s">
        <v>102</v>
      </c>
      <c r="M804" s="13" t="s">
        <v>103</v>
      </c>
      <c r="N804" s="138" t="s">
        <v>422</v>
      </c>
      <c r="O804" s="138" t="s">
        <v>422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2263</v>
      </c>
      <c r="V804" s="13" t="s">
        <v>2263</v>
      </c>
      <c r="W804" s="59">
        <f>+J804/$W$2</f>
        <v>2.7212097811239271E-5</v>
      </c>
    </row>
    <row r="805" spans="1:23">
      <c r="A805" s="13" t="s">
        <v>2279</v>
      </c>
      <c r="B805" s="13" t="s">
        <v>404</v>
      </c>
      <c r="C805" s="138">
        <v>46295</v>
      </c>
      <c r="D805" s="138" t="s">
        <v>424</v>
      </c>
      <c r="E805" s="28">
        <v>0.96847810000000001</v>
      </c>
      <c r="F805" s="13"/>
      <c r="G805" s="18">
        <v>21884339.98</v>
      </c>
      <c r="H805" s="18">
        <v>21194503.949999999</v>
      </c>
      <c r="I805" s="18">
        <v>21884339.98</v>
      </c>
      <c r="J805" s="18">
        <v>21194503.949999999</v>
      </c>
      <c r="K805" s="15">
        <v>112097</v>
      </c>
      <c r="L805" s="13" t="s">
        <v>102</v>
      </c>
      <c r="M805" s="13" t="s">
        <v>103</v>
      </c>
      <c r="N805" s="138" t="s">
        <v>422</v>
      </c>
      <c r="O805" s="138" t="s">
        <v>422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2264</v>
      </c>
      <c r="V805" s="13" t="s">
        <v>2264</v>
      </c>
      <c r="W805" s="59">
        <f>+J805/$W$2</f>
        <v>3.4687081878105304E-4</v>
      </c>
    </row>
    <row r="806" spans="1:23">
      <c r="A806" s="13" t="s">
        <v>405</v>
      </c>
      <c r="B806" s="13" t="s">
        <v>404</v>
      </c>
      <c r="C806" s="138">
        <v>46295</v>
      </c>
      <c r="D806" s="138" t="s">
        <v>424</v>
      </c>
      <c r="E806" s="28">
        <v>0.97126131000000004</v>
      </c>
      <c r="F806" s="13"/>
      <c r="G806" s="18">
        <v>10000000</v>
      </c>
      <c r="H806" s="18">
        <v>9712613.0999999996</v>
      </c>
      <c r="I806" s="18">
        <v>10000000</v>
      </c>
      <c r="J806" s="18">
        <v>9712613.0999999996</v>
      </c>
      <c r="K806" s="15">
        <v>514</v>
      </c>
      <c r="L806" s="13" t="s">
        <v>102</v>
      </c>
      <c r="M806" s="13" t="s">
        <v>103</v>
      </c>
      <c r="N806" s="138" t="s">
        <v>326</v>
      </c>
      <c r="O806" s="138" t="s">
        <v>326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761</v>
      </c>
      <c r="V806" s="13" t="s">
        <v>761</v>
      </c>
      <c r="W806" s="59">
        <f>+J806/$W$2</f>
        <v>1.58957344151505E-4</v>
      </c>
    </row>
    <row r="807" spans="1:23">
      <c r="A807" s="13" t="s">
        <v>375</v>
      </c>
      <c r="B807" s="13" t="s">
        <v>404</v>
      </c>
      <c r="C807" s="138">
        <v>46295</v>
      </c>
      <c r="D807" s="138" t="s">
        <v>424</v>
      </c>
      <c r="E807" s="28">
        <v>0.96847810999999995</v>
      </c>
      <c r="F807" s="13"/>
      <c r="G807" s="18">
        <v>5000000</v>
      </c>
      <c r="H807" s="18">
        <v>4842390.57</v>
      </c>
      <c r="I807" s="18">
        <v>5000000</v>
      </c>
      <c r="J807" s="18">
        <v>4842390.57</v>
      </c>
      <c r="K807" s="15">
        <v>3042</v>
      </c>
      <c r="L807" s="13" t="s">
        <v>102</v>
      </c>
      <c r="M807" s="13" t="s">
        <v>103</v>
      </c>
      <c r="N807" s="138" t="s">
        <v>161</v>
      </c>
      <c r="O807" s="138" t="s">
        <v>161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1697</v>
      </c>
      <c r="V807" s="13" t="s">
        <v>1697</v>
      </c>
      <c r="W807" s="59">
        <f>+J807/$W$2</f>
        <v>7.925092211811593E-5</v>
      </c>
    </row>
    <row r="808" spans="1:23">
      <c r="A808" s="13" t="s">
        <v>285</v>
      </c>
      <c r="B808" s="13" t="s">
        <v>404</v>
      </c>
      <c r="C808" s="138">
        <v>46295</v>
      </c>
      <c r="D808" s="138" t="s">
        <v>424</v>
      </c>
      <c r="E808" s="28">
        <v>0.97312575999999995</v>
      </c>
      <c r="F808" s="13"/>
      <c r="G808" s="18">
        <v>9000000</v>
      </c>
      <c r="H808" s="18">
        <v>8758131.8300000001</v>
      </c>
      <c r="I808" s="18">
        <v>9000000</v>
      </c>
      <c r="J808" s="18">
        <v>8758131.8300000001</v>
      </c>
      <c r="K808" s="15">
        <v>68958373</v>
      </c>
      <c r="L808" s="13" t="s">
        <v>102</v>
      </c>
      <c r="M808" s="13" t="s">
        <v>103</v>
      </c>
      <c r="N808" s="138" t="s">
        <v>342</v>
      </c>
      <c r="O808" s="138" t="s">
        <v>342</v>
      </c>
      <c r="P808" s="28">
        <v>28</v>
      </c>
      <c r="Q808" s="13" t="s">
        <v>54</v>
      </c>
      <c r="R808" s="13" t="s">
        <v>28</v>
      </c>
      <c r="S808" s="13"/>
      <c r="T808" s="13"/>
      <c r="U808" s="13" t="s">
        <v>2410</v>
      </c>
      <c r="V808" s="13" t="s">
        <v>2410</v>
      </c>
      <c r="W808" s="59">
        <f>+J808/$W$2</f>
        <v>1.4333623311172153E-4</v>
      </c>
    </row>
    <row r="809" spans="1:23">
      <c r="A809" s="13" t="s">
        <v>285</v>
      </c>
      <c r="B809" s="13" t="s">
        <v>404</v>
      </c>
      <c r="C809" s="138">
        <v>46295</v>
      </c>
      <c r="D809" s="138" t="s">
        <v>424</v>
      </c>
      <c r="E809" s="28">
        <v>0.97312575999999995</v>
      </c>
      <c r="F809" s="13"/>
      <c r="G809" s="18">
        <v>14000000</v>
      </c>
      <c r="H809" s="18">
        <v>13623760.619999999</v>
      </c>
      <c r="I809" s="18">
        <v>14000000</v>
      </c>
      <c r="J809" s="18">
        <v>13623760.619999999</v>
      </c>
      <c r="K809" s="15">
        <v>198</v>
      </c>
      <c r="L809" s="13" t="s">
        <v>102</v>
      </c>
      <c r="M809" s="13" t="s">
        <v>103</v>
      </c>
      <c r="N809" s="138" t="s">
        <v>342</v>
      </c>
      <c r="O809" s="138" t="s">
        <v>342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2393</v>
      </c>
      <c r="V809" s="13" t="s">
        <v>2393</v>
      </c>
      <c r="W809" s="59">
        <f>+J809/$W$2</f>
        <v>2.2296747365660647E-4</v>
      </c>
    </row>
    <row r="810" spans="1:23">
      <c r="A810" s="13" t="s">
        <v>405</v>
      </c>
      <c r="B810" s="13" t="s">
        <v>404</v>
      </c>
      <c r="C810" s="138">
        <v>46295</v>
      </c>
      <c r="D810" s="138" t="s">
        <v>424</v>
      </c>
      <c r="E810" s="28">
        <v>0.97126137000000001</v>
      </c>
      <c r="F810" s="13"/>
      <c r="G810" s="18">
        <v>3300000</v>
      </c>
      <c r="H810" s="18">
        <v>3205162.53</v>
      </c>
      <c r="I810" s="18">
        <v>3300000</v>
      </c>
      <c r="J810" s="18">
        <v>3205162.53</v>
      </c>
      <c r="K810" s="15">
        <v>921</v>
      </c>
      <c r="L810" s="13" t="s">
        <v>102</v>
      </c>
      <c r="M810" s="13" t="s">
        <v>103</v>
      </c>
      <c r="N810" s="138" t="s">
        <v>422</v>
      </c>
      <c r="O810" s="138" t="s">
        <v>422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2258</v>
      </c>
      <c r="V810" s="13" t="s">
        <v>2258</v>
      </c>
      <c r="W810" s="59">
        <f>+J810/$W$2</f>
        <v>5.2455926957773952E-5</v>
      </c>
    </row>
    <row r="811" spans="1:23">
      <c r="A811" s="13" t="s">
        <v>1744</v>
      </c>
      <c r="B811" s="13" t="s">
        <v>404</v>
      </c>
      <c r="C811" s="138">
        <v>46295</v>
      </c>
      <c r="D811" s="138" t="s">
        <v>424</v>
      </c>
      <c r="E811" s="28">
        <v>0.96940413999999997</v>
      </c>
      <c r="F811" s="13"/>
      <c r="G811" s="18">
        <v>2097348.4</v>
      </c>
      <c r="H811" s="18">
        <v>2033178.23</v>
      </c>
      <c r="I811" s="18">
        <v>2097348.4</v>
      </c>
      <c r="J811" s="18">
        <v>2033178.23</v>
      </c>
      <c r="K811" s="15">
        <v>76510843</v>
      </c>
      <c r="L811" s="13" t="s">
        <v>102</v>
      </c>
      <c r="M811" s="13" t="s">
        <v>103</v>
      </c>
      <c r="N811" s="138" t="s">
        <v>387</v>
      </c>
      <c r="O811" s="138" t="s">
        <v>387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1725</v>
      </c>
      <c r="V811" s="13" t="s">
        <v>1725</v>
      </c>
      <c r="W811" s="59">
        <f>+J811/$W$2</f>
        <v>3.3275145246695533E-5</v>
      </c>
    </row>
    <row r="812" spans="1:23">
      <c r="A812" s="13" t="s">
        <v>405</v>
      </c>
      <c r="B812" s="13" t="s">
        <v>404</v>
      </c>
      <c r="C812" s="138">
        <v>46295</v>
      </c>
      <c r="D812" s="138" t="s">
        <v>424</v>
      </c>
      <c r="E812" s="28">
        <v>0.97126131999999998</v>
      </c>
      <c r="F812" s="13"/>
      <c r="G812" s="18">
        <v>10000000</v>
      </c>
      <c r="H812" s="18">
        <v>9712613.1899999995</v>
      </c>
      <c r="I812" s="18">
        <v>10000000</v>
      </c>
      <c r="J812" s="18">
        <v>9712613.1899999995</v>
      </c>
      <c r="K812" s="15">
        <v>581</v>
      </c>
      <c r="L812" s="13" t="s">
        <v>102</v>
      </c>
      <c r="M812" s="13" t="s">
        <v>103</v>
      </c>
      <c r="N812" s="138" t="s">
        <v>164</v>
      </c>
      <c r="O812" s="138" t="s">
        <v>164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872</v>
      </c>
      <c r="V812" s="13" t="s">
        <v>872</v>
      </c>
      <c r="W812" s="59">
        <f>+J812/$W$2</f>
        <v>1.5895734562445166E-4</v>
      </c>
    </row>
    <row r="813" spans="1:23">
      <c r="A813" s="13" t="s">
        <v>2212</v>
      </c>
      <c r="B813" s="13" t="s">
        <v>404</v>
      </c>
      <c r="C813" s="138">
        <v>46295</v>
      </c>
      <c r="D813" s="138" t="s">
        <v>424</v>
      </c>
      <c r="E813" s="28">
        <v>0.97312573999999996</v>
      </c>
      <c r="F813" s="13"/>
      <c r="G813" s="18">
        <v>19222299.34</v>
      </c>
      <c r="H813" s="18">
        <v>18705714.23</v>
      </c>
      <c r="I813" s="18">
        <v>19222299.34</v>
      </c>
      <c r="J813" s="18">
        <v>18705714.23</v>
      </c>
      <c r="K813" s="15">
        <v>10537631</v>
      </c>
      <c r="L813" s="13" t="s">
        <v>102</v>
      </c>
      <c r="M813" s="13" t="s">
        <v>103</v>
      </c>
      <c r="N813" s="138" t="s">
        <v>639</v>
      </c>
      <c r="O813" s="138" t="s">
        <v>639</v>
      </c>
      <c r="P813" s="28">
        <v>28</v>
      </c>
      <c r="Q813" s="13" t="s">
        <v>54</v>
      </c>
      <c r="R813" s="13" t="s">
        <v>28</v>
      </c>
      <c r="S813" s="13"/>
      <c r="T813" s="13"/>
      <c r="U813" s="13" t="s">
        <v>2188</v>
      </c>
      <c r="V813" s="13" t="s">
        <v>2188</v>
      </c>
      <c r="W813" s="59">
        <f>+J813/$W$2</f>
        <v>3.0613910220080883E-4</v>
      </c>
    </row>
    <row r="814" spans="1:23">
      <c r="A814" s="13" t="s">
        <v>406</v>
      </c>
      <c r="B814" s="13" t="s">
        <v>404</v>
      </c>
      <c r="C814" s="138">
        <v>46295</v>
      </c>
      <c r="D814" s="138" t="s">
        <v>424</v>
      </c>
      <c r="E814" s="28">
        <v>0.96663149000000004</v>
      </c>
      <c r="F814" s="13"/>
      <c r="G814" s="18">
        <v>700000000</v>
      </c>
      <c r="H814" s="18">
        <v>676642045.94000006</v>
      </c>
      <c r="I814" s="18">
        <v>700000000</v>
      </c>
      <c r="J814" s="18">
        <v>676642045.94000006</v>
      </c>
      <c r="K814" s="15">
        <v>69061605</v>
      </c>
      <c r="L814" s="13" t="s">
        <v>102</v>
      </c>
      <c r="M814" s="13" t="s">
        <v>103</v>
      </c>
      <c r="N814" s="138" t="s">
        <v>170</v>
      </c>
      <c r="O814" s="138" t="s">
        <v>170</v>
      </c>
      <c r="P814" s="28">
        <v>35</v>
      </c>
      <c r="Q814" s="13" t="s">
        <v>54</v>
      </c>
      <c r="R814" s="13" t="s">
        <v>28</v>
      </c>
      <c r="S814" s="13"/>
      <c r="T814" s="13"/>
      <c r="U814" s="13" t="s">
        <v>2449</v>
      </c>
      <c r="V814" s="13" t="s">
        <v>2449</v>
      </c>
      <c r="W814" s="59">
        <f>+J814/$W$2</f>
        <v>1.1073973755205285E-2</v>
      </c>
    </row>
    <row r="815" spans="1:23">
      <c r="A815" s="13" t="s">
        <v>218</v>
      </c>
      <c r="B815" s="13" t="s">
        <v>404</v>
      </c>
      <c r="C815" s="138">
        <v>46295</v>
      </c>
      <c r="D815" s="138" t="s">
        <v>424</v>
      </c>
      <c r="E815" s="28">
        <v>0.96847806000000003</v>
      </c>
      <c r="F815" s="13"/>
      <c r="G815" s="18">
        <v>2500000</v>
      </c>
      <c r="H815" s="18">
        <v>2421195.14</v>
      </c>
      <c r="I815" s="18">
        <v>2500000</v>
      </c>
      <c r="J815" s="18">
        <v>2421195.14</v>
      </c>
      <c r="K815" s="15">
        <v>1202</v>
      </c>
      <c r="L815" s="13" t="s">
        <v>102</v>
      </c>
      <c r="M815" s="13" t="s">
        <v>103</v>
      </c>
      <c r="N815" s="138" t="s">
        <v>156</v>
      </c>
      <c r="O815" s="138" t="s">
        <v>156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767</v>
      </c>
      <c r="V815" s="13" t="s">
        <v>767</v>
      </c>
      <c r="W815" s="59">
        <f>+J815/$W$2</f>
        <v>3.9625458685977243E-5</v>
      </c>
    </row>
    <row r="816" spans="1:23">
      <c r="A816" s="13" t="s">
        <v>144</v>
      </c>
      <c r="B816" s="13" t="s">
        <v>404</v>
      </c>
      <c r="C816" s="138">
        <v>46295</v>
      </c>
      <c r="D816" s="138" t="s">
        <v>424</v>
      </c>
      <c r="E816" s="28">
        <v>0.96479181999999997</v>
      </c>
      <c r="F816" s="13"/>
      <c r="G816" s="18">
        <v>30000000</v>
      </c>
      <c r="H816" s="18">
        <v>28943754.539999999</v>
      </c>
      <c r="I816" s="18">
        <v>30000000</v>
      </c>
      <c r="J816" s="18">
        <v>28943754.539999999</v>
      </c>
      <c r="K816" s="15">
        <v>4355</v>
      </c>
      <c r="L816" s="13" t="s">
        <v>102</v>
      </c>
      <c r="M816" s="13" t="s">
        <v>103</v>
      </c>
      <c r="N816" s="138" t="s">
        <v>163</v>
      </c>
      <c r="O816" s="138" t="s">
        <v>163</v>
      </c>
      <c r="P816" s="28">
        <v>37</v>
      </c>
      <c r="Q816" s="13" t="s">
        <v>54</v>
      </c>
      <c r="R816" s="13" t="s">
        <v>28</v>
      </c>
      <c r="S816" s="13"/>
      <c r="T816" s="13"/>
      <c r="U816" s="13" t="s">
        <v>1143</v>
      </c>
      <c r="V816" s="13" t="s">
        <v>1143</v>
      </c>
      <c r="W816" s="59">
        <f>+J816/$W$2</f>
        <v>4.7369562692160209E-4</v>
      </c>
    </row>
    <row r="817" spans="1:29">
      <c r="A817" s="13" t="s">
        <v>743</v>
      </c>
      <c r="B817" s="13" t="s">
        <v>404</v>
      </c>
      <c r="C817" s="138">
        <v>46295</v>
      </c>
      <c r="D817" s="138" t="s">
        <v>424</v>
      </c>
      <c r="E817" s="28">
        <v>0.96940409999999999</v>
      </c>
      <c r="F817" s="13"/>
      <c r="G817" s="18">
        <v>30000000</v>
      </c>
      <c r="H817" s="18">
        <v>29082123.079999998</v>
      </c>
      <c r="I817" s="18">
        <v>30000000</v>
      </c>
      <c r="J817" s="18">
        <v>29082123.079999998</v>
      </c>
      <c r="K817" s="15">
        <v>29635892</v>
      </c>
      <c r="L817" s="13" t="s">
        <v>102</v>
      </c>
      <c r="M817" s="13" t="s">
        <v>103</v>
      </c>
      <c r="N817" s="138" t="s">
        <v>421</v>
      </c>
      <c r="O817" s="138" t="s">
        <v>421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1386</v>
      </c>
      <c r="V817" s="13" t="s">
        <v>1386</v>
      </c>
      <c r="W817" s="59">
        <f>+J817/$W$2</f>
        <v>4.7596017667830159E-4</v>
      </c>
    </row>
    <row r="818" spans="1:29">
      <c r="A818" s="13" t="s">
        <v>2215</v>
      </c>
      <c r="B818" s="13" t="s">
        <v>404</v>
      </c>
      <c r="C818" s="138">
        <v>46295</v>
      </c>
      <c r="D818" s="138" t="s">
        <v>424</v>
      </c>
      <c r="E818" s="28">
        <v>0.97312573999999996</v>
      </c>
      <c r="F818" s="13"/>
      <c r="G818" s="18">
        <v>12000000</v>
      </c>
      <c r="H818" s="18">
        <v>11677508.869999999</v>
      </c>
      <c r="I818" s="18">
        <v>12000000</v>
      </c>
      <c r="J818" s="18">
        <v>11677508.869999999</v>
      </c>
      <c r="K818" s="15">
        <v>29830739</v>
      </c>
      <c r="L818" s="13" t="s">
        <v>102</v>
      </c>
      <c r="M818" s="13" t="s">
        <v>103</v>
      </c>
      <c r="N818" s="138" t="s">
        <v>639</v>
      </c>
      <c r="O818" s="138" t="s">
        <v>639</v>
      </c>
      <c r="P818" s="28">
        <v>28</v>
      </c>
      <c r="Q818" s="13" t="s">
        <v>54</v>
      </c>
      <c r="R818" s="13" t="s">
        <v>28</v>
      </c>
      <c r="S818" s="13"/>
      <c r="T818" s="13"/>
      <c r="U818" s="13" t="s">
        <v>2170</v>
      </c>
      <c r="V818" s="13" t="s">
        <v>2170</v>
      </c>
      <c r="W818" s="59">
        <f>+J818/$W$2</f>
        <v>1.9111497360899119E-4</v>
      </c>
    </row>
    <row r="819" spans="1:29">
      <c r="A819" s="13" t="s">
        <v>356</v>
      </c>
      <c r="B819" s="13" t="s">
        <v>404</v>
      </c>
      <c r="C819" s="138">
        <v>46295</v>
      </c>
      <c r="D819" s="138" t="s">
        <v>424</v>
      </c>
      <c r="E819" s="28">
        <v>0.96940409999999999</v>
      </c>
      <c r="F819" s="13"/>
      <c r="G819" s="18">
        <v>40000000</v>
      </c>
      <c r="H819" s="18">
        <v>38776164.039999999</v>
      </c>
      <c r="I819" s="18">
        <v>40000000</v>
      </c>
      <c r="J819" s="18">
        <v>38776164.039999999</v>
      </c>
      <c r="K819" s="15">
        <v>13662792</v>
      </c>
      <c r="L819" s="13" t="s">
        <v>102</v>
      </c>
      <c r="M819" s="13" t="s">
        <v>103</v>
      </c>
      <c r="N819" s="138" t="s">
        <v>338</v>
      </c>
      <c r="O819" s="138" t="s">
        <v>338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1005</v>
      </c>
      <c r="V819" s="13" t="s">
        <v>1005</v>
      </c>
      <c r="W819" s="59">
        <f>+J819/$W$2</f>
        <v>6.3461356781333055E-4</v>
      </c>
    </row>
    <row r="820" spans="1:29">
      <c r="A820" s="13" t="s">
        <v>2224</v>
      </c>
      <c r="B820" s="13" t="s">
        <v>404</v>
      </c>
      <c r="C820" s="138">
        <v>46295</v>
      </c>
      <c r="D820" s="138" t="s">
        <v>424</v>
      </c>
      <c r="E820" s="28">
        <v>0.97312573999999996</v>
      </c>
      <c r="F820" s="13"/>
      <c r="G820" s="18">
        <v>5225717</v>
      </c>
      <c r="H820" s="18">
        <v>5085279.72</v>
      </c>
      <c r="I820" s="18">
        <v>5225717</v>
      </c>
      <c r="J820" s="18">
        <v>5085279.72</v>
      </c>
      <c r="K820" s="15">
        <v>3172</v>
      </c>
      <c r="L820" s="13" t="s">
        <v>102</v>
      </c>
      <c r="M820" s="13" t="s">
        <v>103</v>
      </c>
      <c r="N820" s="138" t="s">
        <v>639</v>
      </c>
      <c r="O820" s="138" t="s">
        <v>639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2190</v>
      </c>
      <c r="V820" s="13" t="s">
        <v>2190</v>
      </c>
      <c r="W820" s="59">
        <f>+J820/$W$2</f>
        <v>8.3226063906397026E-5</v>
      </c>
    </row>
    <row r="821" spans="1:29">
      <c r="A821" s="13" t="s">
        <v>2518</v>
      </c>
      <c r="B821" s="13" t="s">
        <v>404</v>
      </c>
      <c r="C821" s="138">
        <v>46295</v>
      </c>
      <c r="D821" s="138" t="s">
        <v>424</v>
      </c>
      <c r="E821" s="28">
        <v>0.96847815999999998</v>
      </c>
      <c r="F821" s="13"/>
      <c r="G821" s="18">
        <v>42880531.420000002</v>
      </c>
      <c r="H821" s="18">
        <v>41528858.200000003</v>
      </c>
      <c r="I821" s="18">
        <v>42880531.420000002</v>
      </c>
      <c r="J821" s="18">
        <v>41528858.200000003</v>
      </c>
      <c r="K821" s="15">
        <v>68960995</v>
      </c>
      <c r="L821" s="13" t="s">
        <v>102</v>
      </c>
      <c r="M821" s="13" t="s">
        <v>103</v>
      </c>
      <c r="N821" s="138" t="s">
        <v>170</v>
      </c>
      <c r="O821" s="138" t="s">
        <v>170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2497</v>
      </c>
      <c r="V821" s="13" t="s">
        <v>2497</v>
      </c>
      <c r="W821" s="59">
        <f>+J821/$W$2</f>
        <v>6.7966436397188016E-4</v>
      </c>
    </row>
    <row r="822" spans="1:29">
      <c r="A822" s="13" t="s">
        <v>523</v>
      </c>
      <c r="B822" s="13" t="s">
        <v>404</v>
      </c>
      <c r="C822" s="138">
        <v>46295</v>
      </c>
      <c r="D822" s="138" t="s">
        <v>424</v>
      </c>
      <c r="E822" s="28">
        <v>0.97219266000000004</v>
      </c>
      <c r="F822" s="13"/>
      <c r="G822" s="18">
        <v>10000000</v>
      </c>
      <c r="H822" s="18">
        <v>9721926.5700000003</v>
      </c>
      <c r="I822" s="18">
        <v>10000000</v>
      </c>
      <c r="J822" s="18">
        <v>9721926.5700000003</v>
      </c>
      <c r="K822" s="15">
        <v>3487824</v>
      </c>
      <c r="L822" s="13" t="s">
        <v>102</v>
      </c>
      <c r="M822" s="13" t="s">
        <v>103</v>
      </c>
      <c r="N822" s="138" t="s">
        <v>288</v>
      </c>
      <c r="O822" s="138" t="s">
        <v>288</v>
      </c>
      <c r="P822" s="28">
        <v>29</v>
      </c>
      <c r="Q822" s="13" t="s">
        <v>54</v>
      </c>
      <c r="R822" s="13" t="s">
        <v>28</v>
      </c>
      <c r="S822" s="13"/>
      <c r="T822" s="13"/>
      <c r="U822" s="13" t="s">
        <v>698</v>
      </c>
      <c r="V822" s="13" t="s">
        <v>698</v>
      </c>
      <c r="W822" s="59">
        <f>+J822/$W$2</f>
        <v>1.5910976909016902E-4</v>
      </c>
    </row>
    <row r="823" spans="1:29">
      <c r="A823" s="13" t="s">
        <v>1456</v>
      </c>
      <c r="B823" s="13" t="s">
        <v>404</v>
      </c>
      <c r="C823" s="138">
        <v>46295</v>
      </c>
      <c r="D823" s="138" t="s">
        <v>424</v>
      </c>
      <c r="E823" s="28">
        <v>0.97126144999999997</v>
      </c>
      <c r="F823" s="13"/>
      <c r="G823" s="18">
        <v>830000</v>
      </c>
      <c r="H823" s="18">
        <v>806147</v>
      </c>
      <c r="I823" s="18">
        <v>830000</v>
      </c>
      <c r="J823" s="18">
        <v>806147</v>
      </c>
      <c r="K823" s="15">
        <v>90</v>
      </c>
      <c r="L823" s="13" t="s">
        <v>102</v>
      </c>
      <c r="M823" s="13" t="s">
        <v>103</v>
      </c>
      <c r="N823" s="138" t="s">
        <v>343</v>
      </c>
      <c r="O823" s="138" t="s">
        <v>343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1458</v>
      </c>
      <c r="V823" s="13" t="s">
        <v>1458</v>
      </c>
      <c r="W823" s="59">
        <f>+J823/$W$2</f>
        <v>1.3193461409031448E-5</v>
      </c>
    </row>
    <row r="824" spans="1:29">
      <c r="A824" s="13" t="s">
        <v>1464</v>
      </c>
      <c r="B824" s="13" t="s">
        <v>404</v>
      </c>
      <c r="C824" s="138">
        <v>46295</v>
      </c>
      <c r="D824" s="138" t="s">
        <v>424</v>
      </c>
      <c r="E824" s="28">
        <v>0.97126142999999998</v>
      </c>
      <c r="F824" s="13"/>
      <c r="G824" s="18">
        <v>2500000</v>
      </c>
      <c r="H824" s="18">
        <v>2428153.5699999998</v>
      </c>
      <c r="I824" s="18">
        <v>2500000</v>
      </c>
      <c r="J824" s="18">
        <v>2428153.5699999998</v>
      </c>
      <c r="K824" s="15">
        <v>383</v>
      </c>
      <c r="L824" s="13" t="s">
        <v>102</v>
      </c>
      <c r="M824" s="13" t="s">
        <v>103</v>
      </c>
      <c r="N824" s="138" t="s">
        <v>343</v>
      </c>
      <c r="O824" s="138" t="s">
        <v>343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1466</v>
      </c>
      <c r="V824" s="13" t="s">
        <v>1466</v>
      </c>
      <c r="W824" s="59">
        <f>+J824/$W$2</f>
        <v>3.9739340865868063E-5</v>
      </c>
      <c r="AC824" s="56"/>
    </row>
    <row r="825" spans="1:29">
      <c r="A825" s="13" t="s">
        <v>1668</v>
      </c>
      <c r="B825" s="13" t="s">
        <v>404</v>
      </c>
      <c r="C825" s="138">
        <v>46295</v>
      </c>
      <c r="D825" s="138" t="s">
        <v>424</v>
      </c>
      <c r="E825" s="28">
        <v>0.97126135000000002</v>
      </c>
      <c r="F825" s="13"/>
      <c r="G825" s="18">
        <v>2870567.11</v>
      </c>
      <c r="H825" s="18">
        <v>2788070.89</v>
      </c>
      <c r="I825" s="18">
        <v>2870567.11</v>
      </c>
      <c r="J825" s="18">
        <v>2788070.89</v>
      </c>
      <c r="K825" s="15">
        <v>107</v>
      </c>
      <c r="L825" s="13" t="s">
        <v>102</v>
      </c>
      <c r="M825" s="13" t="s">
        <v>103</v>
      </c>
      <c r="N825" s="138" t="s">
        <v>383</v>
      </c>
      <c r="O825" s="138" t="s">
        <v>383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1651</v>
      </c>
      <c r="V825" s="13" t="s">
        <v>1651</v>
      </c>
      <c r="W825" s="59">
        <f>+J825/$W$2</f>
        <v>4.5629774337507878E-5</v>
      </c>
    </row>
    <row r="826" spans="1:29">
      <c r="A826" s="13" t="s">
        <v>1905</v>
      </c>
      <c r="B826" s="13" t="s">
        <v>404</v>
      </c>
      <c r="C826" s="138">
        <v>46295</v>
      </c>
      <c r="D826" s="138" t="s">
        <v>424</v>
      </c>
      <c r="E826" s="28">
        <v>0.97126144000000003</v>
      </c>
      <c r="F826" s="13"/>
      <c r="G826" s="18">
        <v>555886.5</v>
      </c>
      <c r="H826" s="18">
        <v>539911.12</v>
      </c>
      <c r="I826" s="18">
        <v>555886.5</v>
      </c>
      <c r="J826" s="18">
        <v>539911.12</v>
      </c>
      <c r="K826" s="15">
        <v>113284</v>
      </c>
      <c r="L826" s="13" t="s">
        <v>102</v>
      </c>
      <c r="M826" s="13" t="s">
        <v>103</v>
      </c>
      <c r="N826" s="138" t="s">
        <v>385</v>
      </c>
      <c r="O826" s="138" t="s">
        <v>385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1886</v>
      </c>
      <c r="V826" s="13" t="s">
        <v>1886</v>
      </c>
      <c r="W826" s="59">
        <f>+J826/$W$2</f>
        <v>8.8362253112979983E-6</v>
      </c>
    </row>
    <row r="827" spans="1:29">
      <c r="A827" s="13" t="s">
        <v>1805</v>
      </c>
      <c r="B827" s="13" t="s">
        <v>404</v>
      </c>
      <c r="C827" s="138">
        <v>46295</v>
      </c>
      <c r="D827" s="138" t="s">
        <v>424</v>
      </c>
      <c r="E827" s="28">
        <v>0.97126137000000001</v>
      </c>
      <c r="F827" s="13"/>
      <c r="G827" s="18">
        <v>1500000</v>
      </c>
      <c r="H827" s="18">
        <v>1456892.05</v>
      </c>
      <c r="I827" s="18">
        <v>1500000</v>
      </c>
      <c r="J827" s="18">
        <v>1456892.05</v>
      </c>
      <c r="K827" s="15">
        <v>1971</v>
      </c>
      <c r="L827" s="13" t="s">
        <v>102</v>
      </c>
      <c r="M827" s="13" t="s">
        <v>103</v>
      </c>
      <c r="N827" s="138" t="s">
        <v>384</v>
      </c>
      <c r="O827" s="138" t="s">
        <v>384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1792</v>
      </c>
      <c r="V827" s="13" t="s">
        <v>1792</v>
      </c>
      <c r="W827" s="59">
        <f>+J827/$W$2</f>
        <v>2.3843603013842038E-5</v>
      </c>
    </row>
    <row r="828" spans="1:29">
      <c r="A828" s="13" t="s">
        <v>1349</v>
      </c>
      <c r="B828" s="13" t="s">
        <v>404</v>
      </c>
      <c r="C828" s="138">
        <v>46296</v>
      </c>
      <c r="D828" s="138" t="s">
        <v>424</v>
      </c>
      <c r="E828" s="28">
        <v>0.97048659999999998</v>
      </c>
      <c r="F828" s="13"/>
      <c r="G828" s="18">
        <v>2000000</v>
      </c>
      <c r="H828" s="18">
        <v>1940973.2</v>
      </c>
      <c r="I828" s="18">
        <v>2000000</v>
      </c>
      <c r="J828" s="18">
        <v>1940973.2</v>
      </c>
      <c r="K828" s="15">
        <v>9805</v>
      </c>
      <c r="L828" s="13" t="s">
        <v>102</v>
      </c>
      <c r="M828" s="13" t="s">
        <v>103</v>
      </c>
      <c r="N828" s="138" t="s">
        <v>173</v>
      </c>
      <c r="O828" s="138" t="s">
        <v>173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2004</v>
      </c>
      <c r="V828" s="13" t="s">
        <v>2004</v>
      </c>
      <c r="W828" s="59">
        <f>+J828/$W$2</f>
        <v>3.1766110908015878E-5</v>
      </c>
    </row>
    <row r="829" spans="1:29">
      <c r="A829" s="13" t="s">
        <v>916</v>
      </c>
      <c r="B829" s="13" t="s">
        <v>404</v>
      </c>
      <c r="C829" s="138">
        <v>46296</v>
      </c>
      <c r="D829" s="138" t="s">
        <v>424</v>
      </c>
      <c r="E829" s="28">
        <v>0.97048657000000005</v>
      </c>
      <c r="F829" s="13"/>
      <c r="G829" s="18">
        <v>100000000</v>
      </c>
      <c r="H829" s="18">
        <v>97048657.459999993</v>
      </c>
      <c r="I829" s="18">
        <v>100000000</v>
      </c>
      <c r="J829" s="18">
        <v>97048657.459999993</v>
      </c>
      <c r="K829" s="15">
        <v>90003962</v>
      </c>
      <c r="L829" s="13" t="s">
        <v>102</v>
      </c>
      <c r="M829" s="13" t="s">
        <v>103</v>
      </c>
      <c r="N829" s="138" t="s">
        <v>341</v>
      </c>
      <c r="O829" s="138" t="s">
        <v>341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1966</v>
      </c>
      <c r="V829" s="13" t="s">
        <v>1966</v>
      </c>
      <c r="W829" s="59">
        <f>+J829/$W$2</f>
        <v>1.5883055038309662E-3</v>
      </c>
    </row>
    <row r="830" spans="1:29">
      <c r="A830" s="13" t="s">
        <v>302</v>
      </c>
      <c r="B830" s="13" t="s">
        <v>404</v>
      </c>
      <c r="C830" s="138">
        <v>46296</v>
      </c>
      <c r="D830" s="138" t="s">
        <v>424</v>
      </c>
      <c r="E830" s="28">
        <v>0.96573628</v>
      </c>
      <c r="F830" s="13"/>
      <c r="G830" s="18">
        <v>1500000</v>
      </c>
      <c r="H830" s="18">
        <v>1448604.42</v>
      </c>
      <c r="I830" s="18">
        <v>1500000</v>
      </c>
      <c r="J830" s="18">
        <v>1448604.42</v>
      </c>
      <c r="K830" s="15">
        <v>40768642</v>
      </c>
      <c r="L830" s="13" t="s">
        <v>102</v>
      </c>
      <c r="M830" s="13" t="s">
        <v>103</v>
      </c>
      <c r="N830" s="138" t="s">
        <v>416</v>
      </c>
      <c r="O830" s="138" t="s">
        <v>416</v>
      </c>
      <c r="P830" s="28">
        <v>35</v>
      </c>
      <c r="Q830" s="13" t="s">
        <v>54</v>
      </c>
      <c r="R830" s="13" t="s">
        <v>28</v>
      </c>
      <c r="S830" s="13"/>
      <c r="T830" s="13"/>
      <c r="U830" s="13" t="s">
        <v>2059</v>
      </c>
      <c r="V830" s="13" t="s">
        <v>2059</v>
      </c>
      <c r="W830" s="59">
        <f>+J830/$W$2</f>
        <v>2.3707967048469303E-5</v>
      </c>
      <c r="AC830" s="56"/>
    </row>
    <row r="831" spans="1:29">
      <c r="A831" s="13" t="s">
        <v>405</v>
      </c>
      <c r="B831" s="13" t="s">
        <v>404</v>
      </c>
      <c r="C831" s="138">
        <v>46296</v>
      </c>
      <c r="D831" s="138" t="s">
        <v>424</v>
      </c>
      <c r="E831" s="28">
        <v>0.96858107000000004</v>
      </c>
      <c r="F831" s="13"/>
      <c r="G831" s="18">
        <v>2000000</v>
      </c>
      <c r="H831" s="18">
        <v>1937162.14</v>
      </c>
      <c r="I831" s="18">
        <v>2000000</v>
      </c>
      <c r="J831" s="18">
        <v>1937162.14</v>
      </c>
      <c r="K831" s="15">
        <v>1007</v>
      </c>
      <c r="L831" s="13" t="s">
        <v>102</v>
      </c>
      <c r="M831" s="13" t="s">
        <v>103</v>
      </c>
      <c r="N831" s="138" t="s">
        <v>345</v>
      </c>
      <c r="O831" s="138" t="s">
        <v>345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2429</v>
      </c>
      <c r="V831" s="13" t="s">
        <v>2429</v>
      </c>
      <c r="W831" s="59">
        <f>+J831/$W$2</f>
        <v>3.1703738818263632E-5</v>
      </c>
    </row>
    <row r="832" spans="1:29">
      <c r="A832" s="13" t="s">
        <v>565</v>
      </c>
      <c r="B832" s="13" t="s">
        <v>404</v>
      </c>
      <c r="C832" s="138">
        <v>46296</v>
      </c>
      <c r="D832" s="138" t="s">
        <v>424</v>
      </c>
      <c r="E832" s="28">
        <v>0.97528400000000004</v>
      </c>
      <c r="F832" s="13"/>
      <c r="G832" s="18">
        <v>32000000</v>
      </c>
      <c r="H832" s="18">
        <v>31209088.140000001</v>
      </c>
      <c r="I832" s="18">
        <v>32000000</v>
      </c>
      <c r="J832" s="18">
        <v>31209088.140000001</v>
      </c>
      <c r="K832" s="15">
        <v>5311</v>
      </c>
      <c r="L832" s="13" t="s">
        <v>102</v>
      </c>
      <c r="M832" s="13" t="s">
        <v>103</v>
      </c>
      <c r="N832" s="138" t="s">
        <v>346</v>
      </c>
      <c r="O832" s="138" t="s">
        <v>346</v>
      </c>
      <c r="P832" s="28">
        <v>25</v>
      </c>
      <c r="Q832" s="13" t="s">
        <v>54</v>
      </c>
      <c r="R832" s="13" t="s">
        <v>28</v>
      </c>
      <c r="S832" s="13"/>
      <c r="T832" s="13"/>
      <c r="U832" s="13" t="s">
        <v>1520</v>
      </c>
      <c r="V832" s="13" t="s">
        <v>1520</v>
      </c>
      <c r="W832" s="59">
        <f>+J832/$W$2</f>
        <v>5.1077024411943616E-4</v>
      </c>
    </row>
    <row r="833" spans="1:29">
      <c r="A833" s="13" t="s">
        <v>285</v>
      </c>
      <c r="B833" s="13" t="s">
        <v>404</v>
      </c>
      <c r="C833" s="138">
        <v>46296</v>
      </c>
      <c r="D833" s="138" t="s">
        <v>424</v>
      </c>
      <c r="E833" s="28">
        <v>0.97528391999999997</v>
      </c>
      <c r="F833" s="13"/>
      <c r="G833" s="18">
        <v>10000000</v>
      </c>
      <c r="H833" s="18">
        <v>9752839.2200000007</v>
      </c>
      <c r="I833" s="18">
        <v>10000000</v>
      </c>
      <c r="J833" s="18">
        <v>9752839.2200000007</v>
      </c>
      <c r="K833" s="15">
        <v>188</v>
      </c>
      <c r="L833" s="13" t="s">
        <v>102</v>
      </c>
      <c r="M833" s="13" t="s">
        <v>103</v>
      </c>
      <c r="N833" s="138" t="s">
        <v>339</v>
      </c>
      <c r="O833" s="138" t="s">
        <v>339</v>
      </c>
      <c r="P833" s="28">
        <v>25</v>
      </c>
      <c r="Q833" s="13" t="s">
        <v>54</v>
      </c>
      <c r="R833" s="13" t="s">
        <v>28</v>
      </c>
      <c r="S833" s="13"/>
      <c r="T833" s="13"/>
      <c r="U833" s="13" t="s">
        <v>1557</v>
      </c>
      <c r="V833" s="13" t="s">
        <v>1557</v>
      </c>
      <c r="W833" s="59">
        <f>+J833/$W$2</f>
        <v>1.596156878057704E-4</v>
      </c>
      <c r="AC833" s="56"/>
    </row>
    <row r="834" spans="1:29">
      <c r="A834" s="13" t="s">
        <v>405</v>
      </c>
      <c r="B834" s="13" t="s">
        <v>404</v>
      </c>
      <c r="C834" s="138">
        <v>46296</v>
      </c>
      <c r="D834" s="138" t="s">
        <v>424</v>
      </c>
      <c r="E834" s="28">
        <v>0.97048663999999996</v>
      </c>
      <c r="F834" s="13"/>
      <c r="G834" s="18">
        <v>10000000</v>
      </c>
      <c r="H834" s="18">
        <v>9704866.3599999994</v>
      </c>
      <c r="I834" s="18">
        <v>10000000</v>
      </c>
      <c r="J834" s="18">
        <v>9704866.3599999994</v>
      </c>
      <c r="K834" s="15">
        <v>675</v>
      </c>
      <c r="L834" s="13" t="s">
        <v>102</v>
      </c>
      <c r="M834" s="13" t="s">
        <v>103</v>
      </c>
      <c r="N834" s="138" t="s">
        <v>312</v>
      </c>
      <c r="O834" s="138" t="s">
        <v>312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1080</v>
      </c>
      <c r="V834" s="13" t="s">
        <v>1080</v>
      </c>
      <c r="W834" s="59">
        <f>+J834/$W$2</f>
        <v>1.5883056043186603E-4</v>
      </c>
    </row>
    <row r="835" spans="1:29">
      <c r="A835" s="13" t="s">
        <v>405</v>
      </c>
      <c r="B835" s="13" t="s">
        <v>404</v>
      </c>
      <c r="C835" s="138">
        <v>46296</v>
      </c>
      <c r="D835" s="138" t="s">
        <v>424</v>
      </c>
      <c r="E835" s="28">
        <v>0.97048661999999997</v>
      </c>
      <c r="F835" s="13"/>
      <c r="G835" s="18">
        <v>5000000</v>
      </c>
      <c r="H835" s="18">
        <v>4852433.09</v>
      </c>
      <c r="I835" s="18">
        <v>5000000</v>
      </c>
      <c r="J835" s="18">
        <v>4852433.09</v>
      </c>
      <c r="K835" s="15">
        <v>784</v>
      </c>
      <c r="L835" s="13" t="s">
        <v>102</v>
      </c>
      <c r="M835" s="13" t="s">
        <v>103</v>
      </c>
      <c r="N835" s="138" t="s">
        <v>421</v>
      </c>
      <c r="O835" s="138" t="s">
        <v>421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1410</v>
      </c>
      <c r="V835" s="13" t="s">
        <v>1410</v>
      </c>
      <c r="W835" s="59">
        <f>+J835/$W$2</f>
        <v>7.9415278742986359E-5</v>
      </c>
    </row>
    <row r="836" spans="1:29">
      <c r="A836" s="13" t="s">
        <v>405</v>
      </c>
      <c r="B836" s="13" t="s">
        <v>404</v>
      </c>
      <c r="C836" s="138">
        <v>46296</v>
      </c>
      <c r="D836" s="138" t="s">
        <v>424</v>
      </c>
      <c r="E836" s="28">
        <v>0.97048674999999995</v>
      </c>
      <c r="F836" s="13"/>
      <c r="G836" s="18">
        <v>2500000</v>
      </c>
      <c r="H836" s="18">
        <v>2426216.87</v>
      </c>
      <c r="I836" s="18">
        <v>2500000</v>
      </c>
      <c r="J836" s="18">
        <v>2426216.87</v>
      </c>
      <c r="K836" s="15">
        <v>902</v>
      </c>
      <c r="L836" s="13" t="s">
        <v>102</v>
      </c>
      <c r="M836" s="13" t="s">
        <v>103</v>
      </c>
      <c r="N836" s="138" t="s">
        <v>371</v>
      </c>
      <c r="O836" s="138" t="s">
        <v>371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2104</v>
      </c>
      <c r="V836" s="13" t="s">
        <v>2104</v>
      </c>
      <c r="W836" s="59">
        <f>+J836/$W$2</f>
        <v>3.9707644690467214E-5</v>
      </c>
    </row>
    <row r="837" spans="1:29">
      <c r="A837" s="13" t="s">
        <v>405</v>
      </c>
      <c r="B837" s="13" t="s">
        <v>404</v>
      </c>
      <c r="C837" s="138">
        <v>46296</v>
      </c>
      <c r="D837" s="138" t="s">
        <v>424</v>
      </c>
      <c r="E837" s="28">
        <v>0.97048672000000002</v>
      </c>
      <c r="F837" s="13"/>
      <c r="G837" s="18">
        <v>2500000</v>
      </c>
      <c r="H837" s="18">
        <v>2426216.79</v>
      </c>
      <c r="I837" s="18">
        <v>2500000</v>
      </c>
      <c r="J837" s="18">
        <v>2426216.79</v>
      </c>
      <c r="K837" s="15">
        <v>911</v>
      </c>
      <c r="L837" s="13" t="s">
        <v>102</v>
      </c>
      <c r="M837" s="13" t="s">
        <v>103</v>
      </c>
      <c r="N837" s="138" t="s">
        <v>639</v>
      </c>
      <c r="O837" s="138" t="s">
        <v>639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2132</v>
      </c>
      <c r="V837" s="13" t="s">
        <v>2132</v>
      </c>
      <c r="W837" s="59">
        <f>+J837/$W$2</f>
        <v>3.9707643381181296E-5</v>
      </c>
    </row>
    <row r="838" spans="1:29">
      <c r="A838" s="13" t="s">
        <v>1325</v>
      </c>
      <c r="B838" s="13" t="s">
        <v>404</v>
      </c>
      <c r="C838" s="138">
        <v>46296</v>
      </c>
      <c r="D838" s="138" t="s">
        <v>424</v>
      </c>
      <c r="E838" s="28">
        <v>0.96763085999999998</v>
      </c>
      <c r="F838" s="13"/>
      <c r="G838" s="18">
        <v>15000000</v>
      </c>
      <c r="H838" s="18">
        <v>14514462.880000001</v>
      </c>
      <c r="I838" s="18">
        <v>15000000</v>
      </c>
      <c r="J838" s="18">
        <v>14514462.880000001</v>
      </c>
      <c r="K838" s="15">
        <v>2338</v>
      </c>
      <c r="L838" s="13" t="s">
        <v>102</v>
      </c>
      <c r="M838" s="13" t="s">
        <v>103</v>
      </c>
      <c r="N838" s="138" t="s">
        <v>425</v>
      </c>
      <c r="O838" s="138" t="s">
        <v>425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1322</v>
      </c>
      <c r="V838" s="13" t="s">
        <v>1322</v>
      </c>
      <c r="W838" s="59">
        <f>+J838/$W$2</f>
        <v>2.3754477270286866E-4</v>
      </c>
    </row>
    <row r="839" spans="1:29">
      <c r="A839" s="13" t="s">
        <v>1325</v>
      </c>
      <c r="B839" s="13" t="s">
        <v>404</v>
      </c>
      <c r="C839" s="138">
        <v>46296</v>
      </c>
      <c r="D839" s="138" t="s">
        <v>424</v>
      </c>
      <c r="E839" s="28">
        <v>0.96763085999999998</v>
      </c>
      <c r="F839" s="13"/>
      <c r="G839" s="18">
        <v>15000000</v>
      </c>
      <c r="H839" s="18">
        <v>14514462.880000001</v>
      </c>
      <c r="I839" s="18">
        <v>15000000</v>
      </c>
      <c r="J839" s="18">
        <v>14514462.880000001</v>
      </c>
      <c r="K839" s="15">
        <v>2327</v>
      </c>
      <c r="L839" s="13" t="s">
        <v>102</v>
      </c>
      <c r="M839" s="13" t="s">
        <v>103</v>
      </c>
      <c r="N839" s="138" t="s">
        <v>425</v>
      </c>
      <c r="O839" s="138" t="s">
        <v>425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1323</v>
      </c>
      <c r="V839" s="13" t="s">
        <v>1323</v>
      </c>
      <c r="W839" s="59">
        <f>+J839/$W$2</f>
        <v>2.3754477270286866E-4</v>
      </c>
    </row>
    <row r="840" spans="1:29">
      <c r="A840" s="13" t="s">
        <v>2212</v>
      </c>
      <c r="B840" s="13" t="s">
        <v>404</v>
      </c>
      <c r="C840" s="138">
        <v>46296</v>
      </c>
      <c r="D840" s="138" t="s">
        <v>424</v>
      </c>
      <c r="E840" s="28">
        <v>0.97239997</v>
      </c>
      <c r="F840" s="13"/>
      <c r="G840" s="18">
        <v>19300000</v>
      </c>
      <c r="H840" s="18">
        <v>18767319.449999999</v>
      </c>
      <c r="I840" s="18">
        <v>19300000</v>
      </c>
      <c r="J840" s="18">
        <v>18767319.449999999</v>
      </c>
      <c r="K840" s="15">
        <v>10537630</v>
      </c>
      <c r="L840" s="13" t="s">
        <v>102</v>
      </c>
      <c r="M840" s="13" t="s">
        <v>103</v>
      </c>
      <c r="N840" s="138" t="s">
        <v>639</v>
      </c>
      <c r="O840" s="138" t="s">
        <v>639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2187</v>
      </c>
      <c r="V840" s="13" t="s">
        <v>2187</v>
      </c>
      <c r="W840" s="59">
        <f>+J840/$W$2</f>
        <v>3.0714733778645865E-4</v>
      </c>
    </row>
    <row r="841" spans="1:29">
      <c r="A841" s="13" t="s">
        <v>743</v>
      </c>
      <c r="B841" s="13" t="s">
        <v>404</v>
      </c>
      <c r="C841" s="138">
        <v>46296</v>
      </c>
      <c r="D841" s="138" t="s">
        <v>424</v>
      </c>
      <c r="E841" s="28">
        <v>0.96858087999999998</v>
      </c>
      <c r="F841" s="13"/>
      <c r="G841" s="18">
        <v>30000000</v>
      </c>
      <c r="H841" s="18">
        <v>29057426.420000002</v>
      </c>
      <c r="I841" s="18">
        <v>30000000</v>
      </c>
      <c r="J841" s="18">
        <v>29057426.420000002</v>
      </c>
      <c r="K841" s="15">
        <v>29635891</v>
      </c>
      <c r="L841" s="13" t="s">
        <v>102</v>
      </c>
      <c r="M841" s="13" t="s">
        <v>103</v>
      </c>
      <c r="N841" s="138" t="s">
        <v>421</v>
      </c>
      <c r="O841" s="138" t="s">
        <v>421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1387</v>
      </c>
      <c r="V841" s="13" t="s">
        <v>1387</v>
      </c>
      <c r="W841" s="59">
        <f>+J841/$W$2</f>
        <v>4.7555598931465457E-4</v>
      </c>
    </row>
    <row r="842" spans="1:29">
      <c r="A842" s="13" t="s">
        <v>2224</v>
      </c>
      <c r="B842" s="13" t="s">
        <v>404</v>
      </c>
      <c r="C842" s="138">
        <v>46296</v>
      </c>
      <c r="D842" s="138" t="s">
        <v>424</v>
      </c>
      <c r="E842" s="28">
        <v>0.97239997</v>
      </c>
      <c r="F842" s="13"/>
      <c r="G842" s="18">
        <v>5225717</v>
      </c>
      <c r="H842" s="18">
        <v>5081487.0599999996</v>
      </c>
      <c r="I842" s="18">
        <v>5225717</v>
      </c>
      <c r="J842" s="18">
        <v>5081487.0599999996</v>
      </c>
      <c r="K842" s="15">
        <v>3173</v>
      </c>
      <c r="L842" s="13" t="s">
        <v>102</v>
      </c>
      <c r="M842" s="13" t="s">
        <v>103</v>
      </c>
      <c r="N842" s="138" t="s">
        <v>639</v>
      </c>
      <c r="O842" s="138" t="s">
        <v>639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2194</v>
      </c>
      <c r="V842" s="13" t="s">
        <v>2194</v>
      </c>
      <c r="W842" s="59">
        <f>+J842/$W$2</f>
        <v>8.3163992952405293E-5</v>
      </c>
    </row>
    <row r="843" spans="1:29">
      <c r="A843" s="13" t="s">
        <v>174</v>
      </c>
      <c r="B843" s="13" t="s">
        <v>404</v>
      </c>
      <c r="C843" s="138">
        <v>46296</v>
      </c>
      <c r="D843" s="138" t="s">
        <v>424</v>
      </c>
      <c r="E843" s="28">
        <v>0.96290852999999998</v>
      </c>
      <c r="F843" s="13"/>
      <c r="G843" s="18">
        <v>298500000</v>
      </c>
      <c r="H843" s="18">
        <v>287428195.25</v>
      </c>
      <c r="I843" s="18">
        <v>298500000</v>
      </c>
      <c r="J843" s="18">
        <v>287428195.25</v>
      </c>
      <c r="K843" s="15">
        <v>70403626</v>
      </c>
      <c r="L843" s="13" t="s">
        <v>102</v>
      </c>
      <c r="M843" s="13" t="s">
        <v>103</v>
      </c>
      <c r="N843" s="138" t="s">
        <v>345</v>
      </c>
      <c r="O843" s="138" t="s">
        <v>345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2425</v>
      </c>
      <c r="V843" s="13" t="s">
        <v>2425</v>
      </c>
      <c r="W843" s="59">
        <f>+J843/$W$2</f>
        <v>4.7040710960884694E-3</v>
      </c>
    </row>
    <row r="844" spans="1:29">
      <c r="A844" s="13" t="s">
        <v>2043</v>
      </c>
      <c r="B844" s="13" t="s">
        <v>404</v>
      </c>
      <c r="C844" s="138">
        <v>46296</v>
      </c>
      <c r="D844" s="138" t="s">
        <v>424</v>
      </c>
      <c r="E844" s="28">
        <v>0.97239989999999998</v>
      </c>
      <c r="F844" s="13"/>
      <c r="G844" s="18">
        <v>62410311.859999999</v>
      </c>
      <c r="H844" s="18">
        <v>60687780.740000002</v>
      </c>
      <c r="I844" s="18">
        <v>62410311.859999999</v>
      </c>
      <c r="J844" s="18">
        <v>60687780.740000002</v>
      </c>
      <c r="K844" s="15">
        <v>40292289</v>
      </c>
      <c r="L844" s="13" t="s">
        <v>102</v>
      </c>
      <c r="M844" s="13" t="s">
        <v>103</v>
      </c>
      <c r="N844" s="138" t="s">
        <v>416</v>
      </c>
      <c r="O844" s="138" t="s">
        <v>416</v>
      </c>
      <c r="P844" s="28">
        <v>28</v>
      </c>
      <c r="Q844" s="13" t="s">
        <v>54</v>
      </c>
      <c r="R844" s="13" t="s">
        <v>28</v>
      </c>
      <c r="S844" s="13"/>
      <c r="T844" s="13"/>
      <c r="U844" s="13" t="s">
        <v>2046</v>
      </c>
      <c r="V844" s="13" t="s">
        <v>2046</v>
      </c>
      <c r="W844" s="59">
        <f>+J844/$W$2</f>
        <v>9.9322070688466491E-4</v>
      </c>
    </row>
    <row r="845" spans="1:29">
      <c r="A845" s="13" t="s">
        <v>1543</v>
      </c>
      <c r="B845" s="13" t="s">
        <v>404</v>
      </c>
      <c r="C845" s="138">
        <v>46296</v>
      </c>
      <c r="D845" s="138" t="s">
        <v>424</v>
      </c>
      <c r="E845" s="28">
        <v>0.96763100999999996</v>
      </c>
      <c r="F845" s="13"/>
      <c r="G845" s="18">
        <v>12936672</v>
      </c>
      <c r="H845" s="18">
        <v>12517924.970000001</v>
      </c>
      <c r="I845" s="18">
        <v>12936672</v>
      </c>
      <c r="J845" s="18">
        <v>12517924.970000001</v>
      </c>
      <c r="K845" s="15">
        <v>99913013</v>
      </c>
      <c r="L845" s="13" t="s">
        <v>102</v>
      </c>
      <c r="M845" s="13" t="s">
        <v>103</v>
      </c>
      <c r="N845" s="138" t="s">
        <v>345</v>
      </c>
      <c r="O845" s="138" t="s">
        <v>345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2434</v>
      </c>
      <c r="V845" s="13" t="s">
        <v>2434</v>
      </c>
      <c r="W845" s="59">
        <f>+J845/$W$2</f>
        <v>2.0486928564250213E-4</v>
      </c>
    </row>
    <row r="846" spans="1:29">
      <c r="A846" s="13" t="s">
        <v>1750</v>
      </c>
      <c r="B846" s="13" t="s">
        <v>404</v>
      </c>
      <c r="C846" s="138">
        <v>46296</v>
      </c>
      <c r="D846" s="138" t="s">
        <v>424</v>
      </c>
      <c r="E846" s="28">
        <v>0.96858091999999996</v>
      </c>
      <c r="F846" s="13"/>
      <c r="G846" s="18">
        <v>1391500</v>
      </c>
      <c r="H846" s="18">
        <v>1347780.35</v>
      </c>
      <c r="I846" s="18">
        <v>1391500</v>
      </c>
      <c r="J846" s="18">
        <v>1347780.35</v>
      </c>
      <c r="K846" s="15">
        <v>90001265</v>
      </c>
      <c r="L846" s="13" t="s">
        <v>102</v>
      </c>
      <c r="M846" s="13" t="s">
        <v>103</v>
      </c>
      <c r="N846" s="138" t="s">
        <v>387</v>
      </c>
      <c r="O846" s="138" t="s">
        <v>387</v>
      </c>
      <c r="P846" s="28">
        <v>32</v>
      </c>
      <c r="Q846" s="13" t="s">
        <v>54</v>
      </c>
      <c r="R846" s="13" t="s">
        <v>28</v>
      </c>
      <c r="S846" s="13"/>
      <c r="T846" s="13"/>
      <c r="U846" s="13" t="s">
        <v>1714</v>
      </c>
      <c r="V846" s="13" t="s">
        <v>1714</v>
      </c>
      <c r="W846" s="59">
        <f>+J846/$W$2</f>
        <v>2.2057872863852251E-5</v>
      </c>
    </row>
    <row r="847" spans="1:29">
      <c r="A847" s="13" t="s">
        <v>916</v>
      </c>
      <c r="B847" s="13" t="s">
        <v>404</v>
      </c>
      <c r="C847" s="138">
        <v>46297</v>
      </c>
      <c r="D847" s="138" t="s">
        <v>424</v>
      </c>
      <c r="E847" s="28">
        <v>0.96971309999999999</v>
      </c>
      <c r="F847" s="13"/>
      <c r="G847" s="18">
        <v>100000000</v>
      </c>
      <c r="H847" s="18">
        <v>96971310.25</v>
      </c>
      <c r="I847" s="18">
        <v>100000000</v>
      </c>
      <c r="J847" s="18">
        <v>96971310.25</v>
      </c>
      <c r="K847" s="15">
        <v>90003950</v>
      </c>
      <c r="L847" s="13" t="s">
        <v>102</v>
      </c>
      <c r="M847" s="13" t="s">
        <v>103</v>
      </c>
      <c r="N847" s="138" t="s">
        <v>385</v>
      </c>
      <c r="O847" s="138" t="s">
        <v>385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1890</v>
      </c>
      <c r="V847" s="13" t="s">
        <v>1890</v>
      </c>
      <c r="W847" s="59">
        <f>+J847/$W$2</f>
        <v>1.5870396336730036E-3</v>
      </c>
    </row>
    <row r="848" spans="1:29">
      <c r="A848" s="13" t="s">
        <v>916</v>
      </c>
      <c r="B848" s="13" t="s">
        <v>404</v>
      </c>
      <c r="C848" s="138">
        <v>46297</v>
      </c>
      <c r="D848" s="138" t="s">
        <v>424</v>
      </c>
      <c r="E848" s="28">
        <v>0.96971320000000005</v>
      </c>
      <c r="F848" s="13"/>
      <c r="G848" s="18">
        <v>100000000</v>
      </c>
      <c r="H848" s="18">
        <v>96971319.75</v>
      </c>
      <c r="I848" s="18">
        <v>100000000</v>
      </c>
      <c r="J848" s="18">
        <v>96971319.75</v>
      </c>
      <c r="K848" s="15">
        <v>90003963</v>
      </c>
      <c r="L848" s="13" t="s">
        <v>102</v>
      </c>
      <c r="M848" s="13" t="s">
        <v>103</v>
      </c>
      <c r="N848" s="138" t="s">
        <v>341</v>
      </c>
      <c r="O848" s="138" t="s">
        <v>341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1967</v>
      </c>
      <c r="V848" s="13" t="s">
        <v>1967</v>
      </c>
      <c r="W848" s="59">
        <f>+J848/$W$2</f>
        <v>1.5870397891507059E-3</v>
      </c>
    </row>
    <row r="849" spans="1:29">
      <c r="A849" s="13" t="s">
        <v>302</v>
      </c>
      <c r="B849" s="13" t="s">
        <v>404</v>
      </c>
      <c r="C849" s="138">
        <v>46297</v>
      </c>
      <c r="D849" s="138" t="s">
        <v>424</v>
      </c>
      <c r="E849" s="28">
        <v>0.96484276000000002</v>
      </c>
      <c r="F849" s="13"/>
      <c r="G849" s="18">
        <v>6500000</v>
      </c>
      <c r="H849" s="18">
        <v>6271477.96</v>
      </c>
      <c r="I849" s="18">
        <v>6500000</v>
      </c>
      <c r="J849" s="18">
        <v>6271477.96</v>
      </c>
      <c r="K849" s="15">
        <v>40761904</v>
      </c>
      <c r="L849" s="13" t="s">
        <v>102</v>
      </c>
      <c r="M849" s="13" t="s">
        <v>103</v>
      </c>
      <c r="N849" s="138" t="s">
        <v>387</v>
      </c>
      <c r="O849" s="138" t="s">
        <v>387</v>
      </c>
      <c r="P849" s="28">
        <v>35</v>
      </c>
      <c r="Q849" s="13" t="s">
        <v>54</v>
      </c>
      <c r="R849" s="13" t="s">
        <v>28</v>
      </c>
      <c r="S849" s="13"/>
      <c r="T849" s="13"/>
      <c r="U849" s="13" t="s">
        <v>1707</v>
      </c>
      <c r="V849" s="13" t="s">
        <v>1707</v>
      </c>
      <c r="W849" s="59">
        <f>+J849/$W$2</f>
        <v>1.0263947201050339E-4</v>
      </c>
    </row>
    <row r="850" spans="1:29">
      <c r="A850" s="13" t="s">
        <v>896</v>
      </c>
      <c r="B850" s="13" t="s">
        <v>404</v>
      </c>
      <c r="C850" s="138">
        <v>46297</v>
      </c>
      <c r="D850" s="138" t="s">
        <v>424</v>
      </c>
      <c r="E850" s="28">
        <v>0.96678503000000005</v>
      </c>
      <c r="F850" s="13"/>
      <c r="G850" s="18">
        <v>3772034.12</v>
      </c>
      <c r="H850" s="18">
        <v>3646746.12</v>
      </c>
      <c r="I850" s="18">
        <v>3772034.12</v>
      </c>
      <c r="J850" s="18">
        <v>3646746.12</v>
      </c>
      <c r="K850" s="15">
        <v>638</v>
      </c>
      <c r="L850" s="13" t="s">
        <v>102</v>
      </c>
      <c r="M850" s="13" t="s">
        <v>103</v>
      </c>
      <c r="N850" s="138" t="s">
        <v>164</v>
      </c>
      <c r="O850" s="138" t="s">
        <v>164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888</v>
      </c>
      <c r="V850" s="13" t="s">
        <v>888</v>
      </c>
      <c r="W850" s="59">
        <f>+J850/$W$2</f>
        <v>5.9682916642690688E-5</v>
      </c>
      <c r="AC850" s="56"/>
    </row>
    <row r="851" spans="1:29">
      <c r="A851" s="13" t="s">
        <v>284</v>
      </c>
      <c r="B851" s="13" t="s">
        <v>404</v>
      </c>
      <c r="C851" s="138">
        <v>46297</v>
      </c>
      <c r="D851" s="138" t="s">
        <v>424</v>
      </c>
      <c r="E851" s="28">
        <v>0.97463297000000004</v>
      </c>
      <c r="F851" s="13"/>
      <c r="G851" s="18">
        <v>1073337.5</v>
      </c>
      <c r="H851" s="18">
        <v>1046110.12</v>
      </c>
      <c r="I851" s="18">
        <v>1073337.5</v>
      </c>
      <c r="J851" s="18">
        <v>1046110.12</v>
      </c>
      <c r="K851" s="15">
        <v>396</v>
      </c>
      <c r="L851" s="13" t="s">
        <v>102</v>
      </c>
      <c r="M851" s="13" t="s">
        <v>103</v>
      </c>
      <c r="N851" s="138" t="s">
        <v>173</v>
      </c>
      <c r="O851" s="138" t="s">
        <v>173</v>
      </c>
      <c r="P851" s="28">
        <v>25</v>
      </c>
      <c r="Q851" s="13" t="s">
        <v>54</v>
      </c>
      <c r="R851" s="13" t="s">
        <v>28</v>
      </c>
      <c r="S851" s="13"/>
      <c r="T851" s="13"/>
      <c r="U851" s="13" t="s">
        <v>1994</v>
      </c>
      <c r="V851" s="13" t="s">
        <v>1994</v>
      </c>
      <c r="W851" s="59">
        <f>+J851/$W$2</f>
        <v>1.7120715573980003E-5</v>
      </c>
    </row>
    <row r="852" spans="1:29">
      <c r="A852" s="13" t="s">
        <v>271</v>
      </c>
      <c r="B852" s="13" t="s">
        <v>404</v>
      </c>
      <c r="C852" s="138">
        <v>46297</v>
      </c>
      <c r="D852" s="138" t="s">
        <v>424</v>
      </c>
      <c r="E852" s="28">
        <v>0.96873511999999995</v>
      </c>
      <c r="F852" s="13"/>
      <c r="G852" s="18">
        <v>16500000</v>
      </c>
      <c r="H852" s="18">
        <v>15984129.49</v>
      </c>
      <c r="I852" s="18">
        <v>16500000</v>
      </c>
      <c r="J852" s="18">
        <v>15984129.49</v>
      </c>
      <c r="K852" s="15">
        <v>28675</v>
      </c>
      <c r="L852" s="13" t="s">
        <v>102</v>
      </c>
      <c r="M852" s="13" t="s">
        <v>103</v>
      </c>
      <c r="N852" s="138" t="s">
        <v>331</v>
      </c>
      <c r="O852" s="138" t="s">
        <v>331</v>
      </c>
      <c r="P852" s="28">
        <v>31</v>
      </c>
      <c r="Q852" s="13" t="s">
        <v>54</v>
      </c>
      <c r="R852" s="13" t="s">
        <v>28</v>
      </c>
      <c r="S852" s="13"/>
      <c r="T852" s="13"/>
      <c r="U852" s="13" t="s">
        <v>664</v>
      </c>
      <c r="V852" s="13" t="s">
        <v>664</v>
      </c>
      <c r="W852" s="59">
        <f>+J852/$W$2</f>
        <v>2.6159744511022995E-4</v>
      </c>
    </row>
    <row r="853" spans="1:29">
      <c r="A853" s="13" t="s">
        <v>410</v>
      </c>
      <c r="B853" s="13" t="s">
        <v>404</v>
      </c>
      <c r="C853" s="138">
        <v>46297</v>
      </c>
      <c r="D853" s="138" t="s">
        <v>424</v>
      </c>
      <c r="E853" s="28">
        <v>0.96194407000000004</v>
      </c>
      <c r="F853" s="13"/>
      <c r="G853" s="18">
        <v>1082000000</v>
      </c>
      <c r="H853" s="18">
        <v>1040823488.5</v>
      </c>
      <c r="I853" s="18">
        <v>1082000000</v>
      </c>
      <c r="J853" s="18">
        <v>1040823488.5</v>
      </c>
      <c r="K853" s="15">
        <v>70219559</v>
      </c>
      <c r="L853" s="13" t="s">
        <v>102</v>
      </c>
      <c r="M853" s="13" t="s">
        <v>103</v>
      </c>
      <c r="N853" s="138" t="s">
        <v>341</v>
      </c>
      <c r="O853" s="138" t="s">
        <v>341</v>
      </c>
      <c r="P853" s="28">
        <v>38</v>
      </c>
      <c r="Q853" s="13" t="s">
        <v>54</v>
      </c>
      <c r="R853" s="13" t="s">
        <v>28</v>
      </c>
      <c r="S853" s="13"/>
      <c r="T853" s="13"/>
      <c r="U853" s="13" t="s">
        <v>1952</v>
      </c>
      <c r="V853" s="13" t="s">
        <v>1952</v>
      </c>
      <c r="W853" s="59">
        <f>+J853/$W$2</f>
        <v>1.7034194171954044E-2</v>
      </c>
    </row>
    <row r="854" spans="1:29">
      <c r="A854" s="13" t="s">
        <v>410</v>
      </c>
      <c r="B854" s="13" t="s">
        <v>404</v>
      </c>
      <c r="C854" s="138">
        <v>46297</v>
      </c>
      <c r="D854" s="138" t="s">
        <v>424</v>
      </c>
      <c r="E854" s="28">
        <v>0.96194407000000004</v>
      </c>
      <c r="F854" s="13"/>
      <c r="G854" s="18">
        <v>100000000</v>
      </c>
      <c r="H854" s="18">
        <v>96194407.439999998</v>
      </c>
      <c r="I854" s="18">
        <v>100000000</v>
      </c>
      <c r="J854" s="18">
        <v>96194407.439999998</v>
      </c>
      <c r="K854" s="15">
        <v>70219560</v>
      </c>
      <c r="L854" s="13" t="s">
        <v>102</v>
      </c>
      <c r="M854" s="13" t="s">
        <v>103</v>
      </c>
      <c r="N854" s="138" t="s">
        <v>341</v>
      </c>
      <c r="O854" s="138" t="s">
        <v>341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1953</v>
      </c>
      <c r="V854" s="13" t="s">
        <v>1953</v>
      </c>
      <c r="W854" s="59">
        <f>+J854/$W$2</f>
        <v>1.5743247848398463E-3</v>
      </c>
    </row>
    <row r="855" spans="1:29">
      <c r="A855" s="13" t="s">
        <v>417</v>
      </c>
      <c r="B855" s="13" t="s">
        <v>404</v>
      </c>
      <c r="C855" s="138">
        <v>46297</v>
      </c>
      <c r="D855" s="138" t="s">
        <v>424</v>
      </c>
      <c r="E855" s="28">
        <v>0.96678505000000003</v>
      </c>
      <c r="F855" s="13"/>
      <c r="G855" s="18">
        <v>2000000</v>
      </c>
      <c r="H855" s="18">
        <v>1933570.1</v>
      </c>
      <c r="I855" s="18">
        <v>2000000</v>
      </c>
      <c r="J855" s="18">
        <v>1933570.1</v>
      </c>
      <c r="K855" s="15">
        <v>41</v>
      </c>
      <c r="L855" s="13" t="s">
        <v>102</v>
      </c>
      <c r="M855" s="13" t="s">
        <v>103</v>
      </c>
      <c r="N855" s="138" t="s">
        <v>535</v>
      </c>
      <c r="O855" s="138" t="s">
        <v>535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2333</v>
      </c>
      <c r="V855" s="13" t="s">
        <v>2333</v>
      </c>
      <c r="W855" s="59">
        <f>+J855/$W$2</f>
        <v>3.1644951226025875E-5</v>
      </c>
    </row>
    <row r="856" spans="1:29">
      <c r="A856" s="13" t="s">
        <v>517</v>
      </c>
      <c r="B856" s="13" t="s">
        <v>404</v>
      </c>
      <c r="C856" s="138">
        <v>46297</v>
      </c>
      <c r="D856" s="138" t="s">
        <v>424</v>
      </c>
      <c r="E856" s="28">
        <v>0.96873520000000002</v>
      </c>
      <c r="F856" s="13"/>
      <c r="G856" s="18">
        <v>10000000</v>
      </c>
      <c r="H856" s="18">
        <v>9687352.0199999996</v>
      </c>
      <c r="I856" s="18">
        <v>10000000</v>
      </c>
      <c r="J856" s="18">
        <v>9687352.0199999996</v>
      </c>
      <c r="K856" s="15">
        <v>14004256</v>
      </c>
      <c r="L856" s="13" t="s">
        <v>102</v>
      </c>
      <c r="M856" s="13" t="s">
        <v>103</v>
      </c>
      <c r="N856" s="138" t="s">
        <v>341</v>
      </c>
      <c r="O856" s="138" t="s">
        <v>341</v>
      </c>
      <c r="P856" s="28">
        <v>31</v>
      </c>
      <c r="Q856" s="13" t="s">
        <v>54</v>
      </c>
      <c r="R856" s="13" t="s">
        <v>28</v>
      </c>
      <c r="S856" s="13"/>
      <c r="T856" s="13"/>
      <c r="U856" s="13" t="s">
        <v>1955</v>
      </c>
      <c r="V856" s="13" t="s">
        <v>1955</v>
      </c>
      <c r="W856" s="59">
        <f>+J856/$W$2</f>
        <v>1.5854391944840438E-4</v>
      </c>
    </row>
    <row r="857" spans="1:29">
      <c r="A857" s="13" t="s">
        <v>466</v>
      </c>
      <c r="B857" s="13" t="s">
        <v>404</v>
      </c>
      <c r="C857" s="138">
        <v>46297</v>
      </c>
      <c r="D857" s="138" t="s">
        <v>424</v>
      </c>
      <c r="E857" s="28">
        <v>0.97167501000000001</v>
      </c>
      <c r="F857" s="13"/>
      <c r="G857" s="18">
        <v>15000000</v>
      </c>
      <c r="H857" s="18">
        <v>14575125.18</v>
      </c>
      <c r="I857" s="18">
        <v>15000000</v>
      </c>
      <c r="J857" s="18">
        <v>14575125.18</v>
      </c>
      <c r="K857" s="15">
        <v>360568</v>
      </c>
      <c r="L857" s="13" t="s">
        <v>102</v>
      </c>
      <c r="M857" s="13" t="s">
        <v>103</v>
      </c>
      <c r="N857" s="138" t="s">
        <v>308</v>
      </c>
      <c r="O857" s="138" t="s">
        <v>308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562</v>
      </c>
      <c r="V857" s="13" t="s">
        <v>562</v>
      </c>
      <c r="W857" s="59">
        <f>+J857/$W$2</f>
        <v>2.3853757639007842E-4</v>
      </c>
    </row>
    <row r="858" spans="1:29">
      <c r="A858" s="13" t="s">
        <v>285</v>
      </c>
      <c r="B858" s="13" t="s">
        <v>404</v>
      </c>
      <c r="C858" s="138">
        <v>46297</v>
      </c>
      <c r="D858" s="138" t="s">
        <v>424</v>
      </c>
      <c r="E858" s="28">
        <v>0.97364501000000003</v>
      </c>
      <c r="F858" s="13"/>
      <c r="G858" s="18">
        <v>10000000</v>
      </c>
      <c r="H858" s="18">
        <v>9736450.0899999999</v>
      </c>
      <c r="I858" s="18">
        <v>10000000</v>
      </c>
      <c r="J858" s="18">
        <v>9736450.0899999999</v>
      </c>
      <c r="K858" s="15">
        <v>9621091</v>
      </c>
      <c r="L858" s="13" t="s">
        <v>102</v>
      </c>
      <c r="M858" s="13" t="s">
        <v>103</v>
      </c>
      <c r="N858" s="138" t="s">
        <v>339</v>
      </c>
      <c r="O858" s="138" t="s">
        <v>339</v>
      </c>
      <c r="P858" s="28">
        <v>26</v>
      </c>
      <c r="Q858" s="13" t="s">
        <v>54</v>
      </c>
      <c r="R858" s="13" t="s">
        <v>28</v>
      </c>
      <c r="S858" s="13"/>
      <c r="T858" s="13"/>
      <c r="U858" s="13" t="s">
        <v>1593</v>
      </c>
      <c r="V858" s="13" t="s">
        <v>1593</v>
      </c>
      <c r="W858" s="59">
        <f>+J858/$W$2</f>
        <v>1.5934746209236749E-4</v>
      </c>
    </row>
    <row r="859" spans="1:29">
      <c r="A859" s="13" t="s">
        <v>285</v>
      </c>
      <c r="B859" s="13" t="s">
        <v>404</v>
      </c>
      <c r="C859" s="138">
        <v>46297</v>
      </c>
      <c r="D859" s="138" t="s">
        <v>424</v>
      </c>
      <c r="E859" s="28">
        <v>0.97265897999999995</v>
      </c>
      <c r="F859" s="13"/>
      <c r="G859" s="18">
        <v>24500000</v>
      </c>
      <c r="H859" s="18">
        <v>23830144.890000001</v>
      </c>
      <c r="I859" s="18">
        <v>24500000</v>
      </c>
      <c r="J859" s="18">
        <v>23830144.890000001</v>
      </c>
      <c r="K859" s="15">
        <v>34218</v>
      </c>
      <c r="L859" s="13" t="s">
        <v>102</v>
      </c>
      <c r="M859" s="13" t="s">
        <v>103</v>
      </c>
      <c r="N859" s="138" t="s">
        <v>420</v>
      </c>
      <c r="O859" s="138" t="s">
        <v>420</v>
      </c>
      <c r="P859" s="28">
        <v>27</v>
      </c>
      <c r="Q859" s="13" t="s">
        <v>54</v>
      </c>
      <c r="R859" s="13" t="s">
        <v>28</v>
      </c>
      <c r="S859" s="13"/>
      <c r="T859" s="13"/>
      <c r="U859" s="13" t="s">
        <v>1284</v>
      </c>
      <c r="V859" s="13" t="s">
        <v>1284</v>
      </c>
      <c r="W859" s="59">
        <f>+J859/$W$2</f>
        <v>3.9000591328609174E-4</v>
      </c>
    </row>
    <row r="860" spans="1:29">
      <c r="A860" s="13" t="s">
        <v>405</v>
      </c>
      <c r="B860" s="13" t="s">
        <v>404</v>
      </c>
      <c r="C860" s="138">
        <v>46297</v>
      </c>
      <c r="D860" s="138" t="s">
        <v>424</v>
      </c>
      <c r="E860" s="28">
        <v>0.96971308000000001</v>
      </c>
      <c r="F860" s="13"/>
      <c r="G860" s="18">
        <v>5000000</v>
      </c>
      <c r="H860" s="18">
        <v>4848565.41</v>
      </c>
      <c r="I860" s="18">
        <v>5000000</v>
      </c>
      <c r="J860" s="18">
        <v>4848565.41</v>
      </c>
      <c r="K860" s="15">
        <v>785</v>
      </c>
      <c r="L860" s="13" t="s">
        <v>102</v>
      </c>
      <c r="M860" s="13" t="s">
        <v>103</v>
      </c>
      <c r="N860" s="138" t="s">
        <v>421</v>
      </c>
      <c r="O860" s="138" t="s">
        <v>421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1411</v>
      </c>
      <c r="V860" s="13" t="s">
        <v>1411</v>
      </c>
      <c r="W860" s="59">
        <f>+J860/$W$2</f>
        <v>7.9351980006127593E-5</v>
      </c>
    </row>
    <row r="861" spans="1:29">
      <c r="A861" s="13" t="s">
        <v>405</v>
      </c>
      <c r="B861" s="13" t="s">
        <v>404</v>
      </c>
      <c r="C861" s="138">
        <v>46297</v>
      </c>
      <c r="D861" s="138" t="s">
        <v>424</v>
      </c>
      <c r="E861" s="28">
        <v>0.96971320000000005</v>
      </c>
      <c r="F861" s="13"/>
      <c r="G861" s="18">
        <v>2500000</v>
      </c>
      <c r="H861" s="18">
        <v>2424283.0099999998</v>
      </c>
      <c r="I861" s="18">
        <v>2500000</v>
      </c>
      <c r="J861" s="18">
        <v>2424283.0099999998</v>
      </c>
      <c r="K861" s="15">
        <v>903</v>
      </c>
      <c r="L861" s="13" t="s">
        <v>102</v>
      </c>
      <c r="M861" s="13" t="s">
        <v>103</v>
      </c>
      <c r="N861" s="138" t="s">
        <v>371</v>
      </c>
      <c r="O861" s="138" t="s">
        <v>371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2105</v>
      </c>
      <c r="V861" s="13" t="s">
        <v>2105</v>
      </c>
      <c r="W861" s="59">
        <f>+J861/$W$2</f>
        <v>3.9675994994716348E-5</v>
      </c>
    </row>
    <row r="862" spans="1:29">
      <c r="A862" s="13" t="s">
        <v>405</v>
      </c>
      <c r="B862" s="13" t="s">
        <v>404</v>
      </c>
      <c r="C862" s="138">
        <v>46297</v>
      </c>
      <c r="D862" s="138" t="s">
        <v>424</v>
      </c>
      <c r="E862" s="28">
        <v>0.96971317000000001</v>
      </c>
      <c r="F862" s="13"/>
      <c r="G862" s="18">
        <v>2500000</v>
      </c>
      <c r="H862" s="18">
        <v>2424282.9300000002</v>
      </c>
      <c r="I862" s="18">
        <v>2500000</v>
      </c>
      <c r="J862" s="18">
        <v>2424282.9300000002</v>
      </c>
      <c r="K862" s="15">
        <v>912</v>
      </c>
      <c r="L862" s="13" t="s">
        <v>102</v>
      </c>
      <c r="M862" s="13" t="s">
        <v>103</v>
      </c>
      <c r="N862" s="138" t="s">
        <v>639</v>
      </c>
      <c r="O862" s="138" t="s">
        <v>639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2130</v>
      </c>
      <c r="V862" s="13" t="s">
        <v>2130</v>
      </c>
      <c r="W862" s="59">
        <f>+J862/$W$2</f>
        <v>3.9675993685430437E-5</v>
      </c>
    </row>
    <row r="863" spans="1:29">
      <c r="A863" s="13" t="s">
        <v>375</v>
      </c>
      <c r="B863" s="13" t="s">
        <v>404</v>
      </c>
      <c r="C863" s="138">
        <v>46297</v>
      </c>
      <c r="D863" s="138" t="s">
        <v>424</v>
      </c>
      <c r="E863" s="28">
        <v>0.96678498000000002</v>
      </c>
      <c r="F863" s="13"/>
      <c r="G863" s="18">
        <v>5000000</v>
      </c>
      <c r="H863" s="18">
        <v>4833924.88</v>
      </c>
      <c r="I863" s="18">
        <v>5000000</v>
      </c>
      <c r="J863" s="18">
        <v>4833924.88</v>
      </c>
      <c r="K863" s="15">
        <v>3041</v>
      </c>
      <c r="L863" s="13" t="s">
        <v>102</v>
      </c>
      <c r="M863" s="13" t="s">
        <v>103</v>
      </c>
      <c r="N863" s="138" t="s">
        <v>161</v>
      </c>
      <c r="O863" s="138" t="s">
        <v>161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1698</v>
      </c>
      <c r="V863" s="13" t="s">
        <v>1698</v>
      </c>
      <c r="W863" s="59">
        <f>+J863/$W$2</f>
        <v>7.9112372009617322E-5</v>
      </c>
    </row>
    <row r="864" spans="1:29">
      <c r="A864" s="13" t="s">
        <v>405</v>
      </c>
      <c r="B864" s="13" t="s">
        <v>404</v>
      </c>
      <c r="C864" s="138">
        <v>46297</v>
      </c>
      <c r="D864" s="138" t="s">
        <v>424</v>
      </c>
      <c r="E864" s="28">
        <v>0.96971309999999999</v>
      </c>
      <c r="F864" s="13"/>
      <c r="G864" s="18">
        <v>10000000</v>
      </c>
      <c r="H864" s="18">
        <v>9697130.9800000004</v>
      </c>
      <c r="I864" s="18">
        <v>10000000</v>
      </c>
      <c r="J864" s="18">
        <v>9697130.9800000004</v>
      </c>
      <c r="K864" s="15">
        <v>571</v>
      </c>
      <c r="L864" s="13" t="s">
        <v>102</v>
      </c>
      <c r="M864" s="13" t="s">
        <v>103</v>
      </c>
      <c r="N864" s="138" t="s">
        <v>325</v>
      </c>
      <c r="O864" s="138" t="s">
        <v>325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847</v>
      </c>
      <c r="V864" s="13" t="s">
        <v>847</v>
      </c>
      <c r="W864" s="59">
        <f>+J864/$W$2</f>
        <v>1.5870396263082702E-4</v>
      </c>
    </row>
    <row r="865" spans="1:23">
      <c r="A865" s="13" t="s">
        <v>2212</v>
      </c>
      <c r="B865" s="13" t="s">
        <v>404</v>
      </c>
      <c r="C865" s="138">
        <v>46297</v>
      </c>
      <c r="D865" s="138" t="s">
        <v>424</v>
      </c>
      <c r="E865" s="28">
        <v>0.97167510000000001</v>
      </c>
      <c r="F865" s="13"/>
      <c r="G865" s="18">
        <v>19300000</v>
      </c>
      <c r="H865" s="18">
        <v>18753329.420000002</v>
      </c>
      <c r="I865" s="18">
        <v>19300000</v>
      </c>
      <c r="J865" s="18">
        <v>18753329.420000002</v>
      </c>
      <c r="K865" s="15">
        <v>10537629</v>
      </c>
      <c r="L865" s="13" t="s">
        <v>102</v>
      </c>
      <c r="M865" s="13" t="s">
        <v>103</v>
      </c>
      <c r="N865" s="138" t="s">
        <v>639</v>
      </c>
      <c r="O865" s="138" t="s">
        <v>639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2182</v>
      </c>
      <c r="V865" s="13" t="s">
        <v>2182</v>
      </c>
      <c r="W865" s="59">
        <f>+J865/$W$2</f>
        <v>3.0691837592104683E-4</v>
      </c>
    </row>
    <row r="866" spans="1:23">
      <c r="A866" s="13" t="s">
        <v>1025</v>
      </c>
      <c r="B866" s="13" t="s">
        <v>404</v>
      </c>
      <c r="C866" s="138">
        <v>46297</v>
      </c>
      <c r="D866" s="138" t="s">
        <v>424</v>
      </c>
      <c r="E866" s="28">
        <v>0.96775907999999999</v>
      </c>
      <c r="F866" s="13"/>
      <c r="G866" s="18">
        <v>21607710.25</v>
      </c>
      <c r="H866" s="18">
        <v>20911057.879999999</v>
      </c>
      <c r="I866" s="18">
        <v>21607710.25</v>
      </c>
      <c r="J866" s="18">
        <v>20911057.879999999</v>
      </c>
      <c r="K866" s="15">
        <v>8292025</v>
      </c>
      <c r="L866" s="13" t="s">
        <v>102</v>
      </c>
      <c r="M866" s="13" t="s">
        <v>103</v>
      </c>
      <c r="N866" s="138" t="s">
        <v>387</v>
      </c>
      <c r="O866" s="138" t="s">
        <v>387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1720</v>
      </c>
      <c r="V866" s="13" t="s">
        <v>1720</v>
      </c>
      <c r="W866" s="59">
        <f>+J866/$W$2</f>
        <v>3.4223191944124701E-4</v>
      </c>
    </row>
    <row r="867" spans="1:23">
      <c r="A867" s="13" t="s">
        <v>743</v>
      </c>
      <c r="B867" s="13" t="s">
        <v>404</v>
      </c>
      <c r="C867" s="138">
        <v>46297</v>
      </c>
      <c r="D867" s="138" t="s">
        <v>424</v>
      </c>
      <c r="E867" s="28">
        <v>0.96775904999999995</v>
      </c>
      <c r="F867" s="13"/>
      <c r="G867" s="18">
        <v>33683512.119999997</v>
      </c>
      <c r="H867" s="18">
        <v>32597523.789999999</v>
      </c>
      <c r="I867" s="18">
        <v>33683512.119999997</v>
      </c>
      <c r="J867" s="18">
        <v>32597523.789999999</v>
      </c>
      <c r="K867" s="15">
        <v>29635893</v>
      </c>
      <c r="L867" s="13" t="s">
        <v>102</v>
      </c>
      <c r="M867" s="13" t="s">
        <v>103</v>
      </c>
      <c r="N867" s="138" t="s">
        <v>421</v>
      </c>
      <c r="O867" s="138" t="s">
        <v>421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1388</v>
      </c>
      <c r="V867" s="13" t="s">
        <v>1388</v>
      </c>
      <c r="W867" s="59">
        <f>+J867/$W$2</f>
        <v>5.3349348462916754E-4</v>
      </c>
    </row>
    <row r="868" spans="1:23">
      <c r="A868" s="13" t="s">
        <v>1805</v>
      </c>
      <c r="B868" s="13" t="s">
        <v>404</v>
      </c>
      <c r="C868" s="138">
        <v>46297</v>
      </c>
      <c r="D868" s="138" t="s">
        <v>424</v>
      </c>
      <c r="E868" s="28">
        <v>0.96971320000000005</v>
      </c>
      <c r="F868" s="13"/>
      <c r="G868" s="18">
        <v>1500000</v>
      </c>
      <c r="H868" s="18">
        <v>1454569.8</v>
      </c>
      <c r="I868" s="18">
        <v>1500000</v>
      </c>
      <c r="J868" s="18">
        <v>1454569.8</v>
      </c>
      <c r="K868" s="15">
        <v>1972</v>
      </c>
      <c r="L868" s="13" t="s">
        <v>102</v>
      </c>
      <c r="M868" s="13" t="s">
        <v>103</v>
      </c>
      <c r="N868" s="138" t="s">
        <v>384</v>
      </c>
      <c r="O868" s="138" t="s">
        <v>384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1797</v>
      </c>
      <c r="V868" s="13" t="s">
        <v>1797</v>
      </c>
      <c r="W868" s="59">
        <f>+J868/$W$2</f>
        <v>2.3805596898633368E-5</v>
      </c>
    </row>
    <row r="869" spans="1:23">
      <c r="A869" s="13" t="s">
        <v>1809</v>
      </c>
      <c r="B869" s="13" t="s">
        <v>404</v>
      </c>
      <c r="C869" s="138">
        <v>46297</v>
      </c>
      <c r="D869" s="138" t="s">
        <v>424</v>
      </c>
      <c r="E869" s="28">
        <v>0.96678511</v>
      </c>
      <c r="F869" s="13"/>
      <c r="G869" s="18">
        <v>11504835.23</v>
      </c>
      <c r="H869" s="18">
        <v>11122703.42</v>
      </c>
      <c r="I869" s="18">
        <v>11504835.23</v>
      </c>
      <c r="J869" s="18">
        <v>11122703.42</v>
      </c>
      <c r="K869" s="15">
        <v>10061748</v>
      </c>
      <c r="L869" s="13" t="s">
        <v>102</v>
      </c>
      <c r="M869" s="13" t="s">
        <v>103</v>
      </c>
      <c r="N869" s="138" t="s">
        <v>384</v>
      </c>
      <c r="O869" s="138" t="s">
        <v>384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1798</v>
      </c>
      <c r="V869" s="13" t="s">
        <v>1798</v>
      </c>
      <c r="W869" s="59">
        <f>+J869/$W$2</f>
        <v>1.8203498659161681E-4</v>
      </c>
    </row>
    <row r="870" spans="1:23">
      <c r="A870" s="13" t="s">
        <v>1811</v>
      </c>
      <c r="B870" s="13" t="s">
        <v>404</v>
      </c>
      <c r="C870" s="138">
        <v>46297</v>
      </c>
      <c r="D870" s="138" t="s">
        <v>424</v>
      </c>
      <c r="E870" s="28">
        <v>0.96678511</v>
      </c>
      <c r="F870" s="13"/>
      <c r="G870" s="18">
        <v>2113037.46</v>
      </c>
      <c r="H870" s="18">
        <v>2042853.15</v>
      </c>
      <c r="I870" s="18">
        <v>2113037.46</v>
      </c>
      <c r="J870" s="18">
        <v>2042853.15</v>
      </c>
      <c r="K870" s="15">
        <v>10226062</v>
      </c>
      <c r="L870" s="13" t="s">
        <v>102</v>
      </c>
      <c r="M870" s="13" t="s">
        <v>103</v>
      </c>
      <c r="N870" s="138" t="s">
        <v>384</v>
      </c>
      <c r="O870" s="138" t="s">
        <v>384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1801</v>
      </c>
      <c r="V870" s="13" t="s">
        <v>1801</v>
      </c>
      <c r="W870" s="59">
        <f>+J870/$W$2</f>
        <v>3.3433485702785388E-5</v>
      </c>
    </row>
    <row r="871" spans="1:23">
      <c r="A871" s="13" t="s">
        <v>2027</v>
      </c>
      <c r="B871" s="13" t="s">
        <v>404</v>
      </c>
      <c r="C871" s="138">
        <v>46297</v>
      </c>
      <c r="D871" s="138" t="s">
        <v>424</v>
      </c>
      <c r="E871" s="28">
        <v>0.96971322000000004</v>
      </c>
      <c r="F871" s="13"/>
      <c r="G871" s="18">
        <v>4957748.6399999997</v>
      </c>
      <c r="H871" s="18">
        <v>4807594.42</v>
      </c>
      <c r="I871" s="18">
        <v>4957748.6399999997</v>
      </c>
      <c r="J871" s="18">
        <v>4807594.42</v>
      </c>
      <c r="K871" s="15">
        <v>68735170</v>
      </c>
      <c r="L871" s="13" t="s">
        <v>102</v>
      </c>
      <c r="M871" s="13" t="s">
        <v>103</v>
      </c>
      <c r="N871" s="138" t="s">
        <v>173</v>
      </c>
      <c r="O871" s="138" t="s">
        <v>173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2010</v>
      </c>
      <c r="V871" s="13" t="s">
        <v>2010</v>
      </c>
      <c r="W871" s="59">
        <f>+J871/$W$2</f>
        <v>7.868144575436605E-5</v>
      </c>
    </row>
    <row r="872" spans="1:23">
      <c r="A872" s="13" t="s">
        <v>2228</v>
      </c>
      <c r="B872" s="13" t="s">
        <v>404</v>
      </c>
      <c r="C872" s="138">
        <v>46297</v>
      </c>
      <c r="D872" s="138" t="s">
        <v>424</v>
      </c>
      <c r="E872" s="28">
        <v>0.97167510000000001</v>
      </c>
      <c r="F872" s="13"/>
      <c r="G872" s="18">
        <v>5437493</v>
      </c>
      <c r="H872" s="18">
        <v>5283476.55</v>
      </c>
      <c r="I872" s="18">
        <v>5437493</v>
      </c>
      <c r="J872" s="18">
        <v>5283476.55</v>
      </c>
      <c r="K872" s="15">
        <v>68347513</v>
      </c>
      <c r="L872" s="13" t="s">
        <v>102</v>
      </c>
      <c r="M872" s="13" t="s">
        <v>103</v>
      </c>
      <c r="N872" s="138" t="s">
        <v>639</v>
      </c>
      <c r="O872" s="138" t="s">
        <v>639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2207</v>
      </c>
      <c r="V872" s="13" t="s">
        <v>2207</v>
      </c>
      <c r="W872" s="59">
        <f>+J872/$W$2</f>
        <v>8.6469767880979046E-5</v>
      </c>
    </row>
    <row r="873" spans="1:23">
      <c r="A873" s="13" t="s">
        <v>523</v>
      </c>
      <c r="B873" s="13" t="s">
        <v>404</v>
      </c>
      <c r="C873" s="138">
        <v>46297</v>
      </c>
      <c r="D873" s="138" t="s">
        <v>424</v>
      </c>
      <c r="E873" s="28">
        <v>0.96678503000000005</v>
      </c>
      <c r="F873" s="13"/>
      <c r="G873" s="18">
        <v>21387500</v>
      </c>
      <c r="H873" s="18">
        <v>20677114.890000001</v>
      </c>
      <c r="I873" s="18">
        <v>21387500</v>
      </c>
      <c r="J873" s="18">
        <v>20677114.890000001</v>
      </c>
      <c r="K873" s="15">
        <v>3233105</v>
      </c>
      <c r="L873" s="13" t="s">
        <v>102</v>
      </c>
      <c r="M873" s="13" t="s">
        <v>103</v>
      </c>
      <c r="N873" s="138" t="s">
        <v>350</v>
      </c>
      <c r="O873" s="138" t="s">
        <v>350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530</v>
      </c>
      <c r="V873" s="13" t="s">
        <v>530</v>
      </c>
      <c r="W873" s="59">
        <f>+J873/$W$2</f>
        <v>3.3840319116901078E-4</v>
      </c>
    </row>
    <row r="874" spans="1:23">
      <c r="A874" s="13" t="s">
        <v>523</v>
      </c>
      <c r="B874" s="13" t="s">
        <v>404</v>
      </c>
      <c r="C874" s="138">
        <v>46297</v>
      </c>
      <c r="D874" s="138" t="s">
        <v>424</v>
      </c>
      <c r="E874" s="28">
        <v>0.97069311000000003</v>
      </c>
      <c r="F874" s="13"/>
      <c r="G874" s="18">
        <v>10000000</v>
      </c>
      <c r="H874" s="18">
        <v>9706931.1099999994</v>
      </c>
      <c r="I874" s="18">
        <v>10000000</v>
      </c>
      <c r="J874" s="18">
        <v>9706931.1099999994</v>
      </c>
      <c r="K874" s="15">
        <v>3487825</v>
      </c>
      <c r="L874" s="13" t="s">
        <v>102</v>
      </c>
      <c r="M874" s="13" t="s">
        <v>103</v>
      </c>
      <c r="N874" s="138" t="s">
        <v>288</v>
      </c>
      <c r="O874" s="138" t="s">
        <v>288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699</v>
      </c>
      <c r="V874" s="13" t="s">
        <v>699</v>
      </c>
      <c r="W874" s="59">
        <f>+J874/$W$2</f>
        <v>1.5886435228303498E-4</v>
      </c>
    </row>
    <row r="875" spans="1:23">
      <c r="A875" s="13" t="s">
        <v>523</v>
      </c>
      <c r="B875" s="13" t="s">
        <v>404</v>
      </c>
      <c r="C875" s="138">
        <v>46297</v>
      </c>
      <c r="D875" s="138" t="s">
        <v>424</v>
      </c>
      <c r="E875" s="28">
        <v>0.97364494000000001</v>
      </c>
      <c r="F875" s="13"/>
      <c r="G875" s="18">
        <v>9000000</v>
      </c>
      <c r="H875" s="18">
        <v>8762804.4199999999</v>
      </c>
      <c r="I875" s="18">
        <v>9000000</v>
      </c>
      <c r="J875" s="18">
        <v>8762804.4199999999</v>
      </c>
      <c r="K875" s="15">
        <v>3487870</v>
      </c>
      <c r="L875" s="13" t="s">
        <v>102</v>
      </c>
      <c r="M875" s="13" t="s">
        <v>103</v>
      </c>
      <c r="N875" s="138" t="s">
        <v>282</v>
      </c>
      <c r="O875" s="138" t="s">
        <v>282</v>
      </c>
      <c r="P875" s="28">
        <v>26</v>
      </c>
      <c r="Q875" s="13" t="s">
        <v>54</v>
      </c>
      <c r="R875" s="13" t="s">
        <v>28</v>
      </c>
      <c r="S875" s="13"/>
      <c r="T875" s="13"/>
      <c r="U875" s="13" t="s">
        <v>820</v>
      </c>
      <c r="V875" s="13" t="s">
        <v>820</v>
      </c>
      <c r="W875" s="59">
        <f>+J875/$W$2</f>
        <v>1.4341270506515585E-4</v>
      </c>
    </row>
    <row r="876" spans="1:23">
      <c r="A876" s="13" t="s">
        <v>523</v>
      </c>
      <c r="B876" s="13" t="s">
        <v>404</v>
      </c>
      <c r="C876" s="138">
        <v>46297</v>
      </c>
      <c r="D876" s="138" t="s">
        <v>424</v>
      </c>
      <c r="E876" s="28">
        <v>0.97364494000000001</v>
      </c>
      <c r="F876" s="13"/>
      <c r="G876" s="18">
        <v>9000000</v>
      </c>
      <c r="H876" s="18">
        <v>8762804.4199999999</v>
      </c>
      <c r="I876" s="18">
        <v>9000000</v>
      </c>
      <c r="J876" s="18">
        <v>8762804.4199999999</v>
      </c>
      <c r="K876" s="15">
        <v>3385280</v>
      </c>
      <c r="L876" s="13" t="s">
        <v>102</v>
      </c>
      <c r="M876" s="13" t="s">
        <v>103</v>
      </c>
      <c r="N876" s="138" t="s">
        <v>282</v>
      </c>
      <c r="O876" s="138" t="s">
        <v>282</v>
      </c>
      <c r="P876" s="28">
        <v>26</v>
      </c>
      <c r="Q876" s="13" t="s">
        <v>54</v>
      </c>
      <c r="R876" s="13" t="s">
        <v>28</v>
      </c>
      <c r="S876" s="13"/>
      <c r="T876" s="13"/>
      <c r="U876" s="13" t="s">
        <v>822</v>
      </c>
      <c r="V876" s="13" t="s">
        <v>822</v>
      </c>
      <c r="W876" s="59">
        <f>+J876/$W$2</f>
        <v>1.4341270506515585E-4</v>
      </c>
    </row>
    <row r="877" spans="1:23">
      <c r="A877" s="13" t="s">
        <v>337</v>
      </c>
      <c r="B877" s="13" t="s">
        <v>404</v>
      </c>
      <c r="C877" s="138">
        <v>46297</v>
      </c>
      <c r="D877" s="138" t="s">
        <v>424</v>
      </c>
      <c r="E877" s="28">
        <v>0.96775917</v>
      </c>
      <c r="F877" s="13"/>
      <c r="G877" s="18">
        <v>200000000</v>
      </c>
      <c r="H877" s="18">
        <v>193551834.96000001</v>
      </c>
      <c r="I877" s="18">
        <v>200000000</v>
      </c>
      <c r="J877" s="18">
        <v>193551834.96000001</v>
      </c>
      <c r="K877" s="15">
        <v>9779580</v>
      </c>
      <c r="L877" s="13" t="s">
        <v>102</v>
      </c>
      <c r="M877" s="13" t="s">
        <v>103</v>
      </c>
      <c r="N877" s="138" t="s">
        <v>445</v>
      </c>
      <c r="O877" s="138" t="s">
        <v>445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2534</v>
      </c>
      <c r="V877" s="13" t="s">
        <v>2534</v>
      </c>
      <c r="W877" s="59">
        <f>+J877/$W$2</f>
        <v>3.1676836423034311E-3</v>
      </c>
    </row>
    <row r="878" spans="1:23">
      <c r="A878" s="13" t="s">
        <v>337</v>
      </c>
      <c r="B878" s="13" t="s">
        <v>404</v>
      </c>
      <c r="C878" s="138">
        <v>46297</v>
      </c>
      <c r="D878" s="138" t="s">
        <v>424</v>
      </c>
      <c r="E878" s="28">
        <v>0.96971317000000001</v>
      </c>
      <c r="F878" s="13"/>
      <c r="G878" s="18">
        <v>100000000</v>
      </c>
      <c r="H878" s="18">
        <v>96971317.400000006</v>
      </c>
      <c r="I878" s="18">
        <v>100000000</v>
      </c>
      <c r="J878" s="18">
        <v>96971317.400000006</v>
      </c>
      <c r="K878" s="15">
        <v>9779575</v>
      </c>
      <c r="L878" s="13" t="s">
        <v>102</v>
      </c>
      <c r="M878" s="13" t="s">
        <v>103</v>
      </c>
      <c r="N878" s="138" t="s">
        <v>386</v>
      </c>
      <c r="O878" s="138" t="s">
        <v>386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1841</v>
      </c>
      <c r="V878" s="13" t="s">
        <v>1841</v>
      </c>
      <c r="W878" s="59">
        <f>+J878/$W$2</f>
        <v>1.5870397506904323E-3</v>
      </c>
    </row>
    <row r="879" spans="1:23">
      <c r="A879" s="13" t="s">
        <v>337</v>
      </c>
      <c r="B879" s="13" t="s">
        <v>404</v>
      </c>
      <c r="C879" s="138">
        <v>46297</v>
      </c>
      <c r="D879" s="138" t="s">
        <v>424</v>
      </c>
      <c r="E879" s="28">
        <v>0.96971317000000001</v>
      </c>
      <c r="F879" s="13"/>
      <c r="G879" s="18">
        <v>100000000</v>
      </c>
      <c r="H879" s="18">
        <v>96971317.400000006</v>
      </c>
      <c r="I879" s="18">
        <v>100000000</v>
      </c>
      <c r="J879" s="18">
        <v>96971317.400000006</v>
      </c>
      <c r="K879" s="15">
        <v>9779576</v>
      </c>
      <c r="L879" s="13" t="s">
        <v>102</v>
      </c>
      <c r="M879" s="13" t="s">
        <v>103</v>
      </c>
      <c r="N879" s="138" t="s">
        <v>386</v>
      </c>
      <c r="O879" s="138" t="s">
        <v>386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1842</v>
      </c>
      <c r="V879" s="13" t="s">
        <v>1842</v>
      </c>
      <c r="W879" s="59">
        <f>+J879/$W$2</f>
        <v>1.5870397506904323E-3</v>
      </c>
    </row>
    <row r="880" spans="1:23">
      <c r="A880" s="13" t="s">
        <v>337</v>
      </c>
      <c r="B880" s="13" t="s">
        <v>404</v>
      </c>
      <c r="C880" s="138">
        <v>46297</v>
      </c>
      <c r="D880" s="138" t="s">
        <v>424</v>
      </c>
      <c r="E880" s="28">
        <v>0.96971317000000001</v>
      </c>
      <c r="F880" s="13"/>
      <c r="G880" s="18">
        <v>100000000</v>
      </c>
      <c r="H880" s="18">
        <v>96971317.400000006</v>
      </c>
      <c r="I880" s="18">
        <v>100000000</v>
      </c>
      <c r="J880" s="18">
        <v>96971317.400000006</v>
      </c>
      <c r="K880" s="15">
        <v>9779578</v>
      </c>
      <c r="L880" s="13" t="s">
        <v>102</v>
      </c>
      <c r="M880" s="13" t="s">
        <v>103</v>
      </c>
      <c r="N880" s="138" t="s">
        <v>386</v>
      </c>
      <c r="O880" s="138" t="s">
        <v>386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1843</v>
      </c>
      <c r="V880" s="13" t="s">
        <v>1843</v>
      </c>
      <c r="W880" s="59">
        <f>+J880/$W$2</f>
        <v>1.5870397506904323E-3</v>
      </c>
    </row>
    <row r="881" spans="1:29">
      <c r="A881" s="13" t="s">
        <v>337</v>
      </c>
      <c r="B881" s="13" t="s">
        <v>404</v>
      </c>
      <c r="C881" s="138">
        <v>46297</v>
      </c>
      <c r="D881" s="138" t="s">
        <v>424</v>
      </c>
      <c r="E881" s="28">
        <v>0.96971317000000001</v>
      </c>
      <c r="F881" s="13"/>
      <c r="G881" s="18">
        <v>100000000</v>
      </c>
      <c r="H881" s="18">
        <v>96971317.400000006</v>
      </c>
      <c r="I881" s="18">
        <v>100000000</v>
      </c>
      <c r="J881" s="18">
        <v>96971317.400000006</v>
      </c>
      <c r="K881" s="15">
        <v>9779577</v>
      </c>
      <c r="L881" s="13" t="s">
        <v>102</v>
      </c>
      <c r="M881" s="13" t="s">
        <v>103</v>
      </c>
      <c r="N881" s="138" t="s">
        <v>386</v>
      </c>
      <c r="O881" s="138" t="s">
        <v>386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1844</v>
      </c>
      <c r="V881" s="13" t="s">
        <v>1844</v>
      </c>
      <c r="W881" s="59">
        <f>+J881/$W$2</f>
        <v>1.5870397506904323E-3</v>
      </c>
    </row>
    <row r="882" spans="1:29">
      <c r="A882" s="13" t="s">
        <v>337</v>
      </c>
      <c r="B882" s="13" t="s">
        <v>404</v>
      </c>
      <c r="C882" s="138">
        <v>46297</v>
      </c>
      <c r="D882" s="138" t="s">
        <v>424</v>
      </c>
      <c r="E882" s="28">
        <v>0.96971317000000001</v>
      </c>
      <c r="F882" s="13"/>
      <c r="G882" s="18">
        <v>100000000</v>
      </c>
      <c r="H882" s="18">
        <v>96971317.400000006</v>
      </c>
      <c r="I882" s="18">
        <v>100000000</v>
      </c>
      <c r="J882" s="18">
        <v>96971317.400000006</v>
      </c>
      <c r="K882" s="15">
        <v>9779579</v>
      </c>
      <c r="L882" s="13" t="s">
        <v>102</v>
      </c>
      <c r="M882" s="13" t="s">
        <v>103</v>
      </c>
      <c r="N882" s="138" t="s">
        <v>386</v>
      </c>
      <c r="O882" s="138" t="s">
        <v>386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1845</v>
      </c>
      <c r="V882" s="13" t="s">
        <v>1845</v>
      </c>
      <c r="W882" s="59">
        <f>+J882/$W$2</f>
        <v>1.5870397506904323E-3</v>
      </c>
    </row>
    <row r="883" spans="1:29">
      <c r="A883" s="13" t="s">
        <v>337</v>
      </c>
      <c r="B883" s="13" t="s">
        <v>404</v>
      </c>
      <c r="C883" s="138">
        <v>46297</v>
      </c>
      <c r="D883" s="138" t="s">
        <v>424</v>
      </c>
      <c r="E883" s="28">
        <v>0.96971311000000004</v>
      </c>
      <c r="F883" s="13"/>
      <c r="G883" s="18">
        <v>100000000</v>
      </c>
      <c r="H883" s="18">
        <v>96971311.230000004</v>
      </c>
      <c r="I883" s="18">
        <v>100000000</v>
      </c>
      <c r="J883" s="18">
        <v>96971311.230000004</v>
      </c>
      <c r="K883" s="15">
        <v>6676</v>
      </c>
      <c r="L883" s="13" t="s">
        <v>102</v>
      </c>
      <c r="M883" s="13" t="s">
        <v>103</v>
      </c>
      <c r="N883" s="138" t="s">
        <v>344</v>
      </c>
      <c r="O883" s="138" t="s">
        <v>344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1036</v>
      </c>
      <c r="V883" s="13" t="s">
        <v>1036</v>
      </c>
      <c r="W883" s="59">
        <f>+J883/$W$2</f>
        <v>1.5870396497117559E-3</v>
      </c>
    </row>
    <row r="884" spans="1:29">
      <c r="A884" s="13" t="s">
        <v>174</v>
      </c>
      <c r="B884" s="13" t="s">
        <v>404</v>
      </c>
      <c r="C884" s="138">
        <v>46297</v>
      </c>
      <c r="D884" s="138" t="s">
        <v>424</v>
      </c>
      <c r="E884" s="28">
        <v>0.96484283000000004</v>
      </c>
      <c r="F884" s="13"/>
      <c r="G884" s="18">
        <v>250000000</v>
      </c>
      <c r="H884" s="18">
        <v>241210707.44999999</v>
      </c>
      <c r="I884" s="18">
        <v>250000000</v>
      </c>
      <c r="J884" s="18">
        <v>241210707.44999999</v>
      </c>
      <c r="K884" s="15">
        <v>70400474</v>
      </c>
      <c r="L884" s="13" t="s">
        <v>102</v>
      </c>
      <c r="M884" s="13" t="s">
        <v>103</v>
      </c>
      <c r="N884" s="138" t="s">
        <v>639</v>
      </c>
      <c r="O884" s="138" t="s">
        <v>639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2139</v>
      </c>
      <c r="V884" s="13" t="s">
        <v>2139</v>
      </c>
      <c r="W884" s="59">
        <f>+J884/$W$2</f>
        <v>3.9476722734026791E-3</v>
      </c>
    </row>
    <row r="885" spans="1:29">
      <c r="A885" s="13" t="s">
        <v>916</v>
      </c>
      <c r="B885" s="13" t="s">
        <v>404</v>
      </c>
      <c r="C885" s="138">
        <v>46300</v>
      </c>
      <c r="D885" s="138" t="s">
        <v>424</v>
      </c>
      <c r="E885" s="28">
        <v>0.96740000999999998</v>
      </c>
      <c r="F885" s="13"/>
      <c r="G885" s="18">
        <v>100000000</v>
      </c>
      <c r="H885" s="18">
        <v>96740001.010000005</v>
      </c>
      <c r="I885" s="18">
        <v>100000000</v>
      </c>
      <c r="J885" s="18">
        <v>96740001.010000005</v>
      </c>
      <c r="K885" s="15">
        <v>90003951</v>
      </c>
      <c r="L885" s="13" t="s">
        <v>102</v>
      </c>
      <c r="M885" s="13" t="s">
        <v>103</v>
      </c>
      <c r="N885" s="138" t="s">
        <v>385</v>
      </c>
      <c r="O885" s="138" t="s">
        <v>385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1888</v>
      </c>
      <c r="V885" s="13" t="s">
        <v>1888</v>
      </c>
      <c r="W885" s="59">
        <f>+J885/$W$2</f>
        <v>1.5832540095480085E-3</v>
      </c>
    </row>
    <row r="886" spans="1:29">
      <c r="A886" s="13" t="s">
        <v>626</v>
      </c>
      <c r="B886" s="13" t="s">
        <v>404</v>
      </c>
      <c r="C886" s="138">
        <v>46300</v>
      </c>
      <c r="D886" s="138" t="s">
        <v>424</v>
      </c>
      <c r="E886" s="28">
        <v>0.95906248999999999</v>
      </c>
      <c r="F886" s="13"/>
      <c r="G886" s="18">
        <v>6500236.5700000003</v>
      </c>
      <c r="H886" s="18">
        <v>6234133.0700000003</v>
      </c>
      <c r="I886" s="18">
        <v>6500236.5700000003</v>
      </c>
      <c r="J886" s="18">
        <v>6234133.0700000003</v>
      </c>
      <c r="K886" s="15">
        <v>90000580</v>
      </c>
      <c r="L886" s="13" t="s">
        <v>102</v>
      </c>
      <c r="M886" s="13" t="s">
        <v>103</v>
      </c>
      <c r="N886" s="138" t="s">
        <v>313</v>
      </c>
      <c r="O886" s="138" t="s">
        <v>313</v>
      </c>
      <c r="P886" s="28">
        <v>38</v>
      </c>
      <c r="Q886" s="13" t="s">
        <v>54</v>
      </c>
      <c r="R886" s="13" t="s">
        <v>28</v>
      </c>
      <c r="S886" s="13"/>
      <c r="T886" s="13"/>
      <c r="U886" s="13" t="s">
        <v>641</v>
      </c>
      <c r="V886" s="13" t="s">
        <v>641</v>
      </c>
      <c r="W886" s="59">
        <f>+J886/$W$2</f>
        <v>1.0202828277945803E-4</v>
      </c>
    </row>
    <row r="887" spans="1:29">
      <c r="A887" s="13" t="s">
        <v>634</v>
      </c>
      <c r="B887" s="13" t="s">
        <v>127</v>
      </c>
      <c r="C887" s="138">
        <v>46300</v>
      </c>
      <c r="D887" s="138" t="s">
        <v>424</v>
      </c>
      <c r="E887" s="28">
        <v>0.99109373000000001</v>
      </c>
      <c r="F887" s="13" t="s">
        <v>2681</v>
      </c>
      <c r="G887" s="18">
        <v>188100</v>
      </c>
      <c r="H887" s="18">
        <v>186424.73</v>
      </c>
      <c r="I887" s="18">
        <v>284319270.74000001</v>
      </c>
      <c r="J887" s="18">
        <v>281787045.62</v>
      </c>
      <c r="K887" s="15">
        <v>160721</v>
      </c>
      <c r="L887" s="13" t="s">
        <v>102</v>
      </c>
      <c r="M887" s="13" t="s">
        <v>103</v>
      </c>
      <c r="N887" s="138" t="s">
        <v>441</v>
      </c>
      <c r="O887" s="138" t="s">
        <v>441</v>
      </c>
      <c r="P887" s="28">
        <v>8</v>
      </c>
      <c r="Q887" s="13" t="s">
        <v>54</v>
      </c>
      <c r="R887" s="13" t="s">
        <v>28</v>
      </c>
      <c r="S887" s="13"/>
      <c r="T887" s="13"/>
      <c r="U887" s="13" t="s">
        <v>2314</v>
      </c>
      <c r="V887" s="13" t="s">
        <v>2314</v>
      </c>
      <c r="W887" s="59">
        <f>+J887/$W$2</f>
        <v>4.6117476241336313E-3</v>
      </c>
    </row>
    <row r="888" spans="1:29">
      <c r="A888" s="13" t="s">
        <v>634</v>
      </c>
      <c r="B888" s="13" t="s">
        <v>127</v>
      </c>
      <c r="C888" s="138">
        <v>46300</v>
      </c>
      <c r="D888" s="138" t="s">
        <v>424</v>
      </c>
      <c r="E888" s="28">
        <v>0.99219840000000004</v>
      </c>
      <c r="F888" s="13" t="s">
        <v>2681</v>
      </c>
      <c r="G888" s="18">
        <v>50000</v>
      </c>
      <c r="H888" s="18">
        <v>49609.919999999998</v>
      </c>
      <c r="I888" s="18">
        <v>75576626.989999995</v>
      </c>
      <c r="J888" s="18">
        <v>74987008.379999995</v>
      </c>
      <c r="K888" s="15">
        <v>150093</v>
      </c>
      <c r="L888" s="13" t="s">
        <v>102</v>
      </c>
      <c r="M888" s="13" t="s">
        <v>103</v>
      </c>
      <c r="N888" s="138" t="s">
        <v>372</v>
      </c>
      <c r="O888" s="138" t="s">
        <v>372</v>
      </c>
      <c r="P888" s="28">
        <v>7</v>
      </c>
      <c r="Q888" s="13" t="s">
        <v>54</v>
      </c>
      <c r="R888" s="13" t="s">
        <v>28</v>
      </c>
      <c r="S888" s="13"/>
      <c r="T888" s="13"/>
      <c r="U888" s="13" t="s">
        <v>755</v>
      </c>
      <c r="V888" s="13" t="s">
        <v>755</v>
      </c>
      <c r="W888" s="59">
        <f>+J888/$W$2</f>
        <v>1.2272429237350604E-3</v>
      </c>
    </row>
    <row r="889" spans="1:29">
      <c r="A889" s="13" t="s">
        <v>634</v>
      </c>
      <c r="B889" s="13" t="s">
        <v>127</v>
      </c>
      <c r="C889" s="138">
        <v>46300</v>
      </c>
      <c r="D889" s="138" t="s">
        <v>424</v>
      </c>
      <c r="E889" s="28">
        <v>0.98999199999999998</v>
      </c>
      <c r="F889" s="13" t="s">
        <v>2681</v>
      </c>
      <c r="G889" s="18">
        <v>25000</v>
      </c>
      <c r="H889" s="18">
        <v>24749.8</v>
      </c>
      <c r="I889" s="18">
        <v>37788313.5</v>
      </c>
      <c r="J889" s="18">
        <v>37410128.049999997</v>
      </c>
      <c r="K889" s="15">
        <v>150614</v>
      </c>
      <c r="L889" s="13" t="s">
        <v>102</v>
      </c>
      <c r="M889" s="13" t="s">
        <v>103</v>
      </c>
      <c r="N889" s="138" t="s">
        <v>156</v>
      </c>
      <c r="O889" s="138" t="s">
        <v>156</v>
      </c>
      <c r="P889" s="28">
        <v>9</v>
      </c>
      <c r="Q889" s="13" t="s">
        <v>54</v>
      </c>
      <c r="R889" s="13" t="s">
        <v>28</v>
      </c>
      <c r="S889" s="13"/>
      <c r="T889" s="13"/>
      <c r="U889" s="13" t="s">
        <v>770</v>
      </c>
      <c r="V889" s="13" t="s">
        <v>770</v>
      </c>
      <c r="W889" s="59">
        <f>+J889/$W$2</f>
        <v>6.1225692179540437E-4</v>
      </c>
    </row>
    <row r="890" spans="1:29">
      <c r="A890" s="13" t="s">
        <v>405</v>
      </c>
      <c r="B890" s="13" t="s">
        <v>404</v>
      </c>
      <c r="C890" s="138">
        <v>46300</v>
      </c>
      <c r="D890" s="138" t="s">
        <v>424</v>
      </c>
      <c r="E890" s="28">
        <v>0.96530225000000003</v>
      </c>
      <c r="F890" s="13"/>
      <c r="G890" s="18">
        <v>3000000</v>
      </c>
      <c r="H890" s="18">
        <v>2895906.75</v>
      </c>
      <c r="I890" s="18">
        <v>3000000</v>
      </c>
      <c r="J890" s="18">
        <v>2895906.75</v>
      </c>
      <c r="K890" s="15">
        <v>1034</v>
      </c>
      <c r="L890" s="13" t="s">
        <v>102</v>
      </c>
      <c r="M890" s="13" t="s">
        <v>103</v>
      </c>
      <c r="N890" s="138" t="s">
        <v>424</v>
      </c>
      <c r="O890" s="138" t="s">
        <v>424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2628</v>
      </c>
      <c r="V890" s="13" t="s">
        <v>2628</v>
      </c>
      <c r="W890" s="59">
        <f>+J890/$W$2</f>
        <v>4.7394623995721231E-5</v>
      </c>
    </row>
    <row r="891" spans="1:29">
      <c r="A891" s="13" t="s">
        <v>514</v>
      </c>
      <c r="B891" s="13" t="s">
        <v>404</v>
      </c>
      <c r="C891" s="138">
        <v>46300</v>
      </c>
      <c r="D891" s="138" t="s">
        <v>424</v>
      </c>
      <c r="E891" s="28">
        <v>0.95700054000000001</v>
      </c>
      <c r="F891" s="13"/>
      <c r="G891" s="18">
        <v>7203888</v>
      </c>
      <c r="H891" s="18">
        <v>6894124.7000000002</v>
      </c>
      <c r="I891" s="18">
        <v>7203888</v>
      </c>
      <c r="J891" s="18">
        <v>6894124.7000000002</v>
      </c>
      <c r="K891" s="15">
        <v>66329827</v>
      </c>
      <c r="L891" s="13" t="s">
        <v>102</v>
      </c>
      <c r="M891" s="13" t="s">
        <v>103</v>
      </c>
      <c r="N891" s="138" t="s">
        <v>316</v>
      </c>
      <c r="O891" s="138" t="s">
        <v>316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491</v>
      </c>
      <c r="V891" s="13" t="s">
        <v>491</v>
      </c>
      <c r="W891" s="59">
        <f>+J891/$W$2</f>
        <v>1.1282975459624673E-4</v>
      </c>
    </row>
    <row r="892" spans="1:29">
      <c r="A892" s="13" t="s">
        <v>285</v>
      </c>
      <c r="B892" s="13" t="s">
        <v>404</v>
      </c>
      <c r="C892" s="138">
        <v>46300</v>
      </c>
      <c r="D892" s="138" t="s">
        <v>424</v>
      </c>
      <c r="E892" s="28">
        <v>0.97268498999999997</v>
      </c>
      <c r="F892" s="13"/>
      <c r="G892" s="18">
        <v>8650000</v>
      </c>
      <c r="H892" s="18">
        <v>8413725.1699999999</v>
      </c>
      <c r="I892" s="18">
        <v>8650000</v>
      </c>
      <c r="J892" s="18">
        <v>8413725.1699999999</v>
      </c>
      <c r="K892" s="15">
        <v>34383</v>
      </c>
      <c r="L892" s="13" t="s">
        <v>102</v>
      </c>
      <c r="M892" s="13" t="s">
        <v>103</v>
      </c>
      <c r="N892" s="138" t="s">
        <v>383</v>
      </c>
      <c r="O892" s="138" t="s">
        <v>383</v>
      </c>
      <c r="P892" s="28">
        <v>25</v>
      </c>
      <c r="Q892" s="13" t="s">
        <v>54</v>
      </c>
      <c r="R892" s="13" t="s">
        <v>28</v>
      </c>
      <c r="S892" s="13"/>
      <c r="T892" s="13"/>
      <c r="U892" s="13" t="s">
        <v>1631</v>
      </c>
      <c r="V892" s="13" t="s">
        <v>1631</v>
      </c>
      <c r="W892" s="59">
        <f>+J892/$W$2</f>
        <v>1.3769964824850996E-4</v>
      </c>
    </row>
    <row r="893" spans="1:29">
      <c r="A893" s="13" t="s">
        <v>405</v>
      </c>
      <c r="B893" s="13" t="s">
        <v>404</v>
      </c>
      <c r="C893" s="138">
        <v>46300</v>
      </c>
      <c r="D893" s="138" t="s">
        <v>424</v>
      </c>
      <c r="E893" s="28">
        <v>0.96739998000000005</v>
      </c>
      <c r="F893" s="13"/>
      <c r="G893" s="18">
        <v>5000000</v>
      </c>
      <c r="H893" s="18">
        <v>4836999.9000000004</v>
      </c>
      <c r="I893" s="18">
        <v>5000000</v>
      </c>
      <c r="J893" s="18">
        <v>4836999.9000000004</v>
      </c>
      <c r="K893" s="15">
        <v>788</v>
      </c>
      <c r="L893" s="13" t="s">
        <v>102</v>
      </c>
      <c r="M893" s="13" t="s">
        <v>103</v>
      </c>
      <c r="N893" s="138" t="s">
        <v>421</v>
      </c>
      <c r="O893" s="138" t="s">
        <v>421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1396</v>
      </c>
      <c r="V893" s="13" t="s">
        <v>1396</v>
      </c>
      <c r="W893" s="59">
        <f>+J893/$W$2</f>
        <v>7.9162698014306293E-5</v>
      </c>
      <c r="AC893" s="56"/>
    </row>
    <row r="894" spans="1:29">
      <c r="A894" s="13" t="s">
        <v>405</v>
      </c>
      <c r="B894" s="13" t="s">
        <v>404</v>
      </c>
      <c r="C894" s="138">
        <v>46300</v>
      </c>
      <c r="D894" s="138" t="s">
        <v>424</v>
      </c>
      <c r="E894" s="28">
        <v>0.96740013999999996</v>
      </c>
      <c r="F894" s="13"/>
      <c r="G894" s="18">
        <v>3300000</v>
      </c>
      <c r="H894" s="18">
        <v>3192420.47</v>
      </c>
      <c r="I894" s="18">
        <v>3300000</v>
      </c>
      <c r="J894" s="18">
        <v>3192420.47</v>
      </c>
      <c r="K894" s="15">
        <v>922</v>
      </c>
      <c r="L894" s="13" t="s">
        <v>102</v>
      </c>
      <c r="M894" s="13" t="s">
        <v>103</v>
      </c>
      <c r="N894" s="138" t="s">
        <v>422</v>
      </c>
      <c r="O894" s="138" t="s">
        <v>422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2249</v>
      </c>
      <c r="V894" s="13" t="s">
        <v>2249</v>
      </c>
      <c r="W894" s="59">
        <f>+J894/$W$2</f>
        <v>5.2247389461657785E-5</v>
      </c>
    </row>
    <row r="895" spans="1:29">
      <c r="A895" s="13" t="s">
        <v>405</v>
      </c>
      <c r="B895" s="13" t="s">
        <v>404</v>
      </c>
      <c r="C895" s="138">
        <v>46300</v>
      </c>
      <c r="D895" s="138" t="s">
        <v>424</v>
      </c>
      <c r="E895" s="28">
        <v>0.96740011000000004</v>
      </c>
      <c r="F895" s="13"/>
      <c r="G895" s="18">
        <v>2500000</v>
      </c>
      <c r="H895" s="18">
        <v>2418500.2799999998</v>
      </c>
      <c r="I895" s="18">
        <v>2500000</v>
      </c>
      <c r="J895" s="18">
        <v>2418500.2799999998</v>
      </c>
      <c r="K895" s="15">
        <v>904</v>
      </c>
      <c r="L895" s="13" t="s">
        <v>102</v>
      </c>
      <c r="M895" s="13" t="s">
        <v>103</v>
      </c>
      <c r="N895" s="138" t="s">
        <v>371</v>
      </c>
      <c r="O895" s="138" t="s">
        <v>371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2099</v>
      </c>
      <c r="V895" s="13" t="s">
        <v>2099</v>
      </c>
      <c r="W895" s="59">
        <f>+J895/$W$2</f>
        <v>3.9581354407957543E-5</v>
      </c>
    </row>
    <row r="896" spans="1:29">
      <c r="A896" s="13" t="s">
        <v>2214</v>
      </c>
      <c r="B896" s="13" t="s">
        <v>404</v>
      </c>
      <c r="C896" s="138">
        <v>46300</v>
      </c>
      <c r="D896" s="138" t="s">
        <v>424</v>
      </c>
      <c r="E896" s="28">
        <v>0.96950714000000004</v>
      </c>
      <c r="F896" s="13"/>
      <c r="G896" s="18">
        <v>7523782.9100000001</v>
      </c>
      <c r="H896" s="18">
        <v>7294361.2400000002</v>
      </c>
      <c r="I896" s="18">
        <v>7523782.9100000001</v>
      </c>
      <c r="J896" s="18">
        <v>7294361.2400000002</v>
      </c>
      <c r="K896" s="15">
        <v>3215694</v>
      </c>
      <c r="L896" s="13" t="s">
        <v>102</v>
      </c>
      <c r="M896" s="13" t="s">
        <v>103</v>
      </c>
      <c r="N896" s="138" t="s">
        <v>639</v>
      </c>
      <c r="O896" s="138" t="s">
        <v>639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2203</v>
      </c>
      <c r="V896" s="13" t="s">
        <v>2203</v>
      </c>
      <c r="W896" s="59">
        <f>+J896/$W$2</f>
        <v>1.1938005540363579E-4</v>
      </c>
    </row>
    <row r="897" spans="1:29">
      <c r="A897" s="13" t="s">
        <v>1970</v>
      </c>
      <c r="B897" s="13" t="s">
        <v>404</v>
      </c>
      <c r="C897" s="138">
        <v>46300</v>
      </c>
      <c r="D897" s="138" t="s">
        <v>424</v>
      </c>
      <c r="E897" s="28">
        <v>0.96530218000000001</v>
      </c>
      <c r="F897" s="13"/>
      <c r="G897" s="18">
        <v>1016376</v>
      </c>
      <c r="H897" s="18">
        <v>981109.97</v>
      </c>
      <c r="I897" s="18">
        <v>1016376</v>
      </c>
      <c r="J897" s="18">
        <v>981109.97</v>
      </c>
      <c r="K897" s="15">
        <v>68280012</v>
      </c>
      <c r="L897" s="13" t="s">
        <v>102</v>
      </c>
      <c r="M897" s="13" t="s">
        <v>103</v>
      </c>
      <c r="N897" s="138" t="s">
        <v>341</v>
      </c>
      <c r="O897" s="138" t="s">
        <v>341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1951</v>
      </c>
      <c r="V897" s="13" t="s">
        <v>1951</v>
      </c>
      <c r="W897" s="59">
        <f>+J897/$W$2</f>
        <v>1.60569183129268E-5</v>
      </c>
    </row>
    <row r="898" spans="1:29">
      <c r="A898" s="13" t="s">
        <v>2220</v>
      </c>
      <c r="B898" s="13" t="s">
        <v>404</v>
      </c>
      <c r="C898" s="138">
        <v>46300</v>
      </c>
      <c r="D898" s="138" t="s">
        <v>424</v>
      </c>
      <c r="E898" s="28">
        <v>0.96530225000000003</v>
      </c>
      <c r="F898" s="13"/>
      <c r="G898" s="18">
        <v>6000000</v>
      </c>
      <c r="H898" s="18">
        <v>5791813.5</v>
      </c>
      <c r="I898" s="18">
        <v>6000000</v>
      </c>
      <c r="J898" s="18">
        <v>5791813.5</v>
      </c>
      <c r="K898" s="15">
        <v>90001649</v>
      </c>
      <c r="L898" s="13" t="s">
        <v>102</v>
      </c>
      <c r="M898" s="13" t="s">
        <v>103</v>
      </c>
      <c r="N898" s="138" t="s">
        <v>424</v>
      </c>
      <c r="O898" s="138" t="s">
        <v>424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2654</v>
      </c>
      <c r="V898" s="13" t="s">
        <v>2654</v>
      </c>
      <c r="W898" s="59">
        <f>+J898/$W$2</f>
        <v>9.4789247991442462E-5</v>
      </c>
    </row>
    <row r="899" spans="1:29">
      <c r="A899" s="13" t="s">
        <v>2224</v>
      </c>
      <c r="B899" s="13" t="s">
        <v>404</v>
      </c>
      <c r="C899" s="138">
        <v>46300</v>
      </c>
      <c r="D899" s="138" t="s">
        <v>424</v>
      </c>
      <c r="E899" s="28">
        <v>0.96530225000000003</v>
      </c>
      <c r="F899" s="13"/>
      <c r="G899" s="18">
        <v>5444206</v>
      </c>
      <c r="H899" s="18">
        <v>5255304.3</v>
      </c>
      <c r="I899" s="18">
        <v>5444206</v>
      </c>
      <c r="J899" s="18">
        <v>5255304.3</v>
      </c>
      <c r="K899" s="15">
        <v>3438</v>
      </c>
      <c r="L899" s="13" t="s">
        <v>102</v>
      </c>
      <c r="M899" s="13" t="s">
        <v>103</v>
      </c>
      <c r="N899" s="138" t="s">
        <v>424</v>
      </c>
      <c r="O899" s="138" t="s">
        <v>424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2645</v>
      </c>
      <c r="V899" s="13" t="s">
        <v>2645</v>
      </c>
      <c r="W899" s="59">
        <f>+J899/$W$2</f>
        <v>8.6008698754404633E-5</v>
      </c>
    </row>
    <row r="900" spans="1:29">
      <c r="A900" s="13" t="s">
        <v>138</v>
      </c>
      <c r="B900" s="13" t="s">
        <v>404</v>
      </c>
      <c r="C900" s="138">
        <v>46301</v>
      </c>
      <c r="D900" s="138" t="s">
        <v>424</v>
      </c>
      <c r="E900" s="28">
        <v>0.96022319</v>
      </c>
      <c r="F900" s="13"/>
      <c r="G900" s="18">
        <v>100000000</v>
      </c>
      <c r="H900" s="18">
        <v>96022318.930000007</v>
      </c>
      <c r="I900" s="18">
        <v>100000000</v>
      </c>
      <c r="J900" s="18">
        <v>96022318.930000007</v>
      </c>
      <c r="K900" s="15">
        <v>8439</v>
      </c>
      <c r="L900" s="13" t="s">
        <v>102</v>
      </c>
      <c r="M900" s="13" t="s">
        <v>103</v>
      </c>
      <c r="N900" s="138" t="s">
        <v>355</v>
      </c>
      <c r="O900" s="138" t="s">
        <v>355</v>
      </c>
      <c r="P900" s="28">
        <v>36</v>
      </c>
      <c r="Q900" s="13" t="s">
        <v>54</v>
      </c>
      <c r="R900" s="13" t="s">
        <v>28</v>
      </c>
      <c r="S900" s="13"/>
      <c r="T900" s="13"/>
      <c r="U900" s="13" t="s">
        <v>1203</v>
      </c>
      <c r="V900" s="13" t="s">
        <v>1203</v>
      </c>
      <c r="W900" s="59">
        <f>+J900/$W$2</f>
        <v>1.5715083715608506E-3</v>
      </c>
      <c r="AC900" s="56"/>
    </row>
    <row r="901" spans="1:29">
      <c r="A901" s="13" t="s">
        <v>916</v>
      </c>
      <c r="B901" s="13" t="s">
        <v>404</v>
      </c>
      <c r="C901" s="138">
        <v>46301</v>
      </c>
      <c r="D901" s="138" t="s">
        <v>424</v>
      </c>
      <c r="E901" s="28">
        <v>0.96663136999999999</v>
      </c>
      <c r="F901" s="13"/>
      <c r="G901" s="18">
        <v>100000000</v>
      </c>
      <c r="H901" s="18">
        <v>96663137.209999993</v>
      </c>
      <c r="I901" s="18">
        <v>100000000</v>
      </c>
      <c r="J901" s="18">
        <v>96663137.209999993</v>
      </c>
      <c r="K901" s="15">
        <v>90003952</v>
      </c>
      <c r="L901" s="13" t="s">
        <v>102</v>
      </c>
      <c r="M901" s="13" t="s">
        <v>103</v>
      </c>
      <c r="N901" s="138" t="s">
        <v>385</v>
      </c>
      <c r="O901" s="138" t="s">
        <v>385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1889</v>
      </c>
      <c r="V901" s="13" t="s">
        <v>1889</v>
      </c>
      <c r="W901" s="59">
        <f>+J901/$W$2</f>
        <v>1.5819960509138491E-3</v>
      </c>
    </row>
    <row r="902" spans="1:29">
      <c r="A902" s="13" t="s">
        <v>318</v>
      </c>
      <c r="B902" s="13" t="s">
        <v>404</v>
      </c>
      <c r="C902" s="138">
        <v>46301</v>
      </c>
      <c r="D902" s="138" t="s">
        <v>424</v>
      </c>
      <c r="E902" s="28">
        <v>0.97530996999999997</v>
      </c>
      <c r="F902" s="13"/>
      <c r="G902" s="18">
        <v>13000000</v>
      </c>
      <c r="H902" s="18">
        <v>12679029.67</v>
      </c>
      <c r="I902" s="18">
        <v>13000000</v>
      </c>
      <c r="J902" s="18">
        <v>12679029.67</v>
      </c>
      <c r="K902" s="15">
        <v>34113</v>
      </c>
      <c r="L902" s="13" t="s">
        <v>102</v>
      </c>
      <c r="M902" s="13" t="s">
        <v>103</v>
      </c>
      <c r="N902" s="138" t="s">
        <v>163</v>
      </c>
      <c r="O902" s="138" t="s">
        <v>163</v>
      </c>
      <c r="P902" s="28">
        <v>22</v>
      </c>
      <c r="Q902" s="13" t="s">
        <v>54</v>
      </c>
      <c r="R902" s="13" t="s">
        <v>28</v>
      </c>
      <c r="S902" s="13"/>
      <c r="T902" s="13"/>
      <c r="U902" s="13" t="s">
        <v>1146</v>
      </c>
      <c r="V902" s="13" t="s">
        <v>1146</v>
      </c>
      <c r="W902" s="59">
        <f>+J902/$W$2</f>
        <v>2.0750593707488801E-4</v>
      </c>
    </row>
    <row r="903" spans="1:29">
      <c r="A903" s="13" t="s">
        <v>302</v>
      </c>
      <c r="B903" s="13" t="s">
        <v>404</v>
      </c>
      <c r="C903" s="138">
        <v>46301</v>
      </c>
      <c r="D903" s="138" t="s">
        <v>424</v>
      </c>
      <c r="E903" s="28">
        <v>0.96128533000000005</v>
      </c>
      <c r="F903" s="13"/>
      <c r="G903" s="18">
        <v>6000000</v>
      </c>
      <c r="H903" s="18">
        <v>5767712</v>
      </c>
      <c r="I903" s="18">
        <v>6000000</v>
      </c>
      <c r="J903" s="18">
        <v>5767712</v>
      </c>
      <c r="K903" s="15">
        <v>40761920</v>
      </c>
      <c r="L903" s="13" t="s">
        <v>102</v>
      </c>
      <c r="M903" s="13" t="s">
        <v>103</v>
      </c>
      <c r="N903" s="138" t="s">
        <v>383</v>
      </c>
      <c r="O903" s="138" t="s">
        <v>383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1640</v>
      </c>
      <c r="V903" s="13" t="s">
        <v>1640</v>
      </c>
      <c r="W903" s="59">
        <f>+J903/$W$2</f>
        <v>9.4394801060361928E-5</v>
      </c>
    </row>
    <row r="904" spans="1:29">
      <c r="A904" s="13" t="s">
        <v>302</v>
      </c>
      <c r="B904" s="13" t="s">
        <v>404</v>
      </c>
      <c r="C904" s="138">
        <v>46301</v>
      </c>
      <c r="D904" s="138" t="s">
        <v>424</v>
      </c>
      <c r="E904" s="28">
        <v>0.96128533000000005</v>
      </c>
      <c r="F904" s="13"/>
      <c r="G904" s="18">
        <v>4765832.3099999996</v>
      </c>
      <c r="H904" s="18">
        <v>4581324.67</v>
      </c>
      <c r="I904" s="18">
        <v>4765832.3099999996</v>
      </c>
      <c r="J904" s="18">
        <v>4581324.67</v>
      </c>
      <c r="K904" s="15">
        <v>40768614</v>
      </c>
      <c r="L904" s="13" t="s">
        <v>102</v>
      </c>
      <c r="M904" s="13" t="s">
        <v>103</v>
      </c>
      <c r="N904" s="138" t="s">
        <v>429</v>
      </c>
      <c r="O904" s="138" t="s">
        <v>429</v>
      </c>
      <c r="P904" s="28">
        <v>35</v>
      </c>
      <c r="Q904" s="13" t="s">
        <v>54</v>
      </c>
      <c r="R904" s="13" t="s">
        <v>28</v>
      </c>
      <c r="S904" s="13"/>
      <c r="T904" s="13"/>
      <c r="U904" s="13" t="s">
        <v>1973</v>
      </c>
      <c r="V904" s="13" t="s">
        <v>1973</v>
      </c>
      <c r="W904" s="59">
        <f>+J904/$W$2</f>
        <v>7.4978298295334139E-5</v>
      </c>
    </row>
    <row r="905" spans="1:29">
      <c r="A905" s="13" t="s">
        <v>537</v>
      </c>
      <c r="B905" s="13" t="s">
        <v>404</v>
      </c>
      <c r="C905" s="138">
        <v>46301</v>
      </c>
      <c r="D905" s="138" t="s">
        <v>424</v>
      </c>
      <c r="E905" s="28">
        <v>0.97312584999999996</v>
      </c>
      <c r="F905" s="13"/>
      <c r="G905" s="18">
        <v>5000000</v>
      </c>
      <c r="H905" s="18">
        <v>4865629.2300000004</v>
      </c>
      <c r="I905" s="18">
        <v>5000000</v>
      </c>
      <c r="J905" s="18">
        <v>4865629.2300000004</v>
      </c>
      <c r="K905" s="15">
        <v>16831529</v>
      </c>
      <c r="L905" s="13" t="s">
        <v>102</v>
      </c>
      <c r="M905" s="13" t="s">
        <v>103</v>
      </c>
      <c r="N905" s="138" t="s">
        <v>161</v>
      </c>
      <c r="O905" s="138" t="s">
        <v>161</v>
      </c>
      <c r="P905" s="28">
        <v>24</v>
      </c>
      <c r="Q905" s="13" t="s">
        <v>54</v>
      </c>
      <c r="R905" s="13" t="s">
        <v>28</v>
      </c>
      <c r="S905" s="13"/>
      <c r="T905" s="13"/>
      <c r="U905" s="13" t="s">
        <v>1672</v>
      </c>
      <c r="V905" s="13" t="s">
        <v>1672</v>
      </c>
      <c r="W905" s="59">
        <f>+J905/$W$2</f>
        <v>7.9631247745957508E-5</v>
      </c>
      <c r="AC905" s="56"/>
    </row>
    <row r="906" spans="1:29">
      <c r="A906" s="13" t="s">
        <v>410</v>
      </c>
      <c r="B906" s="13" t="s">
        <v>404</v>
      </c>
      <c r="C906" s="138">
        <v>46301</v>
      </c>
      <c r="D906" s="138" t="s">
        <v>424</v>
      </c>
      <c r="E906" s="28">
        <v>0.95810594000000004</v>
      </c>
      <c r="F906" s="13"/>
      <c r="G906" s="18">
        <v>20000000</v>
      </c>
      <c r="H906" s="18">
        <v>19162118.890000001</v>
      </c>
      <c r="I906" s="18">
        <v>20000000</v>
      </c>
      <c r="J906" s="18">
        <v>19162118.890000001</v>
      </c>
      <c r="K906" s="15">
        <v>70219564</v>
      </c>
      <c r="L906" s="13" t="s">
        <v>102</v>
      </c>
      <c r="M906" s="13" t="s">
        <v>103</v>
      </c>
      <c r="N906" s="138" t="s">
        <v>429</v>
      </c>
      <c r="O906" s="138" t="s">
        <v>429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1977</v>
      </c>
      <c r="V906" s="13" t="s">
        <v>1977</v>
      </c>
      <c r="W906" s="59">
        <f>+J906/$W$2</f>
        <v>3.1360865461322506E-4</v>
      </c>
    </row>
    <row r="907" spans="1:29">
      <c r="A907" s="13" t="s">
        <v>410</v>
      </c>
      <c r="B907" s="13" t="s">
        <v>404</v>
      </c>
      <c r="C907" s="138">
        <v>46301</v>
      </c>
      <c r="D907" s="138" t="s">
        <v>424</v>
      </c>
      <c r="E907" s="28">
        <v>0.95810594000000004</v>
      </c>
      <c r="F907" s="13"/>
      <c r="G907" s="18">
        <v>20000000</v>
      </c>
      <c r="H907" s="18">
        <v>19162118.890000001</v>
      </c>
      <c r="I907" s="18">
        <v>20000000</v>
      </c>
      <c r="J907" s="18">
        <v>19162118.890000001</v>
      </c>
      <c r="K907" s="15">
        <v>70219565</v>
      </c>
      <c r="L907" s="13" t="s">
        <v>102</v>
      </c>
      <c r="M907" s="13" t="s">
        <v>103</v>
      </c>
      <c r="N907" s="138" t="s">
        <v>429</v>
      </c>
      <c r="O907" s="138" t="s">
        <v>429</v>
      </c>
      <c r="P907" s="28">
        <v>38</v>
      </c>
      <c r="Q907" s="13" t="s">
        <v>54</v>
      </c>
      <c r="R907" s="13" t="s">
        <v>28</v>
      </c>
      <c r="S907" s="13"/>
      <c r="T907" s="13"/>
      <c r="U907" s="13" t="s">
        <v>1978</v>
      </c>
      <c r="V907" s="13" t="s">
        <v>1978</v>
      </c>
      <c r="W907" s="59">
        <f>+J907/$W$2</f>
        <v>3.1360865461322506E-4</v>
      </c>
      <c r="AC907" s="56"/>
    </row>
    <row r="908" spans="1:29">
      <c r="A908" s="13" t="s">
        <v>565</v>
      </c>
      <c r="B908" s="13" t="s">
        <v>404</v>
      </c>
      <c r="C908" s="138">
        <v>46301</v>
      </c>
      <c r="D908" s="138" t="s">
        <v>424</v>
      </c>
      <c r="E908" s="28">
        <v>0.97312582000000003</v>
      </c>
      <c r="F908" s="13"/>
      <c r="G908" s="18">
        <v>2500000</v>
      </c>
      <c r="H908" s="18">
        <v>2432814.56</v>
      </c>
      <c r="I908" s="18">
        <v>2500000</v>
      </c>
      <c r="J908" s="18">
        <v>2432814.56</v>
      </c>
      <c r="K908" s="15">
        <v>16821015</v>
      </c>
      <c r="L908" s="13" t="s">
        <v>102</v>
      </c>
      <c r="M908" s="13" t="s">
        <v>103</v>
      </c>
      <c r="N908" s="138" t="s">
        <v>339</v>
      </c>
      <c r="O908" s="138" t="s">
        <v>339</v>
      </c>
      <c r="P908" s="28">
        <v>24</v>
      </c>
      <c r="Q908" s="13" t="s">
        <v>54</v>
      </c>
      <c r="R908" s="13" t="s">
        <v>28</v>
      </c>
      <c r="S908" s="13"/>
      <c r="T908" s="13"/>
      <c r="U908" s="13" t="s">
        <v>1571</v>
      </c>
      <c r="V908" s="13" t="s">
        <v>1571</v>
      </c>
      <c r="W908" s="59">
        <f>+J908/$W$2</f>
        <v>3.9815622972844681E-5</v>
      </c>
    </row>
    <row r="909" spans="1:29">
      <c r="A909" s="13" t="s">
        <v>466</v>
      </c>
      <c r="B909" s="13" t="s">
        <v>404</v>
      </c>
      <c r="C909" s="138">
        <v>46301</v>
      </c>
      <c r="D909" s="138" t="s">
        <v>424</v>
      </c>
      <c r="E909" s="28">
        <v>0.96878651999999998</v>
      </c>
      <c r="F909" s="13"/>
      <c r="G909" s="18">
        <v>2500000</v>
      </c>
      <c r="H909" s="18">
        <v>2421966.31</v>
      </c>
      <c r="I909" s="18">
        <v>2500000</v>
      </c>
      <c r="J909" s="18">
        <v>2421966.31</v>
      </c>
      <c r="K909" s="15">
        <v>90031811</v>
      </c>
      <c r="L909" s="13" t="s">
        <v>102</v>
      </c>
      <c r="M909" s="13" t="s">
        <v>103</v>
      </c>
      <c r="N909" s="138" t="s">
        <v>289</v>
      </c>
      <c r="O909" s="138" t="s">
        <v>289</v>
      </c>
      <c r="P909" s="28">
        <v>28</v>
      </c>
      <c r="Q909" s="13" t="s">
        <v>54</v>
      </c>
      <c r="R909" s="13" t="s">
        <v>28</v>
      </c>
      <c r="S909" s="13"/>
      <c r="T909" s="13"/>
      <c r="U909" s="13" t="s">
        <v>578</v>
      </c>
      <c r="V909" s="13" t="s">
        <v>578</v>
      </c>
      <c r="W909" s="59">
        <f>+J909/$W$2</f>
        <v>3.963807971121805E-5</v>
      </c>
    </row>
    <row r="910" spans="1:29">
      <c r="A910" s="13" t="s">
        <v>466</v>
      </c>
      <c r="B910" s="13" t="s">
        <v>404</v>
      </c>
      <c r="C910" s="138">
        <v>46301</v>
      </c>
      <c r="D910" s="138" t="s">
        <v>424</v>
      </c>
      <c r="E910" s="28">
        <v>0.96878655999999996</v>
      </c>
      <c r="F910" s="13"/>
      <c r="G910" s="18">
        <v>25000000</v>
      </c>
      <c r="H910" s="18">
        <v>24219663.98</v>
      </c>
      <c r="I910" s="18">
        <v>25000000</v>
      </c>
      <c r="J910" s="18">
        <v>24219663.98</v>
      </c>
      <c r="K910" s="15">
        <v>360569</v>
      </c>
      <c r="L910" s="13" t="s">
        <v>102</v>
      </c>
      <c r="M910" s="13" t="s">
        <v>103</v>
      </c>
      <c r="N910" s="138" t="s">
        <v>308</v>
      </c>
      <c r="O910" s="138" t="s">
        <v>308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540</v>
      </c>
      <c r="V910" s="13" t="s">
        <v>540</v>
      </c>
      <c r="W910" s="59">
        <f>+J910/$W$2</f>
        <v>3.9638081151432557E-4</v>
      </c>
    </row>
    <row r="911" spans="1:29">
      <c r="A911" s="13" t="s">
        <v>285</v>
      </c>
      <c r="B911" s="13" t="s">
        <v>404</v>
      </c>
      <c r="C911" s="138">
        <v>46301</v>
      </c>
      <c r="D911" s="138" t="s">
        <v>424</v>
      </c>
      <c r="E911" s="28">
        <v>0.97203737999999995</v>
      </c>
      <c r="F911" s="13"/>
      <c r="G911" s="18">
        <v>25000000</v>
      </c>
      <c r="H911" s="18">
        <v>24300934.57</v>
      </c>
      <c r="I911" s="18">
        <v>25000000</v>
      </c>
      <c r="J911" s="18">
        <v>24300934.57</v>
      </c>
      <c r="K911" s="15">
        <v>68393694</v>
      </c>
      <c r="L911" s="13" t="s">
        <v>102</v>
      </c>
      <c r="M911" s="13" t="s">
        <v>103</v>
      </c>
      <c r="N911" s="138" t="s">
        <v>339</v>
      </c>
      <c r="O911" s="138" t="s">
        <v>339</v>
      </c>
      <c r="P911" s="28">
        <v>25</v>
      </c>
      <c r="Q911" s="13" t="s">
        <v>54</v>
      </c>
      <c r="R911" s="13" t="s">
        <v>28</v>
      </c>
      <c r="S911" s="13"/>
      <c r="T911" s="13"/>
      <c r="U911" s="13" t="s">
        <v>1596</v>
      </c>
      <c r="V911" s="13" t="s">
        <v>1596</v>
      </c>
      <c r="W911" s="59">
        <f>+J911/$W$2</f>
        <v>3.9771089199946568E-4</v>
      </c>
    </row>
    <row r="912" spans="1:29">
      <c r="A912" s="13" t="s">
        <v>285</v>
      </c>
      <c r="B912" s="13" t="s">
        <v>404</v>
      </c>
      <c r="C912" s="138">
        <v>46301</v>
      </c>
      <c r="D912" s="138" t="s">
        <v>424</v>
      </c>
      <c r="E912" s="28">
        <v>0.96986768000000001</v>
      </c>
      <c r="F912" s="13"/>
      <c r="G912" s="18">
        <v>10000000</v>
      </c>
      <c r="H912" s="18">
        <v>9698676.8000000007</v>
      </c>
      <c r="I912" s="18">
        <v>10000000</v>
      </c>
      <c r="J912" s="18">
        <v>9698676.8000000007</v>
      </c>
      <c r="K912" s="15">
        <v>2009</v>
      </c>
      <c r="L912" s="13" t="s">
        <v>102</v>
      </c>
      <c r="M912" s="13" t="s">
        <v>103</v>
      </c>
      <c r="N912" s="138" t="s">
        <v>420</v>
      </c>
      <c r="O912" s="138" t="s">
        <v>420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1306</v>
      </c>
      <c r="V912" s="13" t="s">
        <v>1306</v>
      </c>
      <c r="W912" s="59">
        <f>+J912/$W$2</f>
        <v>1.5872926163524597E-4</v>
      </c>
    </row>
    <row r="913" spans="1:29">
      <c r="A913" s="13" t="s">
        <v>375</v>
      </c>
      <c r="B913" s="13" t="s">
        <v>404</v>
      </c>
      <c r="C913" s="138">
        <v>46301</v>
      </c>
      <c r="D913" s="138" t="s">
        <v>424</v>
      </c>
      <c r="E913" s="28">
        <v>0.96341672</v>
      </c>
      <c r="F913" s="13"/>
      <c r="G913" s="18">
        <v>5000000</v>
      </c>
      <c r="H913" s="18">
        <v>4817083.5999999996</v>
      </c>
      <c r="I913" s="18">
        <v>5000000</v>
      </c>
      <c r="J913" s="18">
        <v>4817083.5999999996</v>
      </c>
      <c r="K913" s="15">
        <v>3040</v>
      </c>
      <c r="L913" s="13" t="s">
        <v>102</v>
      </c>
      <c r="M913" s="13" t="s">
        <v>103</v>
      </c>
      <c r="N913" s="138" t="s">
        <v>161</v>
      </c>
      <c r="O913" s="138" t="s">
        <v>161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1688</v>
      </c>
      <c r="V913" s="13" t="s">
        <v>1688</v>
      </c>
      <c r="W913" s="59">
        <f>+J913/$W$2</f>
        <v>7.8836746375882162E-5</v>
      </c>
    </row>
    <row r="914" spans="1:29">
      <c r="A914" s="13" t="s">
        <v>405</v>
      </c>
      <c r="B914" s="13" t="s">
        <v>404</v>
      </c>
      <c r="C914" s="138">
        <v>46301</v>
      </c>
      <c r="D914" s="138" t="s">
        <v>424</v>
      </c>
      <c r="E914" s="28">
        <v>0.96448593000000005</v>
      </c>
      <c r="F914" s="13"/>
      <c r="G914" s="18">
        <v>3000000</v>
      </c>
      <c r="H914" s="18">
        <v>2893457.79</v>
      </c>
      <c r="I914" s="18">
        <v>3000000</v>
      </c>
      <c r="J914" s="18">
        <v>2893457.79</v>
      </c>
      <c r="K914" s="15">
        <v>1035</v>
      </c>
      <c r="L914" s="13" t="s">
        <v>102</v>
      </c>
      <c r="M914" s="13" t="s">
        <v>103</v>
      </c>
      <c r="N914" s="138" t="s">
        <v>424</v>
      </c>
      <c r="O914" s="138" t="s">
        <v>424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2596</v>
      </c>
      <c r="V914" s="13" t="s">
        <v>2596</v>
      </c>
      <c r="W914" s="59">
        <f>+J914/$W$2</f>
        <v>4.7354544135283544E-5</v>
      </c>
    </row>
    <row r="915" spans="1:29">
      <c r="A915" s="13" t="s">
        <v>189</v>
      </c>
      <c r="B915" s="13" t="s">
        <v>404</v>
      </c>
      <c r="C915" s="138">
        <v>46301</v>
      </c>
      <c r="D915" s="138" t="s">
        <v>424</v>
      </c>
      <c r="E915" s="28">
        <v>0.96878657000000001</v>
      </c>
      <c r="F915" s="13"/>
      <c r="G915" s="18">
        <v>8584260.9900000002</v>
      </c>
      <c r="H915" s="18">
        <v>8316316.75</v>
      </c>
      <c r="I915" s="18">
        <v>8584260.9900000002</v>
      </c>
      <c r="J915" s="18">
        <v>8316316.75</v>
      </c>
      <c r="K915" s="15">
        <v>629236</v>
      </c>
      <c r="L915" s="13" t="s">
        <v>102</v>
      </c>
      <c r="M915" s="13" t="s">
        <v>103</v>
      </c>
      <c r="N915" s="138" t="s">
        <v>639</v>
      </c>
      <c r="O915" s="138" t="s">
        <v>639</v>
      </c>
      <c r="P915" s="28">
        <v>28</v>
      </c>
      <c r="Q915" s="13" t="s">
        <v>54</v>
      </c>
      <c r="R915" s="13" t="s">
        <v>28</v>
      </c>
      <c r="S915" s="13"/>
      <c r="T915" s="13"/>
      <c r="U915" s="13" t="s">
        <v>2155</v>
      </c>
      <c r="V915" s="13" t="s">
        <v>2155</v>
      </c>
      <c r="W915" s="59">
        <f>+J915/$W$2</f>
        <v>1.3610545484434827E-4</v>
      </c>
    </row>
    <row r="916" spans="1:29">
      <c r="A916" s="13" t="s">
        <v>189</v>
      </c>
      <c r="B916" s="13" t="s">
        <v>404</v>
      </c>
      <c r="C916" s="138">
        <v>46301</v>
      </c>
      <c r="D916" s="138" t="s">
        <v>424</v>
      </c>
      <c r="E916" s="28">
        <v>0.96878657000000001</v>
      </c>
      <c r="F916" s="13"/>
      <c r="G916" s="18">
        <v>8584260.9900000002</v>
      </c>
      <c r="H916" s="18">
        <v>8316316.75</v>
      </c>
      <c r="I916" s="18">
        <v>8584260.9900000002</v>
      </c>
      <c r="J916" s="18">
        <v>8316316.75</v>
      </c>
      <c r="K916" s="15">
        <v>629242</v>
      </c>
      <c r="L916" s="13" t="s">
        <v>102</v>
      </c>
      <c r="M916" s="13" t="s">
        <v>103</v>
      </c>
      <c r="N916" s="138" t="s">
        <v>639</v>
      </c>
      <c r="O916" s="138" t="s">
        <v>639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2156</v>
      </c>
      <c r="V916" s="13" t="s">
        <v>2156</v>
      </c>
      <c r="W916" s="59">
        <f>+J916/$W$2</f>
        <v>1.3610545484434827E-4</v>
      </c>
    </row>
    <row r="917" spans="1:29">
      <c r="A917" s="13" t="s">
        <v>189</v>
      </c>
      <c r="B917" s="13" t="s">
        <v>404</v>
      </c>
      <c r="C917" s="138">
        <v>46301</v>
      </c>
      <c r="D917" s="138" t="s">
        <v>424</v>
      </c>
      <c r="E917" s="28">
        <v>0.96878657000000001</v>
      </c>
      <c r="F917" s="13"/>
      <c r="G917" s="18">
        <v>8584260.9900000002</v>
      </c>
      <c r="H917" s="18">
        <v>8316316.75</v>
      </c>
      <c r="I917" s="18">
        <v>8584260.9900000002</v>
      </c>
      <c r="J917" s="18">
        <v>8316316.75</v>
      </c>
      <c r="K917" s="15">
        <v>629234</v>
      </c>
      <c r="L917" s="13" t="s">
        <v>102</v>
      </c>
      <c r="M917" s="13" t="s">
        <v>103</v>
      </c>
      <c r="N917" s="138" t="s">
        <v>639</v>
      </c>
      <c r="O917" s="138" t="s">
        <v>639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2167</v>
      </c>
      <c r="V917" s="13" t="s">
        <v>2167</v>
      </c>
      <c r="W917" s="59">
        <f>+J917/$W$2</f>
        <v>1.3610545484434827E-4</v>
      </c>
      <c r="AC917" s="56"/>
    </row>
    <row r="918" spans="1:29">
      <c r="A918" s="13" t="s">
        <v>2224</v>
      </c>
      <c r="B918" s="13" t="s">
        <v>404</v>
      </c>
      <c r="C918" s="138">
        <v>46301</v>
      </c>
      <c r="D918" s="138" t="s">
        <v>424</v>
      </c>
      <c r="E918" s="28">
        <v>0.96448593000000005</v>
      </c>
      <c r="F918" s="13"/>
      <c r="G918" s="18">
        <v>5444206</v>
      </c>
      <c r="H918" s="18">
        <v>5250860.09</v>
      </c>
      <c r="I918" s="18">
        <v>5444206</v>
      </c>
      <c r="J918" s="18">
        <v>5250860.09</v>
      </c>
      <c r="K918" s="15">
        <v>3439</v>
      </c>
      <c r="L918" s="13" t="s">
        <v>102</v>
      </c>
      <c r="M918" s="13" t="s">
        <v>103</v>
      </c>
      <c r="N918" s="138" t="s">
        <v>424</v>
      </c>
      <c r="O918" s="138" t="s">
        <v>424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2646</v>
      </c>
      <c r="V918" s="13" t="s">
        <v>2646</v>
      </c>
      <c r="W918" s="59">
        <f>+J918/$W$2</f>
        <v>8.5935964484936859E-5</v>
      </c>
    </row>
    <row r="919" spans="1:29">
      <c r="A919" s="13" t="s">
        <v>409</v>
      </c>
      <c r="B919" s="13" t="s">
        <v>404</v>
      </c>
      <c r="C919" s="138">
        <v>46301</v>
      </c>
      <c r="D919" s="138" t="s">
        <v>424</v>
      </c>
      <c r="E919" s="28">
        <v>0.96341657999999997</v>
      </c>
      <c r="F919" s="13"/>
      <c r="G919" s="18">
        <v>12500000</v>
      </c>
      <c r="H919" s="18">
        <v>12042707.300000001</v>
      </c>
      <c r="I919" s="18">
        <v>12500000</v>
      </c>
      <c r="J919" s="18">
        <v>12042707.300000001</v>
      </c>
      <c r="K919" s="15">
        <v>1362</v>
      </c>
      <c r="L919" s="13" t="s">
        <v>102</v>
      </c>
      <c r="M919" s="13" t="s">
        <v>103</v>
      </c>
      <c r="N919" s="138" t="s">
        <v>373</v>
      </c>
      <c r="O919" s="138" t="s">
        <v>373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778</v>
      </c>
      <c r="V919" s="13" t="s">
        <v>778</v>
      </c>
      <c r="W919" s="59">
        <f>+J919/$W$2</f>
        <v>1.9709183811737974E-4</v>
      </c>
    </row>
    <row r="920" spans="1:29">
      <c r="A920" s="13" t="s">
        <v>1239</v>
      </c>
      <c r="B920" s="13" t="s">
        <v>404</v>
      </c>
      <c r="C920" s="138">
        <v>46301</v>
      </c>
      <c r="D920" s="138" t="s">
        <v>424</v>
      </c>
      <c r="E920" s="28">
        <v>0.96663146</v>
      </c>
      <c r="F920" s="13"/>
      <c r="G920" s="18">
        <v>15000000</v>
      </c>
      <c r="H920" s="18">
        <v>14499471.859999999</v>
      </c>
      <c r="I920" s="18">
        <v>15000000</v>
      </c>
      <c r="J920" s="18">
        <v>14499471.859999999</v>
      </c>
      <c r="K920" s="15">
        <v>728</v>
      </c>
      <c r="L920" s="13" t="s">
        <v>102</v>
      </c>
      <c r="M920" s="13" t="s">
        <v>103</v>
      </c>
      <c r="N920" s="138" t="s">
        <v>419</v>
      </c>
      <c r="O920" s="138" t="s">
        <v>419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1240</v>
      </c>
      <c r="V920" s="13" t="s">
        <v>1240</v>
      </c>
      <c r="W920" s="59">
        <f>+J920/$W$2</f>
        <v>2.372994285611029E-4</v>
      </c>
    </row>
    <row r="921" spans="1:29">
      <c r="A921" s="13" t="s">
        <v>1419</v>
      </c>
      <c r="B921" s="13" t="s">
        <v>404</v>
      </c>
      <c r="C921" s="138">
        <v>46301</v>
      </c>
      <c r="D921" s="138" t="s">
        <v>424</v>
      </c>
      <c r="E921" s="28">
        <v>0.96448593000000005</v>
      </c>
      <c r="F921" s="13"/>
      <c r="G921" s="18">
        <v>1588021.51</v>
      </c>
      <c r="H921" s="18">
        <v>1531624.4</v>
      </c>
      <c r="I921" s="18">
        <v>1588021.51</v>
      </c>
      <c r="J921" s="18">
        <v>1531624.4</v>
      </c>
      <c r="K921" s="15">
        <v>535</v>
      </c>
      <c r="L921" s="13" t="s">
        <v>102</v>
      </c>
      <c r="M921" s="13" t="s">
        <v>103</v>
      </c>
      <c r="N921" s="138" t="s">
        <v>421</v>
      </c>
      <c r="O921" s="138" t="s">
        <v>421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1375</v>
      </c>
      <c r="V921" s="13" t="s">
        <v>1375</v>
      </c>
      <c r="W921" s="59">
        <f>+J921/$W$2</f>
        <v>2.506667817970041E-5</v>
      </c>
    </row>
    <row r="922" spans="1:29">
      <c r="A922" s="13" t="s">
        <v>1464</v>
      </c>
      <c r="B922" s="13" t="s">
        <v>404</v>
      </c>
      <c r="C922" s="138">
        <v>46301</v>
      </c>
      <c r="D922" s="138" t="s">
        <v>424</v>
      </c>
      <c r="E922" s="28">
        <v>0.96663140999999997</v>
      </c>
      <c r="F922" s="13"/>
      <c r="G922" s="18">
        <v>2584602.4700000002</v>
      </c>
      <c r="H922" s="18">
        <v>2498357.92</v>
      </c>
      <c r="I922" s="18">
        <v>2584602.4700000002</v>
      </c>
      <c r="J922" s="18">
        <v>2498357.92</v>
      </c>
      <c r="K922" s="15">
        <v>384</v>
      </c>
      <c r="L922" s="13" t="s">
        <v>102</v>
      </c>
      <c r="M922" s="13" t="s">
        <v>103</v>
      </c>
      <c r="N922" s="138" t="s">
        <v>343</v>
      </c>
      <c r="O922" s="138" t="s">
        <v>343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1468</v>
      </c>
      <c r="V922" s="13" t="s">
        <v>1468</v>
      </c>
      <c r="W922" s="59">
        <f>+J922/$W$2</f>
        <v>4.0888310448923186E-5</v>
      </c>
      <c r="AC922" s="56"/>
    </row>
    <row r="923" spans="1:29">
      <c r="A923" s="13" t="s">
        <v>916</v>
      </c>
      <c r="B923" s="13" t="s">
        <v>404</v>
      </c>
      <c r="C923" s="138">
        <v>46302</v>
      </c>
      <c r="D923" s="138" t="s">
        <v>424</v>
      </c>
      <c r="E923" s="28">
        <v>0.96586406999999996</v>
      </c>
      <c r="F923" s="13"/>
      <c r="G923" s="18">
        <v>100000000</v>
      </c>
      <c r="H923" s="18">
        <v>96586407.310000002</v>
      </c>
      <c r="I923" s="18">
        <v>100000000</v>
      </c>
      <c r="J923" s="18">
        <v>96586407.310000002</v>
      </c>
      <c r="K923" s="15">
        <v>90003979</v>
      </c>
      <c r="L923" s="13" t="s">
        <v>102</v>
      </c>
      <c r="M923" s="13" t="s">
        <v>103</v>
      </c>
      <c r="N923" s="138" t="s">
        <v>173</v>
      </c>
      <c r="O923" s="138" t="s">
        <v>173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2019</v>
      </c>
      <c r="V923" s="13" t="s">
        <v>2019</v>
      </c>
      <c r="W923" s="59">
        <f>+J923/$W$2</f>
        <v>1.5807402836969908E-3</v>
      </c>
      <c r="AC923" s="56"/>
    </row>
    <row r="924" spans="1:29">
      <c r="A924" s="13" t="s">
        <v>135</v>
      </c>
      <c r="B924" s="13" t="s">
        <v>404</v>
      </c>
      <c r="C924" s="138">
        <v>46302</v>
      </c>
      <c r="D924" s="138" t="s">
        <v>424</v>
      </c>
      <c r="E924" s="28">
        <v>0.96148787000000002</v>
      </c>
      <c r="F924" s="13"/>
      <c r="G924" s="18">
        <v>100000000</v>
      </c>
      <c r="H924" s="18">
        <v>96148787.219999999</v>
      </c>
      <c r="I924" s="18">
        <v>100000000</v>
      </c>
      <c r="J924" s="18">
        <v>96148787.219999999</v>
      </c>
      <c r="K924" s="15">
        <v>853</v>
      </c>
      <c r="L924" s="13" t="s">
        <v>102</v>
      </c>
      <c r="M924" s="13" t="s">
        <v>103</v>
      </c>
      <c r="N924" s="138" t="s">
        <v>424</v>
      </c>
      <c r="O924" s="138" t="s">
        <v>424</v>
      </c>
      <c r="P924" s="28">
        <v>34</v>
      </c>
      <c r="Q924" s="13" t="s">
        <v>54</v>
      </c>
      <c r="R924" s="13" t="s">
        <v>28</v>
      </c>
      <c r="S924" s="13"/>
      <c r="T924" s="13"/>
      <c r="U924" s="13" t="s">
        <v>2590</v>
      </c>
      <c r="V924" s="13" t="s">
        <v>2590</v>
      </c>
      <c r="W924" s="59">
        <f>+J924/$W$2</f>
        <v>1.5735781609461377E-3</v>
      </c>
    </row>
    <row r="925" spans="1:29">
      <c r="A925" s="13" t="s">
        <v>302</v>
      </c>
      <c r="B925" s="13" t="s">
        <v>404</v>
      </c>
      <c r="C925" s="138">
        <v>46302</v>
      </c>
      <c r="D925" s="138" t="s">
        <v>424</v>
      </c>
      <c r="E925" s="28">
        <v>0.96148791</v>
      </c>
      <c r="F925" s="13"/>
      <c r="G925" s="18">
        <v>4300000</v>
      </c>
      <c r="H925" s="18">
        <v>4134398.01</v>
      </c>
      <c r="I925" s="18">
        <v>4300000</v>
      </c>
      <c r="J925" s="18">
        <v>4134398.01</v>
      </c>
      <c r="K925" s="15">
        <v>40768561</v>
      </c>
      <c r="L925" s="13" t="s">
        <v>102</v>
      </c>
      <c r="M925" s="13" t="s">
        <v>103</v>
      </c>
      <c r="N925" s="138" t="s">
        <v>388</v>
      </c>
      <c r="O925" s="138" t="s">
        <v>388</v>
      </c>
      <c r="P925" s="28">
        <v>34</v>
      </c>
      <c r="Q925" s="13" t="s">
        <v>54</v>
      </c>
      <c r="R925" s="13" t="s">
        <v>28</v>
      </c>
      <c r="S925" s="13"/>
      <c r="T925" s="13"/>
      <c r="U925" s="13" t="s">
        <v>1850</v>
      </c>
      <c r="V925" s="13" t="s">
        <v>1850</v>
      </c>
      <c r="W925" s="59">
        <f>+J925/$W$2</f>
        <v>6.7663863531727358E-5</v>
      </c>
    </row>
    <row r="926" spans="1:29">
      <c r="A926" s="13" t="s">
        <v>302</v>
      </c>
      <c r="B926" s="13" t="s">
        <v>404</v>
      </c>
      <c r="C926" s="138">
        <v>46302</v>
      </c>
      <c r="D926" s="138" t="s">
        <v>424</v>
      </c>
      <c r="E926" s="28">
        <v>0.96039998999999998</v>
      </c>
      <c r="F926" s="13"/>
      <c r="G926" s="18">
        <v>4750000</v>
      </c>
      <c r="H926" s="18">
        <v>4561899.95</v>
      </c>
      <c r="I926" s="18">
        <v>4750000</v>
      </c>
      <c r="J926" s="18">
        <v>4561899.95</v>
      </c>
      <c r="K926" s="15">
        <v>40768615</v>
      </c>
      <c r="L926" s="13" t="s">
        <v>102</v>
      </c>
      <c r="M926" s="13" t="s">
        <v>103</v>
      </c>
      <c r="N926" s="138" t="s">
        <v>429</v>
      </c>
      <c r="O926" s="138" t="s">
        <v>429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1974</v>
      </c>
      <c r="V926" s="13" t="s">
        <v>1974</v>
      </c>
      <c r="W926" s="59">
        <f>+J926/$W$2</f>
        <v>7.4660391891537769E-5</v>
      </c>
    </row>
    <row r="927" spans="1:29">
      <c r="A927" s="13" t="s">
        <v>232</v>
      </c>
      <c r="B927" s="13" t="s">
        <v>404</v>
      </c>
      <c r="C927" s="138">
        <v>46302</v>
      </c>
      <c r="D927" s="138" t="s">
        <v>424</v>
      </c>
      <c r="E927" s="28">
        <v>0.96257819</v>
      </c>
      <c r="F927" s="13"/>
      <c r="G927" s="18">
        <v>30000000</v>
      </c>
      <c r="H927" s="18">
        <v>28877345.68</v>
      </c>
      <c r="I927" s="18">
        <v>30000000</v>
      </c>
      <c r="J927" s="18">
        <v>28877345.68</v>
      </c>
      <c r="K927" s="15">
        <v>475882</v>
      </c>
      <c r="L927" s="13" t="s">
        <v>102</v>
      </c>
      <c r="M927" s="13" t="s">
        <v>103</v>
      </c>
      <c r="N927" s="138" t="s">
        <v>371</v>
      </c>
      <c r="O927" s="138" t="s">
        <v>371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2121</v>
      </c>
      <c r="V927" s="13" t="s">
        <v>2121</v>
      </c>
      <c r="W927" s="59">
        <f>+J927/$W$2</f>
        <v>4.7260877460852799E-4</v>
      </c>
    </row>
    <row r="928" spans="1:29">
      <c r="A928" s="13" t="s">
        <v>232</v>
      </c>
      <c r="B928" s="13" t="s">
        <v>404</v>
      </c>
      <c r="C928" s="138">
        <v>46302</v>
      </c>
      <c r="D928" s="138" t="s">
        <v>424</v>
      </c>
      <c r="E928" s="28">
        <v>0.96257822000000004</v>
      </c>
      <c r="F928" s="13"/>
      <c r="G928" s="18">
        <v>25000000</v>
      </c>
      <c r="H928" s="18">
        <v>24064455.579999998</v>
      </c>
      <c r="I928" s="18">
        <v>25000000</v>
      </c>
      <c r="J928" s="18">
        <v>24064455.579999998</v>
      </c>
      <c r="K928" s="15">
        <v>1233892</v>
      </c>
      <c r="L928" s="13" t="s">
        <v>102</v>
      </c>
      <c r="M928" s="13" t="s">
        <v>103</v>
      </c>
      <c r="N928" s="138" t="s">
        <v>325</v>
      </c>
      <c r="O928" s="138" t="s">
        <v>325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848</v>
      </c>
      <c r="V928" s="13" t="s">
        <v>848</v>
      </c>
      <c r="W928" s="59">
        <f>+J928/$W$2</f>
        <v>3.9384065936371587E-4</v>
      </c>
    </row>
    <row r="929" spans="1:29">
      <c r="A929" s="13" t="s">
        <v>407</v>
      </c>
      <c r="B929" s="13" t="s">
        <v>404</v>
      </c>
      <c r="C929" s="138">
        <v>46302</v>
      </c>
      <c r="D929" s="138" t="s">
        <v>424</v>
      </c>
      <c r="E929" s="28">
        <v>0.96586406999999996</v>
      </c>
      <c r="F929" s="13"/>
      <c r="G929" s="18">
        <v>75000000</v>
      </c>
      <c r="H929" s="18">
        <v>72439805.480000004</v>
      </c>
      <c r="I929" s="18">
        <v>75000000</v>
      </c>
      <c r="J929" s="18">
        <v>72439805.480000004</v>
      </c>
      <c r="K929" s="15">
        <v>340</v>
      </c>
      <c r="L929" s="13" t="s">
        <v>102</v>
      </c>
      <c r="M929" s="13" t="s">
        <v>103</v>
      </c>
      <c r="N929" s="138" t="s">
        <v>173</v>
      </c>
      <c r="O929" s="138" t="s">
        <v>173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2016</v>
      </c>
      <c r="V929" s="13" t="s">
        <v>2016</v>
      </c>
      <c r="W929" s="59">
        <f>+J929/$W$2</f>
        <v>1.1855552127318278E-3</v>
      </c>
    </row>
    <row r="930" spans="1:29">
      <c r="A930" s="13" t="s">
        <v>514</v>
      </c>
      <c r="B930" s="13" t="s">
        <v>404</v>
      </c>
      <c r="C930" s="138">
        <v>46302</v>
      </c>
      <c r="D930" s="138" t="s">
        <v>424</v>
      </c>
      <c r="E930" s="28">
        <v>0.95499743999999998</v>
      </c>
      <c r="F930" s="13"/>
      <c r="G930" s="18">
        <v>7203888</v>
      </c>
      <c r="H930" s="18">
        <v>6879694.5899999999</v>
      </c>
      <c r="I930" s="18">
        <v>7203888</v>
      </c>
      <c r="J930" s="18">
        <v>6879694.5899999999</v>
      </c>
      <c r="K930" s="15">
        <v>66329877</v>
      </c>
      <c r="L930" s="13" t="s">
        <v>102</v>
      </c>
      <c r="M930" s="13" t="s">
        <v>103</v>
      </c>
      <c r="N930" s="138" t="s">
        <v>316</v>
      </c>
      <c r="O930" s="138" t="s">
        <v>316</v>
      </c>
      <c r="P930" s="28">
        <v>40</v>
      </c>
      <c r="Q930" s="13" t="s">
        <v>54</v>
      </c>
      <c r="R930" s="13" t="s">
        <v>28</v>
      </c>
      <c r="S930" s="13"/>
      <c r="T930" s="13"/>
      <c r="U930" s="13" t="s">
        <v>493</v>
      </c>
      <c r="V930" s="13" t="s">
        <v>493</v>
      </c>
      <c r="W930" s="59">
        <f>+J930/$W$2</f>
        <v>1.1259359034901505E-4</v>
      </c>
    </row>
    <row r="931" spans="1:29">
      <c r="A931" s="13" t="s">
        <v>514</v>
      </c>
      <c r="B931" s="13" t="s">
        <v>404</v>
      </c>
      <c r="C931" s="138">
        <v>46302</v>
      </c>
      <c r="D931" s="138" t="s">
        <v>424</v>
      </c>
      <c r="E931" s="28">
        <v>0.95499743999999998</v>
      </c>
      <c r="F931" s="13"/>
      <c r="G931" s="18">
        <v>7900000</v>
      </c>
      <c r="H931" s="18">
        <v>7544479.7599999998</v>
      </c>
      <c r="I931" s="18">
        <v>7900000</v>
      </c>
      <c r="J931" s="18">
        <v>7544479.7599999998</v>
      </c>
      <c r="K931" s="15">
        <v>877</v>
      </c>
      <c r="L931" s="13" t="s">
        <v>102</v>
      </c>
      <c r="M931" s="13" t="s">
        <v>103</v>
      </c>
      <c r="N931" s="138" t="s">
        <v>316</v>
      </c>
      <c r="O931" s="138" t="s">
        <v>316</v>
      </c>
      <c r="P931" s="28">
        <v>40</v>
      </c>
      <c r="Q931" s="13" t="s">
        <v>54</v>
      </c>
      <c r="R931" s="13" t="s">
        <v>28</v>
      </c>
      <c r="S931" s="13"/>
      <c r="T931" s="13"/>
      <c r="U931" s="13" t="s">
        <v>495</v>
      </c>
      <c r="V931" s="13" t="s">
        <v>495</v>
      </c>
      <c r="W931" s="59">
        <f>+J931/$W$2</f>
        <v>1.2347351359588119E-4</v>
      </c>
    </row>
    <row r="932" spans="1:29">
      <c r="A932" s="13" t="s">
        <v>565</v>
      </c>
      <c r="B932" s="13" t="s">
        <v>404</v>
      </c>
      <c r="C932" s="138">
        <v>46302</v>
      </c>
      <c r="D932" s="138" t="s">
        <v>424</v>
      </c>
      <c r="E932" s="28">
        <v>0.97250353</v>
      </c>
      <c r="F932" s="13"/>
      <c r="G932" s="18">
        <v>6250000</v>
      </c>
      <c r="H932" s="18">
        <v>6078147.0499999998</v>
      </c>
      <c r="I932" s="18">
        <v>6250000</v>
      </c>
      <c r="J932" s="18">
        <v>6078147.0499999998</v>
      </c>
      <c r="K932" s="15">
        <v>50459992</v>
      </c>
      <c r="L932" s="13" t="s">
        <v>102</v>
      </c>
      <c r="M932" s="13" t="s">
        <v>103</v>
      </c>
      <c r="N932" s="138" t="s">
        <v>339</v>
      </c>
      <c r="O932" s="138" t="s">
        <v>339</v>
      </c>
      <c r="P932" s="28">
        <v>24</v>
      </c>
      <c r="Q932" s="13" t="s">
        <v>54</v>
      </c>
      <c r="R932" s="13" t="s">
        <v>28</v>
      </c>
      <c r="S932" s="13"/>
      <c r="T932" s="13"/>
      <c r="U932" s="13" t="s">
        <v>1560</v>
      </c>
      <c r="V932" s="13" t="s">
        <v>1560</v>
      </c>
      <c r="W932" s="59">
        <f>+J932/$W$2</f>
        <v>9.9475404042430649E-5</v>
      </c>
      <c r="AC932" s="56"/>
    </row>
    <row r="933" spans="1:29">
      <c r="A933" s="13" t="s">
        <v>466</v>
      </c>
      <c r="B933" s="13" t="s">
        <v>404</v>
      </c>
      <c r="C933" s="138">
        <v>46302</v>
      </c>
      <c r="D933" s="138" t="s">
        <v>424</v>
      </c>
      <c r="E933" s="28">
        <v>0.96806711000000001</v>
      </c>
      <c r="F933" s="13"/>
      <c r="G933" s="18">
        <v>2500000</v>
      </c>
      <c r="H933" s="18">
        <v>2420167.7799999998</v>
      </c>
      <c r="I933" s="18">
        <v>2500000</v>
      </c>
      <c r="J933" s="18">
        <v>2420167.7799999998</v>
      </c>
      <c r="K933" s="15">
        <v>90031812</v>
      </c>
      <c r="L933" s="13" t="s">
        <v>102</v>
      </c>
      <c r="M933" s="13" t="s">
        <v>103</v>
      </c>
      <c r="N933" s="138" t="s">
        <v>289</v>
      </c>
      <c r="O933" s="138" t="s">
        <v>289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579</v>
      </c>
      <c r="V933" s="13" t="s">
        <v>579</v>
      </c>
      <c r="W933" s="59">
        <f>+J933/$W$2</f>
        <v>3.9608644836253571E-5</v>
      </c>
    </row>
    <row r="934" spans="1:29">
      <c r="A934" s="13" t="s">
        <v>285</v>
      </c>
      <c r="B934" s="13" t="s">
        <v>404</v>
      </c>
      <c r="C934" s="138">
        <v>46302</v>
      </c>
      <c r="D934" s="138" t="s">
        <v>424</v>
      </c>
      <c r="E934" s="28">
        <v>0.97139059999999999</v>
      </c>
      <c r="F934" s="13"/>
      <c r="G934" s="18">
        <v>8650000</v>
      </c>
      <c r="H934" s="18">
        <v>8402528.6699999999</v>
      </c>
      <c r="I934" s="18">
        <v>8650000</v>
      </c>
      <c r="J934" s="18">
        <v>8402528.6699999999</v>
      </c>
      <c r="K934" s="15">
        <v>34384</v>
      </c>
      <c r="L934" s="13" t="s">
        <v>102</v>
      </c>
      <c r="M934" s="13" t="s">
        <v>103</v>
      </c>
      <c r="N934" s="138" t="s">
        <v>383</v>
      </c>
      <c r="O934" s="138" t="s">
        <v>383</v>
      </c>
      <c r="P934" s="28">
        <v>25</v>
      </c>
      <c r="Q934" s="13" t="s">
        <v>54</v>
      </c>
      <c r="R934" s="13" t="s">
        <v>28</v>
      </c>
      <c r="S934" s="13"/>
      <c r="T934" s="13"/>
      <c r="U934" s="13" t="s">
        <v>1630</v>
      </c>
      <c r="V934" s="13" t="s">
        <v>1630</v>
      </c>
      <c r="W934" s="59">
        <f>+J934/$W$2</f>
        <v>1.3751640550163351E-4</v>
      </c>
      <c r="AC934" s="56"/>
    </row>
    <row r="935" spans="1:29">
      <c r="A935" s="13" t="s">
        <v>285</v>
      </c>
      <c r="B935" s="13" t="s">
        <v>404</v>
      </c>
      <c r="C935" s="138">
        <v>46302</v>
      </c>
      <c r="D935" s="138" t="s">
        <v>424</v>
      </c>
      <c r="E935" s="28">
        <v>0.96917244999999996</v>
      </c>
      <c r="F935" s="13"/>
      <c r="G935" s="18">
        <v>1650000</v>
      </c>
      <c r="H935" s="18">
        <v>1599134.55</v>
      </c>
      <c r="I935" s="18">
        <v>1650000</v>
      </c>
      <c r="J935" s="18">
        <v>1599134.55</v>
      </c>
      <c r="K935" s="15">
        <v>583</v>
      </c>
      <c r="L935" s="13" t="s">
        <v>102</v>
      </c>
      <c r="M935" s="13" t="s">
        <v>103</v>
      </c>
      <c r="N935" s="138" t="s">
        <v>420</v>
      </c>
      <c r="O935" s="138" t="s">
        <v>420</v>
      </c>
      <c r="P935" s="28">
        <v>27</v>
      </c>
      <c r="Q935" s="13" t="s">
        <v>54</v>
      </c>
      <c r="R935" s="13" t="s">
        <v>28</v>
      </c>
      <c r="S935" s="13"/>
      <c r="T935" s="13"/>
      <c r="U935" s="13" t="s">
        <v>1300</v>
      </c>
      <c r="V935" s="13" t="s">
        <v>1300</v>
      </c>
      <c r="W935" s="59">
        <f>+J935/$W$2</f>
        <v>2.6171554286344637E-5</v>
      </c>
      <c r="AC935" s="56"/>
    </row>
    <row r="936" spans="1:29">
      <c r="A936" s="13" t="s">
        <v>285</v>
      </c>
      <c r="B936" s="13" t="s">
        <v>404</v>
      </c>
      <c r="C936" s="138">
        <v>46302</v>
      </c>
      <c r="D936" s="138" t="s">
        <v>424</v>
      </c>
      <c r="E936" s="28">
        <v>0.96917238999999999</v>
      </c>
      <c r="F936" s="13"/>
      <c r="G936" s="18">
        <v>15000000</v>
      </c>
      <c r="H936" s="18">
        <v>14537585.82</v>
      </c>
      <c r="I936" s="18">
        <v>15000000</v>
      </c>
      <c r="J936" s="18">
        <v>14537585.82</v>
      </c>
      <c r="K936" s="15">
        <v>11338649</v>
      </c>
      <c r="L936" s="13" t="s">
        <v>102</v>
      </c>
      <c r="M936" s="13" t="s">
        <v>103</v>
      </c>
      <c r="N936" s="138" t="s">
        <v>346</v>
      </c>
      <c r="O936" s="138" t="s">
        <v>346</v>
      </c>
      <c r="P936" s="28">
        <v>27</v>
      </c>
      <c r="Q936" s="13" t="s">
        <v>54</v>
      </c>
      <c r="R936" s="13" t="s">
        <v>28</v>
      </c>
      <c r="S936" s="13"/>
      <c r="T936" s="13"/>
      <c r="U936" s="13" t="s">
        <v>1529</v>
      </c>
      <c r="V936" s="13" t="s">
        <v>1529</v>
      </c>
      <c r="W936" s="59">
        <f>+J936/$W$2</f>
        <v>2.3792320444863382E-4</v>
      </c>
    </row>
    <row r="937" spans="1:29">
      <c r="A937" s="13" t="s">
        <v>405</v>
      </c>
      <c r="B937" s="13" t="s">
        <v>404</v>
      </c>
      <c r="C937" s="138">
        <v>46302</v>
      </c>
      <c r="D937" s="138" t="s">
        <v>424</v>
      </c>
      <c r="E937" s="28">
        <v>0.96586406000000002</v>
      </c>
      <c r="F937" s="13"/>
      <c r="G937" s="18">
        <v>3300000</v>
      </c>
      <c r="H937" s="18">
        <v>3187351.41</v>
      </c>
      <c r="I937" s="18">
        <v>3300000</v>
      </c>
      <c r="J937" s="18">
        <v>3187351.41</v>
      </c>
      <c r="K937" s="15">
        <v>923</v>
      </c>
      <c r="L937" s="13" t="s">
        <v>102</v>
      </c>
      <c r="M937" s="13" t="s">
        <v>103</v>
      </c>
      <c r="N937" s="138" t="s">
        <v>422</v>
      </c>
      <c r="O937" s="138" t="s">
        <v>422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2251</v>
      </c>
      <c r="V937" s="13" t="s">
        <v>2251</v>
      </c>
      <c r="W937" s="59">
        <f>+J937/$W$2</f>
        <v>5.2164428850888209E-5</v>
      </c>
    </row>
    <row r="938" spans="1:29">
      <c r="A938" s="13" t="s">
        <v>1427</v>
      </c>
      <c r="B938" s="13" t="s">
        <v>404</v>
      </c>
      <c r="C938" s="138">
        <v>46302</v>
      </c>
      <c r="D938" s="138" t="s">
        <v>424</v>
      </c>
      <c r="E938" s="28">
        <v>0.96367104000000003</v>
      </c>
      <c r="F938" s="13"/>
      <c r="G938" s="18">
        <v>3216984.09</v>
      </c>
      <c r="H938" s="18">
        <v>3100114.39</v>
      </c>
      <c r="I938" s="18">
        <v>3216984.09</v>
      </c>
      <c r="J938" s="18">
        <v>3100114.39</v>
      </c>
      <c r="K938" s="15">
        <v>98</v>
      </c>
      <c r="L938" s="13" t="s">
        <v>102</v>
      </c>
      <c r="M938" s="13" t="s">
        <v>103</v>
      </c>
      <c r="N938" s="138" t="s">
        <v>421</v>
      </c>
      <c r="O938" s="138" t="s">
        <v>421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1385</v>
      </c>
      <c r="V938" s="13" t="s">
        <v>1385</v>
      </c>
      <c r="W938" s="59">
        <f>+J938/$W$2</f>
        <v>5.0736701331206431E-5</v>
      </c>
    </row>
    <row r="939" spans="1:29">
      <c r="A939" s="13" t="s">
        <v>2212</v>
      </c>
      <c r="B939" s="13" t="s">
        <v>404</v>
      </c>
      <c r="C939" s="138">
        <v>46302</v>
      </c>
      <c r="D939" s="138" t="s">
        <v>424</v>
      </c>
      <c r="E939" s="28">
        <v>0.96806707000000003</v>
      </c>
      <c r="F939" s="13"/>
      <c r="G939" s="18">
        <v>9778370.3499999996</v>
      </c>
      <c r="H939" s="18">
        <v>9466118.3300000001</v>
      </c>
      <c r="I939" s="18">
        <v>9778370.3499999996</v>
      </c>
      <c r="J939" s="18">
        <v>9466118.3300000001</v>
      </c>
      <c r="K939" s="15">
        <v>10537627</v>
      </c>
      <c r="L939" s="13" t="s">
        <v>102</v>
      </c>
      <c r="M939" s="13" t="s">
        <v>103</v>
      </c>
      <c r="N939" s="138" t="s">
        <v>639</v>
      </c>
      <c r="O939" s="138" t="s">
        <v>639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2185</v>
      </c>
      <c r="V939" s="13" t="s">
        <v>2185</v>
      </c>
      <c r="W939" s="59">
        <f>+J939/$W$2</f>
        <v>1.5492319251970201E-4</v>
      </c>
      <c r="AC939" s="56"/>
    </row>
    <row r="940" spans="1:29">
      <c r="A940" s="13" t="s">
        <v>196</v>
      </c>
      <c r="B940" s="13" t="s">
        <v>404</v>
      </c>
      <c r="C940" s="138">
        <v>46302</v>
      </c>
      <c r="D940" s="138" t="s">
        <v>424</v>
      </c>
      <c r="E940" s="28">
        <v>0.96040011000000003</v>
      </c>
      <c r="F940" s="13"/>
      <c r="G940" s="18">
        <v>10000000</v>
      </c>
      <c r="H940" s="18">
        <v>9604001.0999999996</v>
      </c>
      <c r="I940" s="18">
        <v>10000000</v>
      </c>
      <c r="J940" s="18">
        <v>9604001.0999999996</v>
      </c>
      <c r="K940" s="15">
        <v>16835551</v>
      </c>
      <c r="L940" s="13" t="s">
        <v>102</v>
      </c>
      <c r="M940" s="13" t="s">
        <v>103</v>
      </c>
      <c r="N940" s="138" t="s">
        <v>416</v>
      </c>
      <c r="O940" s="138" t="s">
        <v>416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2038</v>
      </c>
      <c r="V940" s="13" t="s">
        <v>2038</v>
      </c>
      <c r="W940" s="59">
        <f>+J940/$W$2</f>
        <v>1.5717979212866336E-4</v>
      </c>
    </row>
    <row r="941" spans="1:29">
      <c r="A941" s="13" t="s">
        <v>2685</v>
      </c>
      <c r="B941" s="13" t="s">
        <v>404</v>
      </c>
      <c r="C941" s="138">
        <v>46302</v>
      </c>
      <c r="D941" s="138" t="s">
        <v>424</v>
      </c>
      <c r="E941" s="28">
        <v>0.96367099000000001</v>
      </c>
      <c r="F941" s="13"/>
      <c r="G941" s="18">
        <v>5084000</v>
      </c>
      <c r="H941" s="18">
        <v>4899303.32</v>
      </c>
      <c r="I941" s="18">
        <v>5084000</v>
      </c>
      <c r="J941" s="18">
        <v>4899303.32</v>
      </c>
      <c r="K941" s="15">
        <v>69012951</v>
      </c>
      <c r="L941" s="13" t="s">
        <v>102</v>
      </c>
      <c r="M941" s="13" t="s">
        <v>103</v>
      </c>
      <c r="N941" s="138" t="s">
        <v>424</v>
      </c>
      <c r="O941" s="138" t="s">
        <v>424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2632</v>
      </c>
      <c r="V941" s="13" t="s">
        <v>2632</v>
      </c>
      <c r="W941" s="59">
        <f>+J941/$W$2</f>
        <v>8.0182360392781535E-5</v>
      </c>
    </row>
    <row r="942" spans="1:29">
      <c r="A942" s="13" t="s">
        <v>2686</v>
      </c>
      <c r="B942" s="13" t="s">
        <v>404</v>
      </c>
      <c r="C942" s="138">
        <v>46302</v>
      </c>
      <c r="D942" s="138" t="s">
        <v>424</v>
      </c>
      <c r="E942" s="28">
        <v>0.96367099000000001</v>
      </c>
      <c r="F942" s="13"/>
      <c r="G942" s="18">
        <v>7000000</v>
      </c>
      <c r="H942" s="18">
        <v>6745696.9400000004</v>
      </c>
      <c r="I942" s="18">
        <v>7000000</v>
      </c>
      <c r="J942" s="18">
        <v>6745696.9400000004</v>
      </c>
      <c r="K942" s="15">
        <v>10604194</v>
      </c>
      <c r="L942" s="13" t="s">
        <v>102</v>
      </c>
      <c r="M942" s="13" t="s">
        <v>103</v>
      </c>
      <c r="N942" s="138" t="s">
        <v>424</v>
      </c>
      <c r="O942" s="138" t="s">
        <v>424</v>
      </c>
      <c r="P942" s="28">
        <v>32</v>
      </c>
      <c r="Q942" s="13" t="s">
        <v>54</v>
      </c>
      <c r="R942" s="13" t="s">
        <v>28</v>
      </c>
      <c r="S942" s="13"/>
      <c r="T942" s="13"/>
      <c r="U942" s="13" t="s">
        <v>2634</v>
      </c>
      <c r="V942" s="13" t="s">
        <v>2634</v>
      </c>
      <c r="W942" s="59">
        <f>+J942/$W$2</f>
        <v>1.10400574901242E-4</v>
      </c>
      <c r="AC942" s="56"/>
    </row>
    <row r="943" spans="1:29">
      <c r="A943" s="13" t="s">
        <v>2689</v>
      </c>
      <c r="B943" s="13" t="s">
        <v>404</v>
      </c>
      <c r="C943" s="138">
        <v>46302</v>
      </c>
      <c r="D943" s="138" t="s">
        <v>424</v>
      </c>
      <c r="E943" s="28">
        <v>0.96367099000000001</v>
      </c>
      <c r="F943" s="13"/>
      <c r="G943" s="18">
        <v>12000000</v>
      </c>
      <c r="H943" s="18">
        <v>11564051.9</v>
      </c>
      <c r="I943" s="18">
        <v>12000000</v>
      </c>
      <c r="J943" s="18">
        <v>11564051.9</v>
      </c>
      <c r="K943" s="15">
        <v>68962213</v>
      </c>
      <c r="L943" s="13" t="s">
        <v>102</v>
      </c>
      <c r="M943" s="13" t="s">
        <v>103</v>
      </c>
      <c r="N943" s="138" t="s">
        <v>424</v>
      </c>
      <c r="O943" s="138" t="s">
        <v>424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2660</v>
      </c>
      <c r="V943" s="13" t="s">
        <v>2660</v>
      </c>
      <c r="W943" s="59">
        <f>+J943/$W$2</f>
        <v>1.8925812844888934E-4</v>
      </c>
    </row>
    <row r="944" spans="1:29">
      <c r="A944" s="13" t="s">
        <v>413</v>
      </c>
      <c r="B944" s="13" t="s">
        <v>404</v>
      </c>
      <c r="C944" s="138">
        <v>46302</v>
      </c>
      <c r="D944" s="138" t="s">
        <v>424</v>
      </c>
      <c r="E944" s="28">
        <v>0.96367102999999998</v>
      </c>
      <c r="F944" s="13"/>
      <c r="G944" s="18">
        <v>14479899.689999999</v>
      </c>
      <c r="H944" s="18">
        <v>13953859.83</v>
      </c>
      <c r="I944" s="18">
        <v>14479899.689999999</v>
      </c>
      <c r="J944" s="18">
        <v>13953859.83</v>
      </c>
      <c r="K944" s="15">
        <v>9933008</v>
      </c>
      <c r="L944" s="13" t="s">
        <v>102</v>
      </c>
      <c r="M944" s="13" t="s">
        <v>103</v>
      </c>
      <c r="N944" s="138" t="s">
        <v>338</v>
      </c>
      <c r="O944" s="138" t="s">
        <v>338</v>
      </c>
      <c r="P944" s="28">
        <v>32</v>
      </c>
      <c r="Q944" s="13" t="s">
        <v>54</v>
      </c>
      <c r="R944" s="13" t="s">
        <v>28</v>
      </c>
      <c r="S944" s="13"/>
      <c r="T944" s="13"/>
      <c r="U944" s="13" t="s">
        <v>1008</v>
      </c>
      <c r="V944" s="13" t="s">
        <v>1008</v>
      </c>
      <c r="W944" s="59">
        <f>+J944/$W$2</f>
        <v>2.2836990173521595E-4</v>
      </c>
    </row>
    <row r="945" spans="1:29">
      <c r="A945" s="13" t="s">
        <v>2521</v>
      </c>
      <c r="B945" s="13" t="s">
        <v>404</v>
      </c>
      <c r="C945" s="138">
        <v>46302</v>
      </c>
      <c r="D945" s="138" t="s">
        <v>424</v>
      </c>
      <c r="E945" s="28">
        <v>0.96257828000000001</v>
      </c>
      <c r="F945" s="13"/>
      <c r="G945" s="18">
        <v>56057920.039999999</v>
      </c>
      <c r="H945" s="18">
        <v>53960136.310000002</v>
      </c>
      <c r="I945" s="18">
        <v>56057920.039999999</v>
      </c>
      <c r="J945" s="18">
        <v>53960136.310000002</v>
      </c>
      <c r="K945" s="15">
        <v>13510</v>
      </c>
      <c r="L945" s="13" t="s">
        <v>102</v>
      </c>
      <c r="M945" s="13" t="s">
        <v>103</v>
      </c>
      <c r="N945" s="138" t="s">
        <v>170</v>
      </c>
      <c r="O945" s="138" t="s">
        <v>170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2500</v>
      </c>
      <c r="V945" s="13" t="s">
        <v>2500</v>
      </c>
      <c r="W945" s="59">
        <f>+J945/$W$2</f>
        <v>8.8311558069689732E-4</v>
      </c>
    </row>
    <row r="946" spans="1:29">
      <c r="A946" s="13" t="s">
        <v>189</v>
      </c>
      <c r="B946" s="13" t="s">
        <v>404</v>
      </c>
      <c r="C946" s="138">
        <v>46302</v>
      </c>
      <c r="D946" s="138" t="s">
        <v>424</v>
      </c>
      <c r="E946" s="28">
        <v>0.96806707000000003</v>
      </c>
      <c r="F946" s="13"/>
      <c r="G946" s="18">
        <v>10524359.310000001</v>
      </c>
      <c r="H946" s="18">
        <v>10188285.689999999</v>
      </c>
      <c r="I946" s="18">
        <v>10524359.310000001</v>
      </c>
      <c r="J946" s="18">
        <v>10188285.689999999</v>
      </c>
      <c r="K946" s="15">
        <v>646229</v>
      </c>
      <c r="L946" s="13" t="s">
        <v>102</v>
      </c>
      <c r="M946" s="13" t="s">
        <v>103</v>
      </c>
      <c r="N946" s="138" t="s">
        <v>639</v>
      </c>
      <c r="O946" s="138" t="s">
        <v>639</v>
      </c>
      <c r="P946" s="28">
        <v>28</v>
      </c>
      <c r="Q946" s="13" t="s">
        <v>54</v>
      </c>
      <c r="R946" s="13" t="s">
        <v>28</v>
      </c>
      <c r="S946" s="13"/>
      <c r="T946" s="13"/>
      <c r="U946" s="13" t="s">
        <v>2163</v>
      </c>
      <c r="V946" s="13" t="s">
        <v>2163</v>
      </c>
      <c r="W946" s="59">
        <f>+J946/$W$2</f>
        <v>1.6674223693098446E-4</v>
      </c>
    </row>
    <row r="947" spans="1:29">
      <c r="A947" s="13" t="s">
        <v>2054</v>
      </c>
      <c r="B947" s="13" t="s">
        <v>404</v>
      </c>
      <c r="C947" s="138">
        <v>46302</v>
      </c>
      <c r="D947" s="138" t="s">
        <v>424</v>
      </c>
      <c r="E947" s="28">
        <v>0.97473706000000004</v>
      </c>
      <c r="F947" s="13"/>
      <c r="G947" s="18">
        <v>5200000</v>
      </c>
      <c r="H947" s="18">
        <v>5068632.72</v>
      </c>
      <c r="I947" s="18">
        <v>5200000</v>
      </c>
      <c r="J947" s="18">
        <v>5068632.72</v>
      </c>
      <c r="K947" s="15">
        <v>2</v>
      </c>
      <c r="L947" s="13" t="s">
        <v>102</v>
      </c>
      <c r="M947" s="13" t="s">
        <v>103</v>
      </c>
      <c r="N947" s="138" t="s">
        <v>416</v>
      </c>
      <c r="O947" s="138" t="s">
        <v>416</v>
      </c>
      <c r="P947" s="28">
        <v>22</v>
      </c>
      <c r="Q947" s="13" t="s">
        <v>54</v>
      </c>
      <c r="R947" s="13" t="s">
        <v>28</v>
      </c>
      <c r="S947" s="13"/>
      <c r="T947" s="13"/>
      <c r="U947" s="13" t="s">
        <v>2055</v>
      </c>
      <c r="V947" s="13" t="s">
        <v>2055</v>
      </c>
      <c r="W947" s="59">
        <f>+J947/$W$2</f>
        <v>8.2953617873507068E-5</v>
      </c>
    </row>
    <row r="948" spans="1:29">
      <c r="A948" s="13" t="s">
        <v>2220</v>
      </c>
      <c r="B948" s="13" t="s">
        <v>404</v>
      </c>
      <c r="C948" s="138">
        <v>46302</v>
      </c>
      <c r="D948" s="138" t="s">
        <v>424</v>
      </c>
      <c r="E948" s="28">
        <v>0.96367099000000001</v>
      </c>
      <c r="F948" s="13"/>
      <c r="G948" s="18">
        <v>6000000</v>
      </c>
      <c r="H948" s="18">
        <v>5782025.9500000002</v>
      </c>
      <c r="I948" s="18">
        <v>6000000</v>
      </c>
      <c r="J948" s="18">
        <v>5782025.9500000002</v>
      </c>
      <c r="K948" s="15">
        <v>90001650</v>
      </c>
      <c r="L948" s="13" t="s">
        <v>102</v>
      </c>
      <c r="M948" s="13" t="s">
        <v>103</v>
      </c>
      <c r="N948" s="138" t="s">
        <v>424</v>
      </c>
      <c r="O948" s="138" t="s">
        <v>424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2655</v>
      </c>
      <c r="V948" s="13" t="s">
        <v>2655</v>
      </c>
      <c r="W948" s="59">
        <f>+J948/$W$2</f>
        <v>9.4629064224444669E-5</v>
      </c>
    </row>
    <row r="949" spans="1:29">
      <c r="A949" s="13" t="s">
        <v>2224</v>
      </c>
      <c r="B949" s="13" t="s">
        <v>404</v>
      </c>
      <c r="C949" s="138">
        <v>46302</v>
      </c>
      <c r="D949" s="138" t="s">
        <v>424</v>
      </c>
      <c r="E949" s="28">
        <v>0.96367099000000001</v>
      </c>
      <c r="F949" s="13"/>
      <c r="G949" s="18">
        <v>5444206</v>
      </c>
      <c r="H949" s="18">
        <v>5246423.3899999997</v>
      </c>
      <c r="I949" s="18">
        <v>5444206</v>
      </c>
      <c r="J949" s="18">
        <v>5246423.3899999997</v>
      </c>
      <c r="K949" s="15">
        <v>3440</v>
      </c>
      <c r="L949" s="13" t="s">
        <v>102</v>
      </c>
      <c r="M949" s="13" t="s">
        <v>103</v>
      </c>
      <c r="N949" s="138" t="s">
        <v>424</v>
      </c>
      <c r="O949" s="138" t="s">
        <v>424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2647</v>
      </c>
      <c r="V949" s="13" t="s">
        <v>2647</v>
      </c>
      <c r="W949" s="59">
        <f>+J949/$W$2</f>
        <v>8.5863353124684388E-5</v>
      </c>
    </row>
    <row r="950" spans="1:29">
      <c r="A950" s="13" t="s">
        <v>2435</v>
      </c>
      <c r="B950" s="13" t="s">
        <v>404</v>
      </c>
      <c r="C950" s="138">
        <v>46302</v>
      </c>
      <c r="D950" s="138" t="s">
        <v>424</v>
      </c>
      <c r="E950" s="28">
        <v>0.96367100000000006</v>
      </c>
      <c r="F950" s="13"/>
      <c r="G950" s="18">
        <v>104500000</v>
      </c>
      <c r="H950" s="18">
        <v>100703619.79000001</v>
      </c>
      <c r="I950" s="18">
        <v>104500000</v>
      </c>
      <c r="J950" s="18">
        <v>100703619.79000001</v>
      </c>
      <c r="K950" s="15">
        <v>323</v>
      </c>
      <c r="L950" s="13" t="s">
        <v>102</v>
      </c>
      <c r="M950" s="13" t="s">
        <v>103</v>
      </c>
      <c r="N950" s="138" t="s">
        <v>345</v>
      </c>
      <c r="O950" s="138" t="s">
        <v>345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2423</v>
      </c>
      <c r="V950" s="13" t="s">
        <v>2423</v>
      </c>
      <c r="W950" s="59">
        <f>+J950/$W$2</f>
        <v>1.6481228875740289E-3</v>
      </c>
    </row>
    <row r="951" spans="1:29">
      <c r="A951" s="13" t="s">
        <v>981</v>
      </c>
      <c r="B951" s="13" t="s">
        <v>404</v>
      </c>
      <c r="C951" s="138">
        <v>46302</v>
      </c>
      <c r="D951" s="138" t="s">
        <v>424</v>
      </c>
      <c r="E951" s="28">
        <v>0.95715114000000001</v>
      </c>
      <c r="F951" s="13"/>
      <c r="G951" s="18">
        <v>25000000</v>
      </c>
      <c r="H951" s="18">
        <v>23928778.579999998</v>
      </c>
      <c r="I951" s="18">
        <v>25000000</v>
      </c>
      <c r="J951" s="18">
        <v>23928778.579999998</v>
      </c>
      <c r="K951" s="15">
        <v>70393026</v>
      </c>
      <c r="L951" s="13" t="s">
        <v>102</v>
      </c>
      <c r="M951" s="13" t="s">
        <v>103</v>
      </c>
      <c r="N951" s="138" t="s">
        <v>429</v>
      </c>
      <c r="O951" s="138" t="s">
        <v>429</v>
      </c>
      <c r="P951" s="28">
        <v>38</v>
      </c>
      <c r="Q951" s="13" t="s">
        <v>54</v>
      </c>
      <c r="R951" s="13" t="s">
        <v>28</v>
      </c>
      <c r="S951" s="13"/>
      <c r="T951" s="13"/>
      <c r="U951" s="13" t="s">
        <v>1976</v>
      </c>
      <c r="V951" s="13" t="s">
        <v>1976</v>
      </c>
      <c r="W951" s="59">
        <f>+J951/$W$2</f>
        <v>3.9162015954967059E-4</v>
      </c>
    </row>
    <row r="952" spans="1:29">
      <c r="A952" s="13" t="s">
        <v>1423</v>
      </c>
      <c r="B952" s="13" t="s">
        <v>404</v>
      </c>
      <c r="C952" s="138">
        <v>46302</v>
      </c>
      <c r="D952" s="138" t="s">
        <v>424</v>
      </c>
      <c r="E952" s="28">
        <v>0.96257822000000004</v>
      </c>
      <c r="F952" s="13"/>
      <c r="G952" s="18">
        <v>10044547.85</v>
      </c>
      <c r="H952" s="18">
        <v>9668662.9399999995</v>
      </c>
      <c r="I952" s="18">
        <v>10044547.85</v>
      </c>
      <c r="J952" s="18">
        <v>9668662.9399999995</v>
      </c>
      <c r="K952" s="15">
        <v>38</v>
      </c>
      <c r="L952" s="13" t="s">
        <v>102</v>
      </c>
      <c r="M952" s="13" t="s">
        <v>103</v>
      </c>
      <c r="N952" s="138" t="s">
        <v>422</v>
      </c>
      <c r="O952" s="138" t="s">
        <v>422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2262</v>
      </c>
      <c r="V952" s="13" t="s">
        <v>2262</v>
      </c>
      <c r="W952" s="59">
        <f>+J952/$W$2</f>
        <v>1.5823805258324169E-4</v>
      </c>
      <c r="AC952" s="56"/>
    </row>
    <row r="953" spans="1:29">
      <c r="A953" s="13" t="s">
        <v>1905</v>
      </c>
      <c r="B953" s="13" t="s">
        <v>404</v>
      </c>
      <c r="C953" s="138">
        <v>46302</v>
      </c>
      <c r="D953" s="138" t="s">
        <v>424</v>
      </c>
      <c r="E953" s="28">
        <v>0.96586406000000002</v>
      </c>
      <c r="F953" s="13"/>
      <c r="G953" s="18">
        <v>262422.81</v>
      </c>
      <c r="H953" s="18">
        <v>253464.76</v>
      </c>
      <c r="I953" s="18">
        <v>262422.81</v>
      </c>
      <c r="J953" s="18">
        <v>253464.76</v>
      </c>
      <c r="K953" s="15">
        <v>30093658</v>
      </c>
      <c r="L953" s="13" t="s">
        <v>102</v>
      </c>
      <c r="M953" s="13" t="s">
        <v>103</v>
      </c>
      <c r="N953" s="138" t="s">
        <v>173</v>
      </c>
      <c r="O953" s="138" t="s">
        <v>173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2017</v>
      </c>
      <c r="V953" s="13" t="s">
        <v>2017</v>
      </c>
      <c r="W953" s="59">
        <f>+J953/$W$2</f>
        <v>4.1482230035085637E-6</v>
      </c>
    </row>
    <row r="954" spans="1:29">
      <c r="A954" s="13" t="s">
        <v>916</v>
      </c>
      <c r="B954" s="13" t="s">
        <v>404</v>
      </c>
      <c r="C954" s="138">
        <v>46303</v>
      </c>
      <c r="D954" s="138" t="s">
        <v>424</v>
      </c>
      <c r="E954" s="28">
        <v>0.96509787000000002</v>
      </c>
      <c r="F954" s="13"/>
      <c r="G954" s="18">
        <v>100000000</v>
      </c>
      <c r="H954" s="18">
        <v>96509786.780000001</v>
      </c>
      <c r="I954" s="18">
        <v>100000000</v>
      </c>
      <c r="J954" s="18">
        <v>96509786.780000001</v>
      </c>
      <c r="K954" s="15">
        <v>90003980</v>
      </c>
      <c r="L954" s="13" t="s">
        <v>102</v>
      </c>
      <c r="M954" s="13" t="s">
        <v>103</v>
      </c>
      <c r="N954" s="138" t="s">
        <v>173</v>
      </c>
      <c r="O954" s="138" t="s">
        <v>173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2020</v>
      </c>
      <c r="V954" s="13" t="s">
        <v>2020</v>
      </c>
      <c r="W954" s="59">
        <f>+J954/$W$2</f>
        <v>1.5794863064376391E-3</v>
      </c>
      <c r="AC954" s="56"/>
    </row>
    <row r="955" spans="1:29">
      <c r="A955" s="13" t="s">
        <v>302</v>
      </c>
      <c r="B955" s="13" t="s">
        <v>404</v>
      </c>
      <c r="C955" s="138">
        <v>46303</v>
      </c>
      <c r="D955" s="138" t="s">
        <v>424</v>
      </c>
      <c r="E955" s="28">
        <v>0.95951649999999999</v>
      </c>
      <c r="F955" s="13"/>
      <c r="G955" s="18">
        <v>4750000</v>
      </c>
      <c r="H955" s="18">
        <v>4557703.3600000003</v>
      </c>
      <c r="I955" s="18">
        <v>4750000</v>
      </c>
      <c r="J955" s="18">
        <v>4557703.3600000003</v>
      </c>
      <c r="K955" s="15">
        <v>40768616</v>
      </c>
      <c r="L955" s="13" t="s">
        <v>102</v>
      </c>
      <c r="M955" s="13" t="s">
        <v>103</v>
      </c>
      <c r="N955" s="138" t="s">
        <v>429</v>
      </c>
      <c r="O955" s="138" t="s">
        <v>429</v>
      </c>
      <c r="P955" s="28">
        <v>35</v>
      </c>
      <c r="Q955" s="13" t="s">
        <v>54</v>
      </c>
      <c r="R955" s="13" t="s">
        <v>28</v>
      </c>
      <c r="S955" s="13"/>
      <c r="T955" s="13"/>
      <c r="U955" s="13" t="s">
        <v>1972</v>
      </c>
      <c r="V955" s="13" t="s">
        <v>1972</v>
      </c>
      <c r="W955" s="59">
        <f>+J955/$W$2</f>
        <v>7.4591710189299192E-5</v>
      </c>
    </row>
    <row r="956" spans="1:29">
      <c r="A956" s="13" t="s">
        <v>566</v>
      </c>
      <c r="B956" s="13" t="s">
        <v>404</v>
      </c>
      <c r="C956" s="138">
        <v>46303</v>
      </c>
      <c r="D956" s="138" t="s">
        <v>424</v>
      </c>
      <c r="E956" s="28">
        <v>0.95399904999999996</v>
      </c>
      <c r="F956" s="13"/>
      <c r="G956" s="18">
        <v>187200000</v>
      </c>
      <c r="H956" s="18">
        <v>178588622.37</v>
      </c>
      <c r="I956" s="18">
        <v>187200000</v>
      </c>
      <c r="J956" s="18">
        <v>178588622.37</v>
      </c>
      <c r="K956" s="15">
        <v>70397197</v>
      </c>
      <c r="L956" s="13" t="s">
        <v>102</v>
      </c>
      <c r="M956" s="13" t="s">
        <v>103</v>
      </c>
      <c r="N956" s="138" t="s">
        <v>170</v>
      </c>
      <c r="O956" s="138" t="s">
        <v>170</v>
      </c>
      <c r="P956" s="28">
        <v>40</v>
      </c>
      <c r="Q956" s="13" t="s">
        <v>54</v>
      </c>
      <c r="R956" s="13" t="s">
        <v>28</v>
      </c>
      <c r="S956" s="13"/>
      <c r="T956" s="13"/>
      <c r="U956" s="13" t="s">
        <v>2494</v>
      </c>
      <c r="V956" s="13" t="s">
        <v>2494</v>
      </c>
      <c r="W956" s="59">
        <f>+J956/$W$2</f>
        <v>2.922794598665858E-3</v>
      </c>
    </row>
    <row r="957" spans="1:29">
      <c r="A957" s="13" t="s">
        <v>744</v>
      </c>
      <c r="B957" s="13" t="s">
        <v>404</v>
      </c>
      <c r="C957" s="138">
        <v>46303</v>
      </c>
      <c r="D957" s="138" t="s">
        <v>424</v>
      </c>
      <c r="E957" s="28">
        <v>0.95509739000000005</v>
      </c>
      <c r="F957" s="13"/>
      <c r="G957" s="18">
        <v>3750000</v>
      </c>
      <c r="H957" s="18">
        <v>3581615.2</v>
      </c>
      <c r="I957" s="18">
        <v>3750000</v>
      </c>
      <c r="J957" s="18">
        <v>3581615.2</v>
      </c>
      <c r="K957" s="15">
        <v>66919994</v>
      </c>
      <c r="L957" s="13" t="s">
        <v>102</v>
      </c>
      <c r="M957" s="13" t="s">
        <v>103</v>
      </c>
      <c r="N957" s="138" t="s">
        <v>322</v>
      </c>
      <c r="O957" s="138" t="s">
        <v>322</v>
      </c>
      <c r="P957" s="28">
        <v>39</v>
      </c>
      <c r="Q957" s="13" t="s">
        <v>54</v>
      </c>
      <c r="R957" s="13" t="s">
        <v>28</v>
      </c>
      <c r="S957" s="13"/>
      <c r="T957" s="13"/>
      <c r="U957" s="13" t="s">
        <v>725</v>
      </c>
      <c r="V957" s="13" t="s">
        <v>725</v>
      </c>
      <c r="W957" s="59">
        <f>+J957/$W$2</f>
        <v>5.8616979190148265E-5</v>
      </c>
      <c r="AC957" s="56"/>
    </row>
    <row r="958" spans="1:29">
      <c r="A958" s="13" t="s">
        <v>537</v>
      </c>
      <c r="B958" s="13" t="s">
        <v>404</v>
      </c>
      <c r="C958" s="138">
        <v>46303</v>
      </c>
      <c r="D958" s="138" t="s">
        <v>424</v>
      </c>
      <c r="E958" s="28">
        <v>0.97188202999999995</v>
      </c>
      <c r="F958" s="13"/>
      <c r="G958" s="18">
        <v>5000000</v>
      </c>
      <c r="H958" s="18">
        <v>4859410.17</v>
      </c>
      <c r="I958" s="18">
        <v>5000000</v>
      </c>
      <c r="J958" s="18">
        <v>4859410.17</v>
      </c>
      <c r="K958" s="15">
        <v>16831530</v>
      </c>
      <c r="L958" s="13" t="s">
        <v>102</v>
      </c>
      <c r="M958" s="13" t="s">
        <v>103</v>
      </c>
      <c r="N958" s="138" t="s">
        <v>161</v>
      </c>
      <c r="O958" s="138" t="s">
        <v>161</v>
      </c>
      <c r="P958" s="28">
        <v>24</v>
      </c>
      <c r="Q958" s="13" t="s">
        <v>54</v>
      </c>
      <c r="R958" s="13" t="s">
        <v>28</v>
      </c>
      <c r="S958" s="13"/>
      <c r="T958" s="13"/>
      <c r="U958" s="13" t="s">
        <v>1673</v>
      </c>
      <c r="V958" s="13" t="s">
        <v>1673</v>
      </c>
      <c r="W958" s="59">
        <f>+J958/$W$2</f>
        <v>7.9529466150156172E-5</v>
      </c>
    </row>
    <row r="959" spans="1:29">
      <c r="A959" s="13" t="s">
        <v>537</v>
      </c>
      <c r="B959" s="13" t="s">
        <v>404</v>
      </c>
      <c r="C959" s="138">
        <v>46303</v>
      </c>
      <c r="D959" s="138" t="s">
        <v>424</v>
      </c>
      <c r="E959" s="28">
        <v>0.96734876999999997</v>
      </c>
      <c r="F959" s="13"/>
      <c r="G959" s="18">
        <v>8000000</v>
      </c>
      <c r="H959" s="18">
        <v>7738790.1500000004</v>
      </c>
      <c r="I959" s="18">
        <v>8000000</v>
      </c>
      <c r="J959" s="18">
        <v>7738790.1500000004</v>
      </c>
      <c r="K959" s="15">
        <v>90000138</v>
      </c>
      <c r="L959" s="13" t="s">
        <v>102</v>
      </c>
      <c r="M959" s="13" t="s">
        <v>103</v>
      </c>
      <c r="N959" s="138" t="s">
        <v>425</v>
      </c>
      <c r="O959" s="138" t="s">
        <v>425</v>
      </c>
      <c r="P959" s="28">
        <v>28</v>
      </c>
      <c r="Q959" s="13" t="s">
        <v>54</v>
      </c>
      <c r="R959" s="13" t="s">
        <v>28</v>
      </c>
      <c r="S959" s="13"/>
      <c r="T959" s="13"/>
      <c r="U959" s="13" t="s">
        <v>1321</v>
      </c>
      <c r="V959" s="13" t="s">
        <v>1321</v>
      </c>
      <c r="W959" s="59">
        <f>+J959/$W$2</f>
        <v>1.2665361180605732E-4</v>
      </c>
    </row>
    <row r="960" spans="1:29">
      <c r="A960" s="13" t="s">
        <v>410</v>
      </c>
      <c r="B960" s="13" t="s">
        <v>404</v>
      </c>
      <c r="C960" s="138">
        <v>46303</v>
      </c>
      <c r="D960" s="138" t="s">
        <v>424</v>
      </c>
      <c r="E960" s="28">
        <v>0.95619847000000002</v>
      </c>
      <c r="F960" s="13"/>
      <c r="G960" s="18">
        <v>20000000</v>
      </c>
      <c r="H960" s="18">
        <v>19123969.460000001</v>
      </c>
      <c r="I960" s="18">
        <v>20000000</v>
      </c>
      <c r="J960" s="18">
        <v>19123969.460000001</v>
      </c>
      <c r="K960" s="15">
        <v>70219568</v>
      </c>
      <c r="L960" s="13" t="s">
        <v>102</v>
      </c>
      <c r="M960" s="13" t="s">
        <v>103</v>
      </c>
      <c r="N960" s="138" t="s">
        <v>429</v>
      </c>
      <c r="O960" s="138" t="s">
        <v>429</v>
      </c>
      <c r="P960" s="28">
        <v>38</v>
      </c>
      <c r="Q960" s="13" t="s">
        <v>54</v>
      </c>
      <c r="R960" s="13" t="s">
        <v>28</v>
      </c>
      <c r="S960" s="13"/>
      <c r="T960" s="13"/>
      <c r="U960" s="13" t="s">
        <v>1979</v>
      </c>
      <c r="V960" s="13" t="s">
        <v>1979</v>
      </c>
      <c r="W960" s="59">
        <f>+J960/$W$2</f>
        <v>3.1298429822105152E-4</v>
      </c>
    </row>
    <row r="961" spans="1:29">
      <c r="A961" s="13" t="s">
        <v>410</v>
      </c>
      <c r="B961" s="13" t="s">
        <v>404</v>
      </c>
      <c r="C961" s="138">
        <v>46303</v>
      </c>
      <c r="D961" s="138" t="s">
        <v>424</v>
      </c>
      <c r="E961" s="28">
        <v>0.95619847000000002</v>
      </c>
      <c r="F961" s="13"/>
      <c r="G961" s="18">
        <v>20000000</v>
      </c>
      <c r="H961" s="18">
        <v>19123969.460000001</v>
      </c>
      <c r="I961" s="18">
        <v>20000000</v>
      </c>
      <c r="J961" s="18">
        <v>19123969.460000001</v>
      </c>
      <c r="K961" s="15">
        <v>70219566</v>
      </c>
      <c r="L961" s="13" t="s">
        <v>102</v>
      </c>
      <c r="M961" s="13" t="s">
        <v>103</v>
      </c>
      <c r="N961" s="138" t="s">
        <v>429</v>
      </c>
      <c r="O961" s="138" t="s">
        <v>429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1980</v>
      </c>
      <c r="V961" s="13" t="s">
        <v>1980</v>
      </c>
      <c r="W961" s="59">
        <f>+J961/$W$2</f>
        <v>3.1298429822105152E-4</v>
      </c>
    </row>
    <row r="962" spans="1:29">
      <c r="A962" s="13" t="s">
        <v>410</v>
      </c>
      <c r="B962" s="13" t="s">
        <v>404</v>
      </c>
      <c r="C962" s="138">
        <v>46303</v>
      </c>
      <c r="D962" s="138" t="s">
        <v>424</v>
      </c>
      <c r="E962" s="28">
        <v>0.95619847000000002</v>
      </c>
      <c r="F962" s="13"/>
      <c r="G962" s="18">
        <v>20000000</v>
      </c>
      <c r="H962" s="18">
        <v>19123969.460000001</v>
      </c>
      <c r="I962" s="18">
        <v>20000000</v>
      </c>
      <c r="J962" s="18">
        <v>19123969.460000001</v>
      </c>
      <c r="K962" s="15">
        <v>70219567</v>
      </c>
      <c r="L962" s="13" t="s">
        <v>102</v>
      </c>
      <c r="M962" s="13" t="s">
        <v>103</v>
      </c>
      <c r="N962" s="138" t="s">
        <v>429</v>
      </c>
      <c r="O962" s="138" t="s">
        <v>429</v>
      </c>
      <c r="P962" s="28">
        <v>38</v>
      </c>
      <c r="Q962" s="13" t="s">
        <v>54</v>
      </c>
      <c r="R962" s="13" t="s">
        <v>28</v>
      </c>
      <c r="S962" s="13"/>
      <c r="T962" s="13"/>
      <c r="U962" s="13" t="s">
        <v>1981</v>
      </c>
      <c r="V962" s="13" t="s">
        <v>1981</v>
      </c>
      <c r="W962" s="59">
        <f>+J962/$W$2</f>
        <v>3.1298429822105152E-4</v>
      </c>
    </row>
    <row r="963" spans="1:29">
      <c r="A963" s="13" t="s">
        <v>410</v>
      </c>
      <c r="B963" s="13" t="s">
        <v>404</v>
      </c>
      <c r="C963" s="138">
        <v>46303</v>
      </c>
      <c r="D963" s="138" t="s">
        <v>424</v>
      </c>
      <c r="E963" s="28">
        <v>0.95619847000000002</v>
      </c>
      <c r="F963" s="13"/>
      <c r="G963" s="18">
        <v>20000000</v>
      </c>
      <c r="H963" s="18">
        <v>19123969.460000001</v>
      </c>
      <c r="I963" s="18">
        <v>20000000</v>
      </c>
      <c r="J963" s="18">
        <v>19123969.460000001</v>
      </c>
      <c r="K963" s="15">
        <v>70219569</v>
      </c>
      <c r="L963" s="13" t="s">
        <v>102</v>
      </c>
      <c r="M963" s="13" t="s">
        <v>103</v>
      </c>
      <c r="N963" s="138" t="s">
        <v>429</v>
      </c>
      <c r="O963" s="138" t="s">
        <v>429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1982</v>
      </c>
      <c r="V963" s="13" t="s">
        <v>1982</v>
      </c>
      <c r="W963" s="59">
        <f>+J963/$W$2</f>
        <v>3.1298429822105152E-4</v>
      </c>
    </row>
    <row r="964" spans="1:29">
      <c r="A964" s="13" t="s">
        <v>514</v>
      </c>
      <c r="B964" s="13" t="s">
        <v>404</v>
      </c>
      <c r="C964" s="138">
        <v>46303</v>
      </c>
      <c r="D964" s="138" t="s">
        <v>424</v>
      </c>
      <c r="E964" s="28">
        <v>0.95399898000000005</v>
      </c>
      <c r="F964" s="13"/>
      <c r="G964" s="18">
        <v>7900000</v>
      </c>
      <c r="H964" s="18">
        <v>7536591.9699999997</v>
      </c>
      <c r="I964" s="18">
        <v>7900000</v>
      </c>
      <c r="J964" s="18">
        <v>7536591.9699999997</v>
      </c>
      <c r="K964" s="15">
        <v>15</v>
      </c>
      <c r="L964" s="13" t="s">
        <v>102</v>
      </c>
      <c r="M964" s="13" t="s">
        <v>103</v>
      </c>
      <c r="N964" s="138" t="s">
        <v>316</v>
      </c>
      <c r="O964" s="138" t="s">
        <v>316</v>
      </c>
      <c r="P964" s="28">
        <v>40</v>
      </c>
      <c r="Q964" s="13" t="s">
        <v>54</v>
      </c>
      <c r="R964" s="13" t="s">
        <v>28</v>
      </c>
      <c r="S964" s="13"/>
      <c r="T964" s="13"/>
      <c r="U964" s="13" t="s">
        <v>488</v>
      </c>
      <c r="V964" s="13" t="s">
        <v>488</v>
      </c>
      <c r="W964" s="59">
        <f>+J964/$W$2</f>
        <v>1.233444214415129E-4</v>
      </c>
      <c r="AC964" s="56"/>
    </row>
    <row r="965" spans="1:29">
      <c r="A965" s="13" t="s">
        <v>514</v>
      </c>
      <c r="B965" s="13" t="s">
        <v>404</v>
      </c>
      <c r="C965" s="138">
        <v>46303</v>
      </c>
      <c r="D965" s="138" t="s">
        <v>424</v>
      </c>
      <c r="E965" s="28">
        <v>0.95399898999999999</v>
      </c>
      <c r="F965" s="13"/>
      <c r="G965" s="18">
        <v>7203888</v>
      </c>
      <c r="H965" s="18">
        <v>6872501.8399999999</v>
      </c>
      <c r="I965" s="18">
        <v>7203888</v>
      </c>
      <c r="J965" s="18">
        <v>6872501.8399999999</v>
      </c>
      <c r="K965" s="15">
        <v>876</v>
      </c>
      <c r="L965" s="13" t="s">
        <v>102</v>
      </c>
      <c r="M965" s="13" t="s">
        <v>103</v>
      </c>
      <c r="N965" s="138" t="s">
        <v>316</v>
      </c>
      <c r="O965" s="138" t="s">
        <v>316</v>
      </c>
      <c r="P965" s="28">
        <v>40</v>
      </c>
      <c r="Q965" s="13" t="s">
        <v>54</v>
      </c>
      <c r="R965" s="13" t="s">
        <v>28</v>
      </c>
      <c r="S965" s="13"/>
      <c r="T965" s="13"/>
      <c r="U965" s="13" t="s">
        <v>490</v>
      </c>
      <c r="V965" s="13" t="s">
        <v>490</v>
      </c>
      <c r="W965" s="59">
        <f>+J965/$W$2</f>
        <v>1.1247587327067845E-4</v>
      </c>
    </row>
    <row r="966" spans="1:29">
      <c r="A966" s="13" t="s">
        <v>565</v>
      </c>
      <c r="B966" s="13" t="s">
        <v>404</v>
      </c>
      <c r="C966" s="138">
        <v>46303</v>
      </c>
      <c r="D966" s="138" t="s">
        <v>424</v>
      </c>
      <c r="E966" s="28">
        <v>0.96847804999999998</v>
      </c>
      <c r="F966" s="13"/>
      <c r="G966" s="18">
        <v>20000000</v>
      </c>
      <c r="H966" s="18">
        <v>19369561.030000001</v>
      </c>
      <c r="I966" s="18">
        <v>20000000</v>
      </c>
      <c r="J966" s="18">
        <v>19369561.030000001</v>
      </c>
      <c r="K966" s="15">
        <v>9508920</v>
      </c>
      <c r="L966" s="13" t="s">
        <v>102</v>
      </c>
      <c r="M966" s="13" t="s">
        <v>103</v>
      </c>
      <c r="N966" s="138" t="s">
        <v>601</v>
      </c>
      <c r="O966" s="138" t="s">
        <v>601</v>
      </c>
      <c r="P966" s="28">
        <v>27</v>
      </c>
      <c r="Q966" s="13" t="s">
        <v>54</v>
      </c>
      <c r="R966" s="13" t="s">
        <v>28</v>
      </c>
      <c r="S966" s="13"/>
      <c r="T966" s="13"/>
      <c r="U966" s="13" t="s">
        <v>1332</v>
      </c>
      <c r="V966" s="13" t="s">
        <v>1332</v>
      </c>
      <c r="W966" s="59">
        <f>+J966/$W$2</f>
        <v>3.1700366801487128E-4</v>
      </c>
    </row>
    <row r="967" spans="1:29">
      <c r="A967" s="13" t="s">
        <v>375</v>
      </c>
      <c r="B967" s="13" t="s">
        <v>404</v>
      </c>
      <c r="C967" s="138">
        <v>46303</v>
      </c>
      <c r="D967" s="138" t="s">
        <v>424</v>
      </c>
      <c r="E967" s="28">
        <v>0.96174121000000001</v>
      </c>
      <c r="F967" s="13"/>
      <c r="G967" s="18">
        <v>5000000</v>
      </c>
      <c r="H967" s="18">
        <v>4808706.03</v>
      </c>
      <c r="I967" s="18">
        <v>5000000</v>
      </c>
      <c r="J967" s="18">
        <v>4808706.03</v>
      </c>
      <c r="K967" s="15">
        <v>3039</v>
      </c>
      <c r="L967" s="13" t="s">
        <v>102</v>
      </c>
      <c r="M967" s="13" t="s">
        <v>103</v>
      </c>
      <c r="N967" s="138" t="s">
        <v>161</v>
      </c>
      <c r="O967" s="138" t="s">
        <v>161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1689</v>
      </c>
      <c r="V967" s="13" t="s">
        <v>1689</v>
      </c>
      <c r="W967" s="59">
        <f>+J967/$W$2</f>
        <v>7.8699638445819215E-5</v>
      </c>
    </row>
    <row r="968" spans="1:29">
      <c r="A968" s="13" t="s">
        <v>405</v>
      </c>
      <c r="B968" s="13" t="s">
        <v>404</v>
      </c>
      <c r="C968" s="138">
        <v>46303</v>
      </c>
      <c r="D968" s="138" t="s">
        <v>424</v>
      </c>
      <c r="E968" s="28">
        <v>0.96509789999999995</v>
      </c>
      <c r="F968" s="13"/>
      <c r="G968" s="18">
        <v>5000000</v>
      </c>
      <c r="H968" s="18">
        <v>4825489.49</v>
      </c>
      <c r="I968" s="18">
        <v>5000000</v>
      </c>
      <c r="J968" s="18">
        <v>4825489.49</v>
      </c>
      <c r="K968" s="15">
        <v>789</v>
      </c>
      <c r="L968" s="13" t="s">
        <v>102</v>
      </c>
      <c r="M968" s="13" t="s">
        <v>103</v>
      </c>
      <c r="N968" s="138" t="s">
        <v>421</v>
      </c>
      <c r="O968" s="138" t="s">
        <v>421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1399</v>
      </c>
      <c r="V968" s="13" t="s">
        <v>1399</v>
      </c>
      <c r="W968" s="59">
        <f>+J968/$W$2</f>
        <v>7.8974317793159118E-5</v>
      </c>
    </row>
    <row r="969" spans="1:29">
      <c r="A969" s="13" t="s">
        <v>405</v>
      </c>
      <c r="B969" s="13" t="s">
        <v>404</v>
      </c>
      <c r="C969" s="138">
        <v>46303</v>
      </c>
      <c r="D969" s="138" t="s">
        <v>424</v>
      </c>
      <c r="E969" s="28">
        <v>0.96509785999999997</v>
      </c>
      <c r="F969" s="13"/>
      <c r="G969" s="18">
        <v>3300000</v>
      </c>
      <c r="H969" s="18">
        <v>3184822.94</v>
      </c>
      <c r="I969" s="18">
        <v>3300000</v>
      </c>
      <c r="J969" s="18">
        <v>3184822.94</v>
      </c>
      <c r="K969" s="15">
        <v>924</v>
      </c>
      <c r="L969" s="13" t="s">
        <v>102</v>
      </c>
      <c r="M969" s="13" t="s">
        <v>103</v>
      </c>
      <c r="N969" s="138" t="s">
        <v>422</v>
      </c>
      <c r="O969" s="138" t="s">
        <v>422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2252</v>
      </c>
      <c r="V969" s="13" t="s">
        <v>2252</v>
      </c>
      <c r="W969" s="59">
        <f>+J969/$W$2</f>
        <v>5.2123047723911495E-5</v>
      </c>
    </row>
    <row r="970" spans="1:29">
      <c r="A970" s="13" t="s">
        <v>405</v>
      </c>
      <c r="B970" s="13" t="s">
        <v>404</v>
      </c>
      <c r="C970" s="138">
        <v>46303</v>
      </c>
      <c r="D970" s="138" t="s">
        <v>424</v>
      </c>
      <c r="E970" s="28">
        <v>0.96285772000000003</v>
      </c>
      <c r="F970" s="13"/>
      <c r="G970" s="18">
        <v>3000000</v>
      </c>
      <c r="H970" s="18">
        <v>2888573.17</v>
      </c>
      <c r="I970" s="18">
        <v>3000000</v>
      </c>
      <c r="J970" s="18">
        <v>2888573.17</v>
      </c>
      <c r="K970" s="15">
        <v>1036</v>
      </c>
      <c r="L970" s="13" t="s">
        <v>102</v>
      </c>
      <c r="M970" s="13" t="s">
        <v>103</v>
      </c>
      <c r="N970" s="138" t="s">
        <v>424</v>
      </c>
      <c r="O970" s="138" t="s">
        <v>424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2599</v>
      </c>
      <c r="V970" s="13" t="s">
        <v>2599</v>
      </c>
      <c r="W970" s="59">
        <f>+J970/$W$2</f>
        <v>4.7274602083191573E-5</v>
      </c>
    </row>
    <row r="971" spans="1:29">
      <c r="A971" s="13" t="s">
        <v>2212</v>
      </c>
      <c r="B971" s="13" t="s">
        <v>404</v>
      </c>
      <c r="C971" s="138">
        <v>46303</v>
      </c>
      <c r="D971" s="138" t="s">
        <v>424</v>
      </c>
      <c r="E971" s="28">
        <v>0.96734883000000005</v>
      </c>
      <c r="F971" s="13"/>
      <c r="G971" s="18">
        <v>9800000</v>
      </c>
      <c r="H971" s="18">
        <v>9480018.5600000005</v>
      </c>
      <c r="I971" s="18">
        <v>9800000</v>
      </c>
      <c r="J971" s="18">
        <v>9480018.5600000005</v>
      </c>
      <c r="K971" s="15">
        <v>10537626</v>
      </c>
      <c r="L971" s="13" t="s">
        <v>102</v>
      </c>
      <c r="M971" s="13" t="s">
        <v>103</v>
      </c>
      <c r="N971" s="138" t="s">
        <v>639</v>
      </c>
      <c r="O971" s="138" t="s">
        <v>639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2183</v>
      </c>
      <c r="V971" s="13" t="s">
        <v>2183</v>
      </c>
      <c r="W971" s="59">
        <f>+J971/$W$2</f>
        <v>1.5515068471167403E-4</v>
      </c>
    </row>
    <row r="972" spans="1:29">
      <c r="A972" s="13" t="s">
        <v>2212</v>
      </c>
      <c r="B972" s="13" t="s">
        <v>404</v>
      </c>
      <c r="C972" s="138">
        <v>46303</v>
      </c>
      <c r="D972" s="138" t="s">
        <v>424</v>
      </c>
      <c r="E972" s="28">
        <v>0.96285772000000003</v>
      </c>
      <c r="F972" s="13"/>
      <c r="G972" s="18">
        <v>4327290</v>
      </c>
      <c r="H972" s="18">
        <v>4166564.6</v>
      </c>
      <c r="I972" s="18">
        <v>4327290</v>
      </c>
      <c r="J972" s="18">
        <v>4166564.6</v>
      </c>
      <c r="K972" s="15">
        <v>10537647</v>
      </c>
      <c r="L972" s="13" t="s">
        <v>102</v>
      </c>
      <c r="M972" s="13" t="s">
        <v>103</v>
      </c>
      <c r="N972" s="138" t="s">
        <v>424</v>
      </c>
      <c r="O972" s="138" t="s">
        <v>424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2670</v>
      </c>
      <c r="V972" s="13" t="s">
        <v>2670</v>
      </c>
      <c r="W972" s="59">
        <f>+J972/$W$2</f>
        <v>6.8190304322085865E-5</v>
      </c>
    </row>
    <row r="973" spans="1:29">
      <c r="A973" s="13" t="s">
        <v>2213</v>
      </c>
      <c r="B973" s="13" t="s">
        <v>404</v>
      </c>
      <c r="C973" s="138">
        <v>46303</v>
      </c>
      <c r="D973" s="138" t="s">
        <v>424</v>
      </c>
      <c r="E973" s="28">
        <v>0.96734883000000005</v>
      </c>
      <c r="F973" s="13"/>
      <c r="G973" s="18">
        <v>19247714</v>
      </c>
      <c r="H973" s="18">
        <v>18619253.68</v>
      </c>
      <c r="I973" s="18">
        <v>19247714</v>
      </c>
      <c r="J973" s="18">
        <v>18619253.68</v>
      </c>
      <c r="K973" s="15">
        <v>72607192</v>
      </c>
      <c r="L973" s="13" t="s">
        <v>102</v>
      </c>
      <c r="M973" s="13" t="s">
        <v>103</v>
      </c>
      <c r="N973" s="138" t="s">
        <v>639</v>
      </c>
      <c r="O973" s="138" t="s">
        <v>639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2175</v>
      </c>
      <c r="V973" s="13" t="s">
        <v>2175</v>
      </c>
      <c r="W973" s="59">
        <f>+J973/$W$2</f>
        <v>3.047240824465597E-4</v>
      </c>
    </row>
    <row r="974" spans="1:29">
      <c r="A974" s="13" t="s">
        <v>413</v>
      </c>
      <c r="B974" s="13" t="s">
        <v>404</v>
      </c>
      <c r="C974" s="138">
        <v>46303</v>
      </c>
      <c r="D974" s="138" t="s">
        <v>424</v>
      </c>
      <c r="E974" s="28">
        <v>0.96285752000000002</v>
      </c>
      <c r="F974" s="13"/>
      <c r="G974" s="18">
        <v>14479899.68</v>
      </c>
      <c r="H974" s="18">
        <v>13942080.27</v>
      </c>
      <c r="I974" s="18">
        <v>14479899.68</v>
      </c>
      <c r="J974" s="18">
        <v>13942080.27</v>
      </c>
      <c r="K974" s="15">
        <v>9933007</v>
      </c>
      <c r="L974" s="13" t="s">
        <v>102</v>
      </c>
      <c r="M974" s="13" t="s">
        <v>103</v>
      </c>
      <c r="N974" s="138" t="s">
        <v>338</v>
      </c>
      <c r="O974" s="138" t="s">
        <v>338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1009</v>
      </c>
      <c r="V974" s="13" t="s">
        <v>1009</v>
      </c>
      <c r="W974" s="59">
        <f>+J974/$W$2</f>
        <v>2.2817711658526762E-4</v>
      </c>
    </row>
    <row r="975" spans="1:29">
      <c r="A975" s="13" t="s">
        <v>2226</v>
      </c>
      <c r="B975" s="13" t="s">
        <v>404</v>
      </c>
      <c r="C975" s="138">
        <v>46303</v>
      </c>
      <c r="D975" s="138" t="s">
        <v>424</v>
      </c>
      <c r="E975" s="28">
        <v>0.96285772000000003</v>
      </c>
      <c r="F975" s="13"/>
      <c r="G975" s="18">
        <v>6000000</v>
      </c>
      <c r="H975" s="18">
        <v>5777146.3499999996</v>
      </c>
      <c r="I975" s="18">
        <v>6000000</v>
      </c>
      <c r="J975" s="18">
        <v>5777146.3499999996</v>
      </c>
      <c r="K975" s="15">
        <v>10816031</v>
      </c>
      <c r="L975" s="13" t="s">
        <v>102</v>
      </c>
      <c r="M975" s="13" t="s">
        <v>103</v>
      </c>
      <c r="N975" s="138" t="s">
        <v>424</v>
      </c>
      <c r="O975" s="138" t="s">
        <v>424</v>
      </c>
      <c r="P975" s="28">
        <v>32</v>
      </c>
      <c r="Q975" s="13" t="s">
        <v>54</v>
      </c>
      <c r="R975" s="13" t="s">
        <v>28</v>
      </c>
      <c r="S975" s="13"/>
      <c r="T975" s="13"/>
      <c r="U975" s="13" t="s">
        <v>2666</v>
      </c>
      <c r="V975" s="13" t="s">
        <v>2666</v>
      </c>
      <c r="W975" s="59">
        <f>+J975/$W$2</f>
        <v>9.4549204330043884E-5</v>
      </c>
    </row>
    <row r="976" spans="1:29">
      <c r="A976" s="13" t="s">
        <v>2520</v>
      </c>
      <c r="B976" s="13" t="s">
        <v>404</v>
      </c>
      <c r="C976" s="138">
        <v>46303</v>
      </c>
      <c r="D976" s="138" t="s">
        <v>424</v>
      </c>
      <c r="E976" s="28">
        <v>0.96174123</v>
      </c>
      <c r="F976" s="13"/>
      <c r="G976" s="18">
        <v>38402544.32</v>
      </c>
      <c r="H976" s="18">
        <v>36933310.140000001</v>
      </c>
      <c r="I976" s="18">
        <v>38402544.32</v>
      </c>
      <c r="J976" s="18">
        <v>36933310.140000001</v>
      </c>
      <c r="K976" s="15">
        <v>90027958</v>
      </c>
      <c r="L976" s="13" t="s">
        <v>102</v>
      </c>
      <c r="M976" s="13" t="s">
        <v>103</v>
      </c>
      <c r="N976" s="138" t="s">
        <v>170</v>
      </c>
      <c r="O976" s="138" t="s">
        <v>170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2502</v>
      </c>
      <c r="V976" s="13" t="s">
        <v>2502</v>
      </c>
      <c r="W976" s="59">
        <f>+J976/$W$2</f>
        <v>6.0445328462411933E-4</v>
      </c>
    </row>
    <row r="977" spans="1:29">
      <c r="A977" s="13" t="s">
        <v>981</v>
      </c>
      <c r="B977" s="13" t="s">
        <v>404</v>
      </c>
      <c r="C977" s="138">
        <v>46303</v>
      </c>
      <c r="D977" s="138" t="s">
        <v>424</v>
      </c>
      <c r="E977" s="28">
        <v>0.95399895999999995</v>
      </c>
      <c r="F977" s="13"/>
      <c r="G977" s="18">
        <v>25000000</v>
      </c>
      <c r="H977" s="18">
        <v>23849973.949999999</v>
      </c>
      <c r="I977" s="18">
        <v>25000000</v>
      </c>
      <c r="J977" s="18">
        <v>23849973.949999999</v>
      </c>
      <c r="K977" s="15">
        <v>70393029</v>
      </c>
      <c r="L977" s="13" t="s">
        <v>102</v>
      </c>
      <c r="M977" s="13" t="s">
        <v>103</v>
      </c>
      <c r="N977" s="138" t="s">
        <v>371</v>
      </c>
      <c r="O977" s="138" t="s">
        <v>371</v>
      </c>
      <c r="P977" s="28">
        <v>40</v>
      </c>
      <c r="Q977" s="13" t="s">
        <v>54</v>
      </c>
      <c r="R977" s="13" t="s">
        <v>28</v>
      </c>
      <c r="S977" s="13"/>
      <c r="T977" s="13"/>
      <c r="U977" s="13" t="s">
        <v>2118</v>
      </c>
      <c r="V977" s="13" t="s">
        <v>2118</v>
      </c>
      <c r="W977" s="59">
        <f>+J977/$W$2</f>
        <v>3.9033043714822521E-4</v>
      </c>
    </row>
    <row r="978" spans="1:29">
      <c r="A978" s="13" t="s">
        <v>2043</v>
      </c>
      <c r="B978" s="13" t="s">
        <v>404</v>
      </c>
      <c r="C978" s="138">
        <v>46303</v>
      </c>
      <c r="D978" s="138" t="s">
        <v>424</v>
      </c>
      <c r="E978" s="28">
        <v>0.96734885999999998</v>
      </c>
      <c r="F978" s="13"/>
      <c r="G978" s="18">
        <v>48082135.859999999</v>
      </c>
      <c r="H978" s="18">
        <v>46512199.539999999</v>
      </c>
      <c r="I978" s="18">
        <v>48082135.859999999</v>
      </c>
      <c r="J978" s="18">
        <v>46512199.539999999</v>
      </c>
      <c r="K978" s="15">
        <v>40292529</v>
      </c>
      <c r="L978" s="13" t="s">
        <v>102</v>
      </c>
      <c r="M978" s="13" t="s">
        <v>103</v>
      </c>
      <c r="N978" s="138" t="s">
        <v>342</v>
      </c>
      <c r="O978" s="138" t="s">
        <v>342</v>
      </c>
      <c r="P978" s="28">
        <v>28</v>
      </c>
      <c r="Q978" s="13" t="s">
        <v>54</v>
      </c>
      <c r="R978" s="13" t="s">
        <v>28</v>
      </c>
      <c r="S978" s="13"/>
      <c r="T978" s="13"/>
      <c r="U978" s="13" t="s">
        <v>2350</v>
      </c>
      <c r="V978" s="13" t="s">
        <v>2350</v>
      </c>
      <c r="W978" s="59">
        <f>+J978/$W$2</f>
        <v>7.6122209681380728E-4</v>
      </c>
    </row>
    <row r="979" spans="1:29">
      <c r="A979" s="13" t="s">
        <v>2043</v>
      </c>
      <c r="B979" s="13" t="s">
        <v>404</v>
      </c>
      <c r="C979" s="138">
        <v>46303</v>
      </c>
      <c r="D979" s="138" t="s">
        <v>424</v>
      </c>
      <c r="E979" s="28">
        <v>0.96734885999999998</v>
      </c>
      <c r="F979" s="13"/>
      <c r="G979" s="18">
        <v>48082135.859999999</v>
      </c>
      <c r="H979" s="18">
        <v>46512199.539999999</v>
      </c>
      <c r="I979" s="18">
        <v>48082135.859999999</v>
      </c>
      <c r="J979" s="18">
        <v>46512199.539999999</v>
      </c>
      <c r="K979" s="15">
        <v>40292539</v>
      </c>
      <c r="L979" s="13" t="s">
        <v>102</v>
      </c>
      <c r="M979" s="13" t="s">
        <v>103</v>
      </c>
      <c r="N979" s="138" t="s">
        <v>342</v>
      </c>
      <c r="O979" s="138" t="s">
        <v>342</v>
      </c>
      <c r="P979" s="28">
        <v>28</v>
      </c>
      <c r="Q979" s="13" t="s">
        <v>54</v>
      </c>
      <c r="R979" s="13" t="s">
        <v>28</v>
      </c>
      <c r="S979" s="13"/>
      <c r="T979" s="13"/>
      <c r="U979" s="13" t="s">
        <v>2351</v>
      </c>
      <c r="V979" s="13" t="s">
        <v>2351</v>
      </c>
      <c r="W979" s="59">
        <f>+J979/$W$2</f>
        <v>7.6122209681380728E-4</v>
      </c>
    </row>
    <row r="980" spans="1:29">
      <c r="A980" s="13" t="s">
        <v>2043</v>
      </c>
      <c r="B980" s="13" t="s">
        <v>404</v>
      </c>
      <c r="C980" s="138">
        <v>46303</v>
      </c>
      <c r="D980" s="138" t="s">
        <v>424</v>
      </c>
      <c r="E980" s="28">
        <v>0.96734885999999998</v>
      </c>
      <c r="F980" s="13"/>
      <c r="G980" s="18">
        <v>48082135.859999999</v>
      </c>
      <c r="H980" s="18">
        <v>46512199.539999999</v>
      </c>
      <c r="I980" s="18">
        <v>48082135.859999999</v>
      </c>
      <c r="J980" s="18">
        <v>46512199.539999999</v>
      </c>
      <c r="K980" s="15">
        <v>40292538</v>
      </c>
      <c r="L980" s="13" t="s">
        <v>102</v>
      </c>
      <c r="M980" s="13" t="s">
        <v>103</v>
      </c>
      <c r="N980" s="138" t="s">
        <v>342</v>
      </c>
      <c r="O980" s="138" t="s">
        <v>342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2352</v>
      </c>
      <c r="V980" s="13" t="s">
        <v>2352</v>
      </c>
      <c r="W980" s="59">
        <f>+J980/$W$2</f>
        <v>7.6122209681380728E-4</v>
      </c>
    </row>
    <row r="981" spans="1:29">
      <c r="A981" s="13" t="s">
        <v>2043</v>
      </c>
      <c r="B981" s="13" t="s">
        <v>404</v>
      </c>
      <c r="C981" s="138">
        <v>46303</v>
      </c>
      <c r="D981" s="138" t="s">
        <v>424</v>
      </c>
      <c r="E981" s="28">
        <v>0.96734885999999998</v>
      </c>
      <c r="F981" s="13"/>
      <c r="G981" s="18">
        <v>48082135.859999999</v>
      </c>
      <c r="H981" s="18">
        <v>46512199.539999999</v>
      </c>
      <c r="I981" s="18">
        <v>48082135.859999999</v>
      </c>
      <c r="J981" s="18">
        <v>46512199.539999999</v>
      </c>
      <c r="K981" s="15">
        <v>40292519</v>
      </c>
      <c r="L981" s="13" t="s">
        <v>102</v>
      </c>
      <c r="M981" s="13" t="s">
        <v>103</v>
      </c>
      <c r="N981" s="138" t="s">
        <v>342</v>
      </c>
      <c r="O981" s="138" t="s">
        <v>342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2353</v>
      </c>
      <c r="V981" s="13" t="s">
        <v>2353</v>
      </c>
      <c r="W981" s="59">
        <f>+J981/$W$2</f>
        <v>7.6122209681380728E-4</v>
      </c>
    </row>
    <row r="982" spans="1:29">
      <c r="A982" s="13" t="s">
        <v>2043</v>
      </c>
      <c r="B982" s="13" t="s">
        <v>404</v>
      </c>
      <c r="C982" s="138">
        <v>46303</v>
      </c>
      <c r="D982" s="138" t="s">
        <v>424</v>
      </c>
      <c r="E982" s="28">
        <v>0.96734885999999998</v>
      </c>
      <c r="F982" s="13"/>
      <c r="G982" s="18">
        <v>68400163.159999996</v>
      </c>
      <c r="H982" s="18">
        <v>66166820.18</v>
      </c>
      <c r="I982" s="18">
        <v>68400163.159999996</v>
      </c>
      <c r="J982" s="18">
        <v>66166820.18</v>
      </c>
      <c r="K982" s="15">
        <v>40292536</v>
      </c>
      <c r="L982" s="13" t="s">
        <v>102</v>
      </c>
      <c r="M982" s="13" t="s">
        <v>103</v>
      </c>
      <c r="N982" s="138" t="s">
        <v>342</v>
      </c>
      <c r="O982" s="138" t="s">
        <v>342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2354</v>
      </c>
      <c r="V982" s="13" t="s">
        <v>2354</v>
      </c>
      <c r="W982" s="59">
        <f>+J982/$W$2</f>
        <v>1.0828910714834308E-3</v>
      </c>
    </row>
    <row r="983" spans="1:29">
      <c r="A983" s="13" t="s">
        <v>2043</v>
      </c>
      <c r="B983" s="13" t="s">
        <v>404</v>
      </c>
      <c r="C983" s="138">
        <v>46303</v>
      </c>
      <c r="D983" s="138" t="s">
        <v>424</v>
      </c>
      <c r="E983" s="28">
        <v>0.96734885999999998</v>
      </c>
      <c r="F983" s="13"/>
      <c r="G983" s="18">
        <v>48082135.859999999</v>
      </c>
      <c r="H983" s="18">
        <v>46512199.539999999</v>
      </c>
      <c r="I983" s="18">
        <v>48082135.859999999</v>
      </c>
      <c r="J983" s="18">
        <v>46512199.539999999</v>
      </c>
      <c r="K983" s="15">
        <v>40292518</v>
      </c>
      <c r="L983" s="13" t="s">
        <v>102</v>
      </c>
      <c r="M983" s="13" t="s">
        <v>103</v>
      </c>
      <c r="N983" s="138" t="s">
        <v>342</v>
      </c>
      <c r="O983" s="138" t="s">
        <v>342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2355</v>
      </c>
      <c r="V983" s="13" t="s">
        <v>2355</v>
      </c>
      <c r="W983" s="59">
        <f>+J983/$W$2</f>
        <v>7.6122209681380728E-4</v>
      </c>
    </row>
    <row r="984" spans="1:29">
      <c r="A984" s="13" t="s">
        <v>2043</v>
      </c>
      <c r="B984" s="13" t="s">
        <v>404</v>
      </c>
      <c r="C984" s="138">
        <v>46303</v>
      </c>
      <c r="D984" s="138" t="s">
        <v>424</v>
      </c>
      <c r="E984" s="28">
        <v>0.96734885999999998</v>
      </c>
      <c r="F984" s="13"/>
      <c r="G984" s="18">
        <v>48082135.859999999</v>
      </c>
      <c r="H984" s="18">
        <v>46512199.539999999</v>
      </c>
      <c r="I984" s="18">
        <v>48082135.859999999</v>
      </c>
      <c r="J984" s="18">
        <v>46512199.539999999</v>
      </c>
      <c r="K984" s="15">
        <v>40292530</v>
      </c>
      <c r="L984" s="13" t="s">
        <v>102</v>
      </c>
      <c r="M984" s="13" t="s">
        <v>103</v>
      </c>
      <c r="N984" s="138" t="s">
        <v>342</v>
      </c>
      <c r="O984" s="138" t="s">
        <v>342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2356</v>
      </c>
      <c r="V984" s="13" t="s">
        <v>2356</v>
      </c>
      <c r="W984" s="59">
        <f>+J984/$W$2</f>
        <v>7.6122209681380728E-4</v>
      </c>
    </row>
    <row r="985" spans="1:29">
      <c r="A985" s="13" t="s">
        <v>2043</v>
      </c>
      <c r="B985" s="13" t="s">
        <v>404</v>
      </c>
      <c r="C985" s="138">
        <v>46303</v>
      </c>
      <c r="D985" s="138" t="s">
        <v>424</v>
      </c>
      <c r="E985" s="28">
        <v>0.96734885999999998</v>
      </c>
      <c r="F985" s="13"/>
      <c r="G985" s="18">
        <v>48082135.859999999</v>
      </c>
      <c r="H985" s="18">
        <v>46512199.539999999</v>
      </c>
      <c r="I985" s="18">
        <v>48082135.859999999</v>
      </c>
      <c r="J985" s="18">
        <v>46512199.539999999</v>
      </c>
      <c r="K985" s="15">
        <v>40292517</v>
      </c>
      <c r="L985" s="13" t="s">
        <v>102</v>
      </c>
      <c r="M985" s="13" t="s">
        <v>103</v>
      </c>
      <c r="N985" s="138" t="s">
        <v>342</v>
      </c>
      <c r="O985" s="138" t="s">
        <v>342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2357</v>
      </c>
      <c r="V985" s="13" t="s">
        <v>2357</v>
      </c>
      <c r="W985" s="59">
        <f>+J985/$W$2</f>
        <v>7.6122209681380728E-4</v>
      </c>
    </row>
    <row r="986" spans="1:29">
      <c r="A986" s="13" t="s">
        <v>2043</v>
      </c>
      <c r="B986" s="13" t="s">
        <v>404</v>
      </c>
      <c r="C986" s="138">
        <v>46303</v>
      </c>
      <c r="D986" s="138" t="s">
        <v>424</v>
      </c>
      <c r="E986" s="28">
        <v>0.96734885999999998</v>
      </c>
      <c r="F986" s="13"/>
      <c r="G986" s="18">
        <v>48082135.859999999</v>
      </c>
      <c r="H986" s="18">
        <v>46512199.539999999</v>
      </c>
      <c r="I986" s="18">
        <v>48082135.859999999</v>
      </c>
      <c r="J986" s="18">
        <v>46512199.539999999</v>
      </c>
      <c r="K986" s="15">
        <v>40292547</v>
      </c>
      <c r="L986" s="13" t="s">
        <v>102</v>
      </c>
      <c r="M986" s="13" t="s">
        <v>103</v>
      </c>
      <c r="N986" s="138" t="s">
        <v>342</v>
      </c>
      <c r="O986" s="138" t="s">
        <v>342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2358</v>
      </c>
      <c r="V986" s="13" t="s">
        <v>2358</v>
      </c>
      <c r="W986" s="59">
        <f>+J986/$W$2</f>
        <v>7.6122209681380728E-4</v>
      </c>
    </row>
    <row r="987" spans="1:29">
      <c r="A987" s="13" t="s">
        <v>2043</v>
      </c>
      <c r="B987" s="13" t="s">
        <v>404</v>
      </c>
      <c r="C987" s="138">
        <v>46303</v>
      </c>
      <c r="D987" s="138" t="s">
        <v>424</v>
      </c>
      <c r="E987" s="28">
        <v>0.96734885999999998</v>
      </c>
      <c r="F987" s="13"/>
      <c r="G987" s="18">
        <v>68400163.150000006</v>
      </c>
      <c r="H987" s="18">
        <v>66166820.170000002</v>
      </c>
      <c r="I987" s="18">
        <v>68400163.150000006</v>
      </c>
      <c r="J987" s="18">
        <v>66166820.170000002</v>
      </c>
      <c r="K987" s="15">
        <v>40292516</v>
      </c>
      <c r="L987" s="13" t="s">
        <v>102</v>
      </c>
      <c r="M987" s="13" t="s">
        <v>103</v>
      </c>
      <c r="N987" s="138" t="s">
        <v>342</v>
      </c>
      <c r="O987" s="138" t="s">
        <v>342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2359</v>
      </c>
      <c r="V987" s="13" t="s">
        <v>2359</v>
      </c>
      <c r="W987" s="59">
        <f>+J987/$W$2</f>
        <v>1.0828910713197701E-3</v>
      </c>
    </row>
    <row r="988" spans="1:29">
      <c r="A988" s="13" t="s">
        <v>2043</v>
      </c>
      <c r="B988" s="13" t="s">
        <v>404</v>
      </c>
      <c r="C988" s="138">
        <v>46303</v>
      </c>
      <c r="D988" s="138" t="s">
        <v>424</v>
      </c>
      <c r="E988" s="28">
        <v>0.96734885999999998</v>
      </c>
      <c r="F988" s="13"/>
      <c r="G988" s="18">
        <v>48082135.869999997</v>
      </c>
      <c r="H988" s="18">
        <v>46512199.549999997</v>
      </c>
      <c r="I988" s="18">
        <v>48082135.869999997</v>
      </c>
      <c r="J988" s="18">
        <v>46512199.549999997</v>
      </c>
      <c r="K988" s="15">
        <v>40292548</v>
      </c>
      <c r="L988" s="13" t="s">
        <v>102</v>
      </c>
      <c r="M988" s="13" t="s">
        <v>103</v>
      </c>
      <c r="N988" s="138" t="s">
        <v>342</v>
      </c>
      <c r="O988" s="138" t="s">
        <v>342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2360</v>
      </c>
      <c r="V988" s="13" t="s">
        <v>2360</v>
      </c>
      <c r="W988" s="59">
        <f>+J988/$W$2</f>
        <v>7.6122209697746792E-4</v>
      </c>
    </row>
    <row r="989" spans="1:29">
      <c r="A989" s="13" t="s">
        <v>2043</v>
      </c>
      <c r="B989" s="13" t="s">
        <v>404</v>
      </c>
      <c r="C989" s="138">
        <v>46303</v>
      </c>
      <c r="D989" s="138" t="s">
        <v>424</v>
      </c>
      <c r="E989" s="28">
        <v>0.96734885999999998</v>
      </c>
      <c r="F989" s="13"/>
      <c r="G989" s="18">
        <v>48082135.859999999</v>
      </c>
      <c r="H989" s="18">
        <v>46512199.539999999</v>
      </c>
      <c r="I989" s="18">
        <v>48082135.859999999</v>
      </c>
      <c r="J989" s="18">
        <v>46512199.539999999</v>
      </c>
      <c r="K989" s="15">
        <v>40292560</v>
      </c>
      <c r="L989" s="13" t="s">
        <v>102</v>
      </c>
      <c r="M989" s="13" t="s">
        <v>103</v>
      </c>
      <c r="N989" s="138" t="s">
        <v>342</v>
      </c>
      <c r="O989" s="138" t="s">
        <v>342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2361</v>
      </c>
      <c r="V989" s="13" t="s">
        <v>2361</v>
      </c>
      <c r="W989" s="59">
        <f>+J989/$W$2</f>
        <v>7.6122209681380728E-4</v>
      </c>
      <c r="AC989" s="56"/>
    </row>
    <row r="990" spans="1:29">
      <c r="A990" s="13" t="s">
        <v>2043</v>
      </c>
      <c r="B990" s="13" t="s">
        <v>404</v>
      </c>
      <c r="C990" s="138">
        <v>46303</v>
      </c>
      <c r="D990" s="138" t="s">
        <v>424</v>
      </c>
      <c r="E990" s="28">
        <v>0.96734874999999998</v>
      </c>
      <c r="F990" s="13"/>
      <c r="G990" s="18">
        <v>64965211.600000001</v>
      </c>
      <c r="H990" s="18">
        <v>62844016.43</v>
      </c>
      <c r="I990" s="18">
        <v>64965211.600000001</v>
      </c>
      <c r="J990" s="18">
        <v>62844016.43</v>
      </c>
      <c r="K990" s="15">
        <v>40292544</v>
      </c>
      <c r="L990" s="13" t="s">
        <v>102</v>
      </c>
      <c r="M990" s="13" t="s">
        <v>103</v>
      </c>
      <c r="N990" s="138" t="s">
        <v>416</v>
      </c>
      <c r="O990" s="138" t="s">
        <v>416</v>
      </c>
      <c r="P990" s="28">
        <v>28</v>
      </c>
      <c r="Q990" s="13" t="s">
        <v>54</v>
      </c>
      <c r="R990" s="13" t="s">
        <v>28</v>
      </c>
      <c r="S990" s="13"/>
      <c r="T990" s="13"/>
      <c r="U990" s="13" t="s">
        <v>2044</v>
      </c>
      <c r="V990" s="13" t="s">
        <v>2044</v>
      </c>
      <c r="W990" s="59">
        <f>+J990/$W$2</f>
        <v>1.0285098196206688E-3</v>
      </c>
    </row>
    <row r="991" spans="1:29">
      <c r="A991" s="13" t="s">
        <v>2043</v>
      </c>
      <c r="B991" s="13" t="s">
        <v>404</v>
      </c>
      <c r="C991" s="138">
        <v>46303</v>
      </c>
      <c r="D991" s="138" t="s">
        <v>424</v>
      </c>
      <c r="E991" s="28">
        <v>0.96734874999999998</v>
      </c>
      <c r="F991" s="13"/>
      <c r="G991" s="18">
        <v>64965211.600000001</v>
      </c>
      <c r="H991" s="18">
        <v>62844016.43</v>
      </c>
      <c r="I991" s="18">
        <v>64965211.600000001</v>
      </c>
      <c r="J991" s="18">
        <v>62844016.43</v>
      </c>
      <c r="K991" s="15">
        <v>40292563</v>
      </c>
      <c r="L991" s="13" t="s">
        <v>102</v>
      </c>
      <c r="M991" s="13" t="s">
        <v>103</v>
      </c>
      <c r="N991" s="138" t="s">
        <v>416</v>
      </c>
      <c r="O991" s="138" t="s">
        <v>416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2045</v>
      </c>
      <c r="V991" s="13" t="s">
        <v>2045</v>
      </c>
      <c r="W991" s="59">
        <f>+J991/$W$2</f>
        <v>1.0285098196206688E-3</v>
      </c>
    </row>
    <row r="992" spans="1:29">
      <c r="A992" s="13" t="s">
        <v>1418</v>
      </c>
      <c r="B992" s="13" t="s">
        <v>404</v>
      </c>
      <c r="C992" s="138">
        <v>46303</v>
      </c>
      <c r="D992" s="138" t="s">
        <v>424</v>
      </c>
      <c r="E992" s="28">
        <v>0.96285750999999997</v>
      </c>
      <c r="F992" s="13"/>
      <c r="G992" s="18">
        <v>7500000</v>
      </c>
      <c r="H992" s="18">
        <v>7221431.3399999999</v>
      </c>
      <c r="I992" s="18">
        <v>7500000</v>
      </c>
      <c r="J992" s="18">
        <v>7221431.3399999999</v>
      </c>
      <c r="K992" s="15">
        <v>67195465</v>
      </c>
      <c r="L992" s="13" t="s">
        <v>102</v>
      </c>
      <c r="M992" s="13" t="s">
        <v>103</v>
      </c>
      <c r="N992" s="138" t="s">
        <v>421</v>
      </c>
      <c r="O992" s="138" t="s">
        <v>421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1372</v>
      </c>
      <c r="V992" s="13" t="s">
        <v>1372</v>
      </c>
      <c r="W992" s="59">
        <f>+J992/$W$2</f>
        <v>1.1818647926775173E-4</v>
      </c>
    </row>
    <row r="993" spans="1:29">
      <c r="A993" s="13" t="s">
        <v>1349</v>
      </c>
      <c r="B993" s="13" t="s">
        <v>404</v>
      </c>
      <c r="C993" s="138">
        <v>46304</v>
      </c>
      <c r="D993" s="138" t="s">
        <v>424</v>
      </c>
      <c r="E993" s="28">
        <v>0.96433307999999995</v>
      </c>
      <c r="F993" s="13"/>
      <c r="G993" s="18">
        <v>2000000</v>
      </c>
      <c r="H993" s="18">
        <v>1928666.15</v>
      </c>
      <c r="I993" s="18">
        <v>2000000</v>
      </c>
      <c r="J993" s="18">
        <v>1928666.15</v>
      </c>
      <c r="K993" s="15">
        <v>9807</v>
      </c>
      <c r="L993" s="13" t="s">
        <v>102</v>
      </c>
      <c r="M993" s="13" t="s">
        <v>103</v>
      </c>
      <c r="N993" s="138" t="s">
        <v>173</v>
      </c>
      <c r="O993" s="138" t="s">
        <v>173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2002</v>
      </c>
      <c r="V993" s="13" t="s">
        <v>2002</v>
      </c>
      <c r="W993" s="59">
        <f>+J993/$W$2</f>
        <v>3.1564692817724629E-5</v>
      </c>
    </row>
    <row r="994" spans="1:29">
      <c r="A994" s="13" t="s">
        <v>916</v>
      </c>
      <c r="B994" s="13" t="s">
        <v>404</v>
      </c>
      <c r="C994" s="138">
        <v>46304</v>
      </c>
      <c r="D994" s="138" t="s">
        <v>424</v>
      </c>
      <c r="E994" s="28">
        <v>0.96433307000000001</v>
      </c>
      <c r="F994" s="13"/>
      <c r="G994" s="18">
        <v>100000000</v>
      </c>
      <c r="H994" s="18">
        <v>96433306.730000004</v>
      </c>
      <c r="I994" s="18">
        <v>100000000</v>
      </c>
      <c r="J994" s="18">
        <v>96433306.730000004</v>
      </c>
      <c r="K994" s="15">
        <v>90003981</v>
      </c>
      <c r="L994" s="13" t="s">
        <v>102</v>
      </c>
      <c r="M994" s="13" t="s">
        <v>103</v>
      </c>
      <c r="N994" s="138" t="s">
        <v>173</v>
      </c>
      <c r="O994" s="138" t="s">
        <v>173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2021</v>
      </c>
      <c r="V994" s="13" t="s">
        <v>2021</v>
      </c>
      <c r="W994" s="59">
        <f>+J994/$W$2</f>
        <v>1.5782346282843546E-3</v>
      </c>
    </row>
    <row r="995" spans="1:29">
      <c r="A995" s="13" t="s">
        <v>625</v>
      </c>
      <c r="B995" s="13" t="s">
        <v>404</v>
      </c>
      <c r="C995" s="138">
        <v>46304</v>
      </c>
      <c r="D995" s="138" t="s">
        <v>424</v>
      </c>
      <c r="E995" s="28">
        <v>0.96090562999999996</v>
      </c>
      <c r="F995" s="13"/>
      <c r="G995" s="18">
        <v>85000000</v>
      </c>
      <c r="H995" s="18">
        <v>81676978.920000002</v>
      </c>
      <c r="I995" s="18">
        <v>85000000</v>
      </c>
      <c r="J995" s="18">
        <v>81676978.920000002</v>
      </c>
      <c r="K995" s="15">
        <v>68458909</v>
      </c>
      <c r="L995" s="13" t="s">
        <v>102</v>
      </c>
      <c r="M995" s="13" t="s">
        <v>103</v>
      </c>
      <c r="N995" s="138" t="s">
        <v>161</v>
      </c>
      <c r="O995" s="138" t="s">
        <v>161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1687</v>
      </c>
      <c r="V995" s="13" t="s">
        <v>1687</v>
      </c>
      <c r="W995" s="59">
        <f>+J995/$W$2</f>
        <v>1.3367314762534565E-3</v>
      </c>
    </row>
    <row r="996" spans="1:29">
      <c r="A996" s="13" t="s">
        <v>1094</v>
      </c>
      <c r="B996" s="13" t="s">
        <v>404</v>
      </c>
      <c r="C996" s="138">
        <v>46304</v>
      </c>
      <c r="D996" s="138" t="s">
        <v>424</v>
      </c>
      <c r="E996" s="28">
        <v>0.96204548999999995</v>
      </c>
      <c r="F996" s="13"/>
      <c r="G996" s="18">
        <v>17357571</v>
      </c>
      <c r="H996" s="18">
        <v>16698772.92</v>
      </c>
      <c r="I996" s="18">
        <v>17357571</v>
      </c>
      <c r="J996" s="18">
        <v>16698772.92</v>
      </c>
      <c r="K996" s="15">
        <v>90044753</v>
      </c>
      <c r="L996" s="13" t="s">
        <v>102</v>
      </c>
      <c r="M996" s="13" t="s">
        <v>103</v>
      </c>
      <c r="N996" s="138" t="s">
        <v>445</v>
      </c>
      <c r="O996" s="138" t="s">
        <v>445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2529</v>
      </c>
      <c r="V996" s="13" t="s">
        <v>2529</v>
      </c>
      <c r="W996" s="59">
        <f>+J996/$W$2</f>
        <v>2.7329335232680811E-4</v>
      </c>
      <c r="AC996"/>
    </row>
    <row r="997" spans="1:29">
      <c r="A997" s="13" t="s">
        <v>410</v>
      </c>
      <c r="B997" s="13" t="s">
        <v>404</v>
      </c>
      <c r="C997" s="138">
        <v>46304</v>
      </c>
      <c r="D997" s="138" t="s">
        <v>424</v>
      </c>
      <c r="E997" s="28">
        <v>0.95524750000000003</v>
      </c>
      <c r="F997" s="13"/>
      <c r="G997" s="18">
        <v>20000000</v>
      </c>
      <c r="H997" s="18">
        <v>19104950.02</v>
      </c>
      <c r="I997" s="18">
        <v>20000000</v>
      </c>
      <c r="J997" s="18">
        <v>19104950.02</v>
      </c>
      <c r="K997" s="15">
        <v>70219570</v>
      </c>
      <c r="L997" s="13" t="s">
        <v>102</v>
      </c>
      <c r="M997" s="13" t="s">
        <v>103</v>
      </c>
      <c r="N997" s="138" t="s">
        <v>371</v>
      </c>
      <c r="O997" s="138" t="s">
        <v>371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2108</v>
      </c>
      <c r="V997" s="13" t="s">
        <v>2108</v>
      </c>
      <c r="W997" s="59">
        <f>+J997/$W$2</f>
        <v>3.1267302465970176E-4</v>
      </c>
      <c r="AC997" s="56"/>
    </row>
    <row r="998" spans="1:29">
      <c r="A998" s="13" t="s">
        <v>428</v>
      </c>
      <c r="B998" s="13" t="s">
        <v>404</v>
      </c>
      <c r="C998" s="138">
        <v>46304</v>
      </c>
      <c r="D998" s="138" t="s">
        <v>424</v>
      </c>
      <c r="E998" s="28">
        <v>0.95976859999999997</v>
      </c>
      <c r="F998" s="13"/>
      <c r="G998" s="18">
        <v>50000000</v>
      </c>
      <c r="H998" s="18">
        <v>47988430.189999998</v>
      </c>
      <c r="I998" s="18">
        <v>50000000</v>
      </c>
      <c r="J998" s="18">
        <v>47988430.189999998</v>
      </c>
      <c r="K998" s="15">
        <v>550</v>
      </c>
      <c r="L998" s="13" t="s">
        <v>102</v>
      </c>
      <c r="M998" s="13" t="s">
        <v>103</v>
      </c>
      <c r="N998" s="138" t="s">
        <v>388</v>
      </c>
      <c r="O998" s="138" t="s">
        <v>388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1879</v>
      </c>
      <c r="V998" s="13" t="s">
        <v>1879</v>
      </c>
      <c r="W998" s="59">
        <f>+J998/$W$2</f>
        <v>7.8538219678515788E-4</v>
      </c>
    </row>
    <row r="999" spans="1:29">
      <c r="A999" s="13" t="s">
        <v>565</v>
      </c>
      <c r="B999" s="13" t="s">
        <v>404</v>
      </c>
      <c r="C999" s="138">
        <v>46304</v>
      </c>
      <c r="D999" s="138" t="s">
        <v>424</v>
      </c>
      <c r="E999" s="28">
        <v>0.97009975999999998</v>
      </c>
      <c r="F999" s="13"/>
      <c r="G999" s="18">
        <v>25000000</v>
      </c>
      <c r="H999" s="18">
        <v>24252494.050000001</v>
      </c>
      <c r="I999" s="18">
        <v>25000000</v>
      </c>
      <c r="J999" s="18">
        <v>24252494.050000001</v>
      </c>
      <c r="K999" s="15">
        <v>929</v>
      </c>
      <c r="L999" s="13" t="s">
        <v>102</v>
      </c>
      <c r="M999" s="13" t="s">
        <v>103</v>
      </c>
      <c r="N999" s="138" t="s">
        <v>355</v>
      </c>
      <c r="O999" s="138" t="s">
        <v>355</v>
      </c>
      <c r="P999" s="28">
        <v>25</v>
      </c>
      <c r="Q999" s="13" t="s">
        <v>54</v>
      </c>
      <c r="R999" s="13" t="s">
        <v>28</v>
      </c>
      <c r="S999" s="13"/>
      <c r="T999" s="13"/>
      <c r="U999" s="13" t="s">
        <v>1173</v>
      </c>
      <c r="V999" s="13" t="s">
        <v>1173</v>
      </c>
      <c r="W999" s="59">
        <f>+J999/$W$2</f>
        <v>3.9691811086742224E-4</v>
      </c>
    </row>
    <row r="1000" spans="1:29">
      <c r="A1000" s="13" t="s">
        <v>565</v>
      </c>
      <c r="B1000" s="13" t="s">
        <v>404</v>
      </c>
      <c r="C1000" s="138">
        <v>46304</v>
      </c>
      <c r="D1000" s="138" t="s">
        <v>424</v>
      </c>
      <c r="E1000" s="28">
        <v>0.97009975999999998</v>
      </c>
      <c r="F1000" s="13"/>
      <c r="G1000" s="18">
        <v>25000000</v>
      </c>
      <c r="H1000" s="18">
        <v>24252493.899999999</v>
      </c>
      <c r="I1000" s="18">
        <v>25000000</v>
      </c>
      <c r="J1000" s="18">
        <v>24252493.899999999</v>
      </c>
      <c r="K1000" s="15">
        <v>6534</v>
      </c>
      <c r="L1000" s="13" t="s">
        <v>102</v>
      </c>
      <c r="M1000" s="13" t="s">
        <v>103</v>
      </c>
      <c r="N1000" s="138" t="s">
        <v>346</v>
      </c>
      <c r="O1000" s="138" t="s">
        <v>346</v>
      </c>
      <c r="P1000" s="28">
        <v>25</v>
      </c>
      <c r="Q1000" s="13" t="s">
        <v>54</v>
      </c>
      <c r="R1000" s="13" t="s">
        <v>28</v>
      </c>
      <c r="S1000" s="13"/>
      <c r="T1000" s="13"/>
      <c r="U1000" s="13" t="s">
        <v>1494</v>
      </c>
      <c r="V1000" s="13" t="s">
        <v>1494</v>
      </c>
      <c r="W1000" s="59">
        <f>+J1000/$W$2</f>
        <v>3.9691810841251108E-4</v>
      </c>
    </row>
    <row r="1001" spans="1:29">
      <c r="A1001" s="13" t="s">
        <v>565</v>
      </c>
      <c r="B1001" s="13" t="s">
        <v>404</v>
      </c>
      <c r="C1001" s="138">
        <v>46304</v>
      </c>
      <c r="D1001" s="138" t="s">
        <v>424</v>
      </c>
      <c r="E1001" s="28">
        <v>0.97009975999999998</v>
      </c>
      <c r="F1001" s="13"/>
      <c r="G1001" s="18">
        <v>25000000</v>
      </c>
      <c r="H1001" s="18">
        <v>24252493.899999999</v>
      </c>
      <c r="I1001" s="18">
        <v>25000000</v>
      </c>
      <c r="J1001" s="18">
        <v>24252493.899999999</v>
      </c>
      <c r="K1001" s="15">
        <v>6535</v>
      </c>
      <c r="L1001" s="13" t="s">
        <v>102</v>
      </c>
      <c r="M1001" s="13" t="s">
        <v>103</v>
      </c>
      <c r="N1001" s="138" t="s">
        <v>346</v>
      </c>
      <c r="O1001" s="138" t="s">
        <v>346</v>
      </c>
      <c r="P1001" s="28">
        <v>25</v>
      </c>
      <c r="Q1001" s="13" t="s">
        <v>54</v>
      </c>
      <c r="R1001" s="13" t="s">
        <v>28</v>
      </c>
      <c r="S1001" s="13"/>
      <c r="T1001" s="13"/>
      <c r="U1001" s="13" t="s">
        <v>1496</v>
      </c>
      <c r="V1001" s="13" t="s">
        <v>1496</v>
      </c>
      <c r="W1001" s="59">
        <f>+J1001/$W$2</f>
        <v>3.9691810841251108E-4</v>
      </c>
    </row>
    <row r="1002" spans="1:29">
      <c r="A1002" s="13" t="s">
        <v>565</v>
      </c>
      <c r="B1002" s="13" t="s">
        <v>404</v>
      </c>
      <c r="C1002" s="138">
        <v>46304</v>
      </c>
      <c r="D1002" s="138" t="s">
        <v>424</v>
      </c>
      <c r="E1002" s="28">
        <v>0.97126142999999998</v>
      </c>
      <c r="F1002" s="13"/>
      <c r="G1002" s="18">
        <v>6250000</v>
      </c>
      <c r="H1002" s="18">
        <v>6070383.9199999999</v>
      </c>
      <c r="I1002" s="18">
        <v>6250000</v>
      </c>
      <c r="J1002" s="18">
        <v>6070383.9199999999</v>
      </c>
      <c r="K1002" s="15">
        <v>50459993</v>
      </c>
      <c r="L1002" s="13" t="s">
        <v>102</v>
      </c>
      <c r="M1002" s="13" t="s">
        <v>103</v>
      </c>
      <c r="N1002" s="138" t="s">
        <v>339</v>
      </c>
      <c r="O1002" s="138" t="s">
        <v>339</v>
      </c>
      <c r="P1002" s="28">
        <v>24</v>
      </c>
      <c r="Q1002" s="13" t="s">
        <v>54</v>
      </c>
      <c r="R1002" s="13" t="s">
        <v>28</v>
      </c>
      <c r="S1002" s="13"/>
      <c r="T1002" s="13"/>
      <c r="U1002" s="13" t="s">
        <v>1559</v>
      </c>
      <c r="V1002" s="13" t="s">
        <v>1559</v>
      </c>
      <c r="W1002" s="59">
        <f>+J1002/$W$2</f>
        <v>9.9348352082839783E-5</v>
      </c>
    </row>
    <row r="1003" spans="1:29">
      <c r="A1003" s="13" t="s">
        <v>466</v>
      </c>
      <c r="B1003" s="13" t="s">
        <v>404</v>
      </c>
      <c r="C1003" s="138">
        <v>46304</v>
      </c>
      <c r="D1003" s="138" t="s">
        <v>424</v>
      </c>
      <c r="E1003" s="28">
        <v>0.96663138000000004</v>
      </c>
      <c r="F1003" s="13"/>
      <c r="G1003" s="18">
        <v>2500000</v>
      </c>
      <c r="H1003" s="18">
        <v>2416578.46</v>
      </c>
      <c r="I1003" s="18">
        <v>2500000</v>
      </c>
      <c r="J1003" s="18">
        <v>2416578.46</v>
      </c>
      <c r="K1003" s="15">
        <v>90031813</v>
      </c>
      <c r="L1003" s="13" t="s">
        <v>102</v>
      </c>
      <c r="M1003" s="13" t="s">
        <v>103</v>
      </c>
      <c r="N1003" s="138" t="s">
        <v>289</v>
      </c>
      <c r="O1003" s="138" t="s">
        <v>289</v>
      </c>
      <c r="P1003" s="28">
        <v>28</v>
      </c>
      <c r="Q1003" s="13" t="s">
        <v>54</v>
      </c>
      <c r="R1003" s="13" t="s">
        <v>28</v>
      </c>
      <c r="S1003" s="13"/>
      <c r="T1003" s="13"/>
      <c r="U1003" s="13" t="s">
        <v>580</v>
      </c>
      <c r="V1003" s="13" t="s">
        <v>580</v>
      </c>
      <c r="W1003" s="59">
        <f>+J1003/$W$2</f>
        <v>3.9549901759736927E-5</v>
      </c>
      <c r="AC1003" s="56"/>
    </row>
    <row r="1004" spans="1:29">
      <c r="A1004" s="13" t="s">
        <v>285</v>
      </c>
      <c r="B1004" s="13" t="s">
        <v>404</v>
      </c>
      <c r="C1004" s="138">
        <v>46304</v>
      </c>
      <c r="D1004" s="138" t="s">
        <v>424</v>
      </c>
      <c r="E1004" s="28">
        <v>0.97009977000000003</v>
      </c>
      <c r="F1004" s="13"/>
      <c r="G1004" s="18">
        <v>8650000</v>
      </c>
      <c r="H1004" s="18">
        <v>8391363.0399999991</v>
      </c>
      <c r="I1004" s="18">
        <v>8650000</v>
      </c>
      <c r="J1004" s="18">
        <v>8391363.0399999991</v>
      </c>
      <c r="K1004" s="15">
        <v>34385</v>
      </c>
      <c r="L1004" s="13" t="s">
        <v>102</v>
      </c>
      <c r="M1004" s="13" t="s">
        <v>103</v>
      </c>
      <c r="N1004" s="138" t="s">
        <v>383</v>
      </c>
      <c r="O1004" s="138" t="s">
        <v>383</v>
      </c>
      <c r="P1004" s="28">
        <v>25</v>
      </c>
      <c r="Q1004" s="13" t="s">
        <v>54</v>
      </c>
      <c r="R1004" s="13" t="s">
        <v>28</v>
      </c>
      <c r="S1004" s="13"/>
      <c r="T1004" s="13"/>
      <c r="U1004" s="13" t="s">
        <v>1629</v>
      </c>
      <c r="V1004" s="13" t="s">
        <v>1629</v>
      </c>
      <c r="W1004" s="59">
        <f>+J1004/$W$2</f>
        <v>1.3733366797545957E-4</v>
      </c>
    </row>
    <row r="1005" spans="1:29">
      <c r="A1005" s="13" t="s">
        <v>285</v>
      </c>
      <c r="B1005" s="13" t="s">
        <v>404</v>
      </c>
      <c r="C1005" s="138">
        <v>46304</v>
      </c>
      <c r="D1005" s="138" t="s">
        <v>424</v>
      </c>
      <c r="E1005" s="28">
        <v>0.96778472999999998</v>
      </c>
      <c r="F1005" s="13"/>
      <c r="G1005" s="18">
        <v>24500000</v>
      </c>
      <c r="H1005" s="18">
        <v>23710725.91</v>
      </c>
      <c r="I1005" s="18">
        <v>24500000</v>
      </c>
      <c r="J1005" s="18">
        <v>23710725.91</v>
      </c>
      <c r="K1005" s="15">
        <v>34219</v>
      </c>
      <c r="L1005" s="13" t="s">
        <v>102</v>
      </c>
      <c r="M1005" s="13" t="s">
        <v>103</v>
      </c>
      <c r="N1005" s="138" t="s">
        <v>420</v>
      </c>
      <c r="O1005" s="138" t="s">
        <v>420</v>
      </c>
      <c r="P1005" s="28">
        <v>27</v>
      </c>
      <c r="Q1005" s="13" t="s">
        <v>54</v>
      </c>
      <c r="R1005" s="13" t="s">
        <v>28</v>
      </c>
      <c r="S1005" s="13"/>
      <c r="T1005" s="13"/>
      <c r="U1005" s="13" t="s">
        <v>1285</v>
      </c>
      <c r="V1005" s="13" t="s">
        <v>1285</v>
      </c>
      <c r="W1005" s="59">
        <f>+J1005/$W$2</f>
        <v>3.8805149342949495E-4</v>
      </c>
    </row>
    <row r="1006" spans="1:29">
      <c r="A1006" s="13" t="s">
        <v>405</v>
      </c>
      <c r="B1006" s="13" t="s">
        <v>404</v>
      </c>
      <c r="C1006" s="138">
        <v>46304</v>
      </c>
      <c r="D1006" s="138" t="s">
        <v>424</v>
      </c>
      <c r="E1006" s="28">
        <v>0.96204553000000004</v>
      </c>
      <c r="F1006" s="13"/>
      <c r="G1006" s="18">
        <v>3000000</v>
      </c>
      <c r="H1006" s="18">
        <v>2886136.6</v>
      </c>
      <c r="I1006" s="18">
        <v>3000000</v>
      </c>
      <c r="J1006" s="18">
        <v>2886136.6</v>
      </c>
      <c r="K1006" s="15">
        <v>1037</v>
      </c>
      <c r="L1006" s="13" t="s">
        <v>102</v>
      </c>
      <c r="M1006" s="13" t="s">
        <v>103</v>
      </c>
      <c r="N1006" s="138" t="s">
        <v>424</v>
      </c>
      <c r="O1006" s="138" t="s">
        <v>424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2611</v>
      </c>
      <c r="V1006" s="13" t="s">
        <v>2611</v>
      </c>
      <c r="W1006" s="59">
        <f>+J1006/$W$2</f>
        <v>4.7234724998410009E-5</v>
      </c>
    </row>
    <row r="1007" spans="1:29">
      <c r="A1007" s="13" t="s">
        <v>413</v>
      </c>
      <c r="B1007" s="13" t="s">
        <v>404</v>
      </c>
      <c r="C1007" s="138">
        <v>46304</v>
      </c>
      <c r="D1007" s="138" t="s">
        <v>424</v>
      </c>
      <c r="E1007" s="28">
        <v>0.96204537999999995</v>
      </c>
      <c r="F1007" s="13"/>
      <c r="G1007" s="18">
        <v>14479899.68</v>
      </c>
      <c r="H1007" s="18">
        <v>13930320.58</v>
      </c>
      <c r="I1007" s="18">
        <v>14479899.68</v>
      </c>
      <c r="J1007" s="18">
        <v>13930320.58</v>
      </c>
      <c r="K1007" s="15">
        <v>9933006</v>
      </c>
      <c r="L1007" s="13" t="s">
        <v>102</v>
      </c>
      <c r="M1007" s="13" t="s">
        <v>103</v>
      </c>
      <c r="N1007" s="138" t="s">
        <v>338</v>
      </c>
      <c r="O1007" s="138" t="s">
        <v>338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1010</v>
      </c>
      <c r="V1007" s="13" t="s">
        <v>1010</v>
      </c>
      <c r="W1007" s="59">
        <f>+J1007/$W$2</f>
        <v>2.2798465662920856E-4</v>
      </c>
    </row>
    <row r="1008" spans="1:29">
      <c r="A1008" s="13" t="s">
        <v>2043</v>
      </c>
      <c r="B1008" s="13" t="s">
        <v>404</v>
      </c>
      <c r="C1008" s="138">
        <v>46304</v>
      </c>
      <c r="D1008" s="138" t="s">
        <v>424</v>
      </c>
      <c r="E1008" s="28">
        <v>0.96663149000000004</v>
      </c>
      <c r="F1008" s="13"/>
      <c r="G1008" s="18">
        <v>55696615.780000001</v>
      </c>
      <c r="H1008" s="18">
        <v>53838102.93</v>
      </c>
      <c r="I1008" s="18">
        <v>55696615.780000001</v>
      </c>
      <c r="J1008" s="18">
        <v>53838102.93</v>
      </c>
      <c r="K1008" s="15">
        <v>40292798</v>
      </c>
      <c r="L1008" s="13" t="s">
        <v>102</v>
      </c>
      <c r="M1008" s="13" t="s">
        <v>103</v>
      </c>
      <c r="N1008" s="138" t="s">
        <v>371</v>
      </c>
      <c r="O1008" s="138" t="s">
        <v>371</v>
      </c>
      <c r="P1008" s="28">
        <v>28</v>
      </c>
      <c r="Q1008" s="13" t="s">
        <v>54</v>
      </c>
      <c r="R1008" s="13" t="s">
        <v>28</v>
      </c>
      <c r="S1008" s="13"/>
      <c r="T1008" s="13"/>
      <c r="U1008" s="13" t="s">
        <v>2119</v>
      </c>
      <c r="V1008" s="13" t="s">
        <v>2119</v>
      </c>
      <c r="W1008" s="59">
        <f>+J1008/$W$2</f>
        <v>8.8111837337659002E-4</v>
      </c>
    </row>
    <row r="1009" spans="1:29">
      <c r="A1009" s="13" t="s">
        <v>2043</v>
      </c>
      <c r="B1009" s="13" t="s">
        <v>404</v>
      </c>
      <c r="C1009" s="138">
        <v>46304</v>
      </c>
      <c r="D1009" s="138" t="s">
        <v>424</v>
      </c>
      <c r="E1009" s="28">
        <v>0.96663149000000004</v>
      </c>
      <c r="F1009" s="13"/>
      <c r="G1009" s="18">
        <v>55696615.780000001</v>
      </c>
      <c r="H1009" s="18">
        <v>53838102.93</v>
      </c>
      <c r="I1009" s="18">
        <v>55696615.780000001</v>
      </c>
      <c r="J1009" s="18">
        <v>53838102.93</v>
      </c>
      <c r="K1009" s="15">
        <v>40292779</v>
      </c>
      <c r="L1009" s="13" t="s">
        <v>102</v>
      </c>
      <c r="M1009" s="13" t="s">
        <v>103</v>
      </c>
      <c r="N1009" s="138" t="s">
        <v>371</v>
      </c>
      <c r="O1009" s="138" t="s">
        <v>371</v>
      </c>
      <c r="P1009" s="28">
        <v>28</v>
      </c>
      <c r="Q1009" s="13" t="s">
        <v>54</v>
      </c>
      <c r="R1009" s="13" t="s">
        <v>28</v>
      </c>
      <c r="S1009" s="13"/>
      <c r="T1009" s="13"/>
      <c r="U1009" s="13" t="s">
        <v>2120</v>
      </c>
      <c r="V1009" s="13" t="s">
        <v>2120</v>
      </c>
      <c r="W1009" s="59">
        <f>+J1009/$W$2</f>
        <v>8.8111837337659002E-4</v>
      </c>
    </row>
    <row r="1010" spans="1:29">
      <c r="A1010" s="13" t="s">
        <v>1169</v>
      </c>
      <c r="B1010" s="13" t="s">
        <v>404</v>
      </c>
      <c r="C1010" s="138">
        <v>46304</v>
      </c>
      <c r="D1010" s="138" t="s">
        <v>424</v>
      </c>
      <c r="E1010" s="28">
        <v>0.96204551999999999</v>
      </c>
      <c r="F1010" s="13"/>
      <c r="G1010" s="18">
        <v>40000000</v>
      </c>
      <c r="H1010" s="18">
        <v>38481820.920000002</v>
      </c>
      <c r="I1010" s="18">
        <v>40000000</v>
      </c>
      <c r="J1010" s="18">
        <v>38481820.920000002</v>
      </c>
      <c r="K1010" s="15">
        <v>10629809</v>
      </c>
      <c r="L1010" s="13" t="s">
        <v>102</v>
      </c>
      <c r="M1010" s="13" t="s">
        <v>103</v>
      </c>
      <c r="N1010" s="138" t="s">
        <v>422</v>
      </c>
      <c r="O1010" s="138" t="s">
        <v>422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2244</v>
      </c>
      <c r="V1010" s="13" t="s">
        <v>2244</v>
      </c>
      <c r="W1010" s="59">
        <f>+J1010/$W$2</f>
        <v>6.2979632654748964E-4</v>
      </c>
    </row>
    <row r="1011" spans="1:29">
      <c r="A1011" s="13" t="s">
        <v>302</v>
      </c>
      <c r="B1011" s="13" t="s">
        <v>404</v>
      </c>
      <c r="C1011" s="138">
        <v>46308</v>
      </c>
      <c r="D1011" s="138" t="s">
        <v>424</v>
      </c>
      <c r="E1011" s="28">
        <v>0.95634876000000002</v>
      </c>
      <c r="F1011" s="13"/>
      <c r="G1011" s="18">
        <v>4300000</v>
      </c>
      <c r="H1011" s="18">
        <v>4112299.68</v>
      </c>
      <c r="I1011" s="18">
        <v>4300000</v>
      </c>
      <c r="J1011" s="18">
        <v>4112299.68</v>
      </c>
      <c r="K1011" s="15">
        <v>40768564</v>
      </c>
      <c r="L1011" s="13" t="s">
        <v>102</v>
      </c>
      <c r="M1011" s="13" t="s">
        <v>103</v>
      </c>
      <c r="N1011" s="138" t="s">
        <v>388</v>
      </c>
      <c r="O1011" s="138" t="s">
        <v>388</v>
      </c>
      <c r="P1011" s="28">
        <v>34</v>
      </c>
      <c r="Q1011" s="13" t="s">
        <v>54</v>
      </c>
      <c r="R1011" s="13" t="s">
        <v>28</v>
      </c>
      <c r="S1011" s="13"/>
      <c r="T1011" s="13"/>
      <c r="U1011" s="13" t="s">
        <v>1851</v>
      </c>
      <c r="V1011" s="13" t="s">
        <v>1851</v>
      </c>
      <c r="W1011" s="59">
        <f>+J1011/$W$2</f>
        <v>6.730220062898253E-5</v>
      </c>
    </row>
    <row r="1012" spans="1:29">
      <c r="A1012" s="13" t="s">
        <v>302</v>
      </c>
      <c r="B1012" s="13" t="s">
        <v>404</v>
      </c>
      <c r="C1012" s="138">
        <v>46308</v>
      </c>
      <c r="D1012" s="138" t="s">
        <v>424</v>
      </c>
      <c r="E1012" s="28">
        <v>0.95512235999999995</v>
      </c>
      <c r="F1012" s="13"/>
      <c r="G1012" s="18">
        <v>2250000</v>
      </c>
      <c r="H1012" s="18">
        <v>2149025.31</v>
      </c>
      <c r="I1012" s="18">
        <v>2250000</v>
      </c>
      <c r="J1012" s="18">
        <v>2149025.31</v>
      </c>
      <c r="K1012" s="15">
        <v>40768589</v>
      </c>
      <c r="L1012" s="13" t="s">
        <v>102</v>
      </c>
      <c r="M1012" s="13" t="s">
        <v>103</v>
      </c>
      <c r="N1012" s="138" t="s">
        <v>416</v>
      </c>
      <c r="O1012" s="138" t="s">
        <v>416</v>
      </c>
      <c r="P1012" s="28">
        <v>35</v>
      </c>
      <c r="Q1012" s="13" t="s">
        <v>54</v>
      </c>
      <c r="R1012" s="13" t="s">
        <v>28</v>
      </c>
      <c r="S1012" s="13"/>
      <c r="T1012" s="13"/>
      <c r="U1012" s="13" t="s">
        <v>2058</v>
      </c>
      <c r="V1012" s="13" t="s">
        <v>2058</v>
      </c>
      <c r="W1012" s="59">
        <f>+J1012/$W$2</f>
        <v>3.5171107123783686E-5</v>
      </c>
    </row>
    <row r="1013" spans="1:29">
      <c r="A1013" s="13" t="s">
        <v>744</v>
      </c>
      <c r="B1013" s="13" t="s">
        <v>404</v>
      </c>
      <c r="C1013" s="138">
        <v>46308</v>
      </c>
      <c r="D1013" s="138" t="s">
        <v>424</v>
      </c>
      <c r="E1013" s="28">
        <v>0.95024863999999998</v>
      </c>
      <c r="F1013" s="13"/>
      <c r="G1013" s="18">
        <v>3750000</v>
      </c>
      <c r="H1013" s="18">
        <v>3563432.4</v>
      </c>
      <c r="I1013" s="18">
        <v>3750000</v>
      </c>
      <c r="J1013" s="18">
        <v>3563432.4</v>
      </c>
      <c r="K1013" s="15">
        <v>66920072</v>
      </c>
      <c r="L1013" s="13" t="s">
        <v>102</v>
      </c>
      <c r="M1013" s="13" t="s">
        <v>103</v>
      </c>
      <c r="N1013" s="138" t="s">
        <v>322</v>
      </c>
      <c r="O1013" s="138" t="s">
        <v>322</v>
      </c>
      <c r="P1013" s="28">
        <v>39</v>
      </c>
      <c r="Q1013" s="13" t="s">
        <v>54</v>
      </c>
      <c r="R1013" s="13" t="s">
        <v>28</v>
      </c>
      <c r="S1013" s="13"/>
      <c r="T1013" s="13"/>
      <c r="U1013" s="13" t="s">
        <v>726</v>
      </c>
      <c r="V1013" s="13" t="s">
        <v>726</v>
      </c>
      <c r="W1013" s="59">
        <f>+J1013/$W$2</f>
        <v>5.8319398140900248E-5</v>
      </c>
    </row>
    <row r="1014" spans="1:29">
      <c r="A1014" s="13" t="s">
        <v>284</v>
      </c>
      <c r="B1014" s="13" t="s">
        <v>404</v>
      </c>
      <c r="C1014" s="138">
        <v>46308</v>
      </c>
      <c r="D1014" s="138" t="s">
        <v>424</v>
      </c>
      <c r="E1014" s="28">
        <v>0.96252736999999999</v>
      </c>
      <c r="F1014" s="13"/>
      <c r="G1014" s="18">
        <v>8106418.25</v>
      </c>
      <c r="H1014" s="18">
        <v>7802649.4100000001</v>
      </c>
      <c r="I1014" s="18">
        <v>8106418.25</v>
      </c>
      <c r="J1014" s="18">
        <v>7802649.4100000001</v>
      </c>
      <c r="K1014" s="15">
        <v>90000803</v>
      </c>
      <c r="L1014" s="13" t="s">
        <v>102</v>
      </c>
      <c r="M1014" s="13" t="s">
        <v>103</v>
      </c>
      <c r="N1014" s="138" t="s">
        <v>374</v>
      </c>
      <c r="O1014" s="138" t="s">
        <v>374</v>
      </c>
      <c r="P1014" s="28">
        <v>29</v>
      </c>
      <c r="Q1014" s="13" t="s">
        <v>54</v>
      </c>
      <c r="R1014" s="13" t="s">
        <v>28</v>
      </c>
      <c r="S1014" s="13"/>
      <c r="T1014" s="13"/>
      <c r="U1014" s="13" t="s">
        <v>1218</v>
      </c>
      <c r="V1014" s="13" t="s">
        <v>1218</v>
      </c>
      <c r="W1014" s="59">
        <f>+J1014/$W$2</f>
        <v>1.276987371770124E-4</v>
      </c>
    </row>
    <row r="1015" spans="1:29">
      <c r="A1015" s="13" t="s">
        <v>517</v>
      </c>
      <c r="B1015" s="13" t="s">
        <v>404</v>
      </c>
      <c r="C1015" s="138">
        <v>46308</v>
      </c>
      <c r="D1015" s="138" t="s">
        <v>424</v>
      </c>
      <c r="E1015" s="28">
        <v>0.95634867000000001</v>
      </c>
      <c r="F1015" s="13"/>
      <c r="G1015" s="18">
        <v>10000000</v>
      </c>
      <c r="H1015" s="18">
        <v>9563486.75</v>
      </c>
      <c r="I1015" s="18">
        <v>10000000</v>
      </c>
      <c r="J1015" s="18">
        <v>9563486.75</v>
      </c>
      <c r="K1015" s="15">
        <v>14284508</v>
      </c>
      <c r="L1015" s="13" t="s">
        <v>102</v>
      </c>
      <c r="M1015" s="13" t="s">
        <v>103</v>
      </c>
      <c r="N1015" s="138" t="s">
        <v>464</v>
      </c>
      <c r="O1015" s="138" t="s">
        <v>464</v>
      </c>
      <c r="P1015" s="28">
        <v>34</v>
      </c>
      <c r="Q1015" s="13" t="s">
        <v>54</v>
      </c>
      <c r="R1015" s="13" t="s">
        <v>28</v>
      </c>
      <c r="S1015" s="13"/>
      <c r="T1015" s="13"/>
      <c r="U1015" s="13" t="s">
        <v>2544</v>
      </c>
      <c r="V1015" s="13" t="s">
        <v>2544</v>
      </c>
      <c r="W1015" s="59">
        <f>+J1015/$W$2</f>
        <v>1.5651673128090607E-4</v>
      </c>
    </row>
    <row r="1016" spans="1:29">
      <c r="A1016" s="13" t="s">
        <v>285</v>
      </c>
      <c r="B1016" s="13" t="s">
        <v>404</v>
      </c>
      <c r="C1016" s="138">
        <v>46308</v>
      </c>
      <c r="D1016" s="138" t="s">
        <v>424</v>
      </c>
      <c r="E1016" s="28">
        <v>0.96502136999999999</v>
      </c>
      <c r="F1016" s="13"/>
      <c r="G1016" s="18">
        <v>15000000</v>
      </c>
      <c r="H1016" s="18">
        <v>14475320.529999999</v>
      </c>
      <c r="I1016" s="18">
        <v>15000000</v>
      </c>
      <c r="J1016" s="18">
        <v>14475320.529999999</v>
      </c>
      <c r="K1016" s="15">
        <v>11338650</v>
      </c>
      <c r="L1016" s="13" t="s">
        <v>102</v>
      </c>
      <c r="M1016" s="13" t="s">
        <v>103</v>
      </c>
      <c r="N1016" s="138" t="s">
        <v>346</v>
      </c>
      <c r="O1016" s="138" t="s">
        <v>346</v>
      </c>
      <c r="P1016" s="28">
        <v>27</v>
      </c>
      <c r="Q1016" s="13" t="s">
        <v>54</v>
      </c>
      <c r="R1016" s="13" t="s">
        <v>28</v>
      </c>
      <c r="S1016" s="13"/>
      <c r="T1016" s="13"/>
      <c r="U1016" s="13" t="s">
        <v>1528</v>
      </c>
      <c r="V1016" s="13" t="s">
        <v>1528</v>
      </c>
      <c r="W1016" s="59">
        <f>+J1016/$W$2</f>
        <v>2.3690416610855792E-4</v>
      </c>
    </row>
    <row r="1017" spans="1:29">
      <c r="A1017" s="13" t="s">
        <v>405</v>
      </c>
      <c r="B1017" s="13" t="s">
        <v>404</v>
      </c>
      <c r="C1017" s="138">
        <v>46308</v>
      </c>
      <c r="D1017" s="138" t="s">
        <v>424</v>
      </c>
      <c r="E1017" s="28">
        <v>0.96128522999999999</v>
      </c>
      <c r="F1017" s="13"/>
      <c r="G1017" s="18">
        <v>5000000</v>
      </c>
      <c r="H1017" s="18">
        <v>4806426.16</v>
      </c>
      <c r="I1017" s="18">
        <v>5000000</v>
      </c>
      <c r="J1017" s="18">
        <v>4806426.16</v>
      </c>
      <c r="K1017" s="15">
        <v>790</v>
      </c>
      <c r="L1017" s="13" t="s">
        <v>102</v>
      </c>
      <c r="M1017" s="13" t="s">
        <v>103</v>
      </c>
      <c r="N1017" s="138" t="s">
        <v>421</v>
      </c>
      <c r="O1017" s="138" t="s">
        <v>421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1401</v>
      </c>
      <c r="V1017" s="13" t="s">
        <v>1401</v>
      </c>
      <c r="W1017" s="59">
        <f>+J1017/$W$2</f>
        <v>7.8662325924824157E-5</v>
      </c>
      <c r="AC1017"/>
    </row>
    <row r="1018" spans="1:29">
      <c r="A1018" s="13" t="s">
        <v>405</v>
      </c>
      <c r="B1018" s="13" t="s">
        <v>404</v>
      </c>
      <c r="C1018" s="138">
        <v>46308</v>
      </c>
      <c r="D1018" s="138" t="s">
        <v>424</v>
      </c>
      <c r="E1018" s="28">
        <v>0.96128530000000001</v>
      </c>
      <c r="F1018" s="13"/>
      <c r="G1018" s="18">
        <v>2500000</v>
      </c>
      <c r="H1018" s="18">
        <v>2403213.25</v>
      </c>
      <c r="I1018" s="18">
        <v>2500000</v>
      </c>
      <c r="J1018" s="18">
        <v>2403213.25</v>
      </c>
      <c r="K1018" s="15">
        <v>882</v>
      </c>
      <c r="L1018" s="13" t="s">
        <v>102</v>
      </c>
      <c r="M1018" s="13" t="s">
        <v>103</v>
      </c>
      <c r="N1018" s="138" t="s">
        <v>484</v>
      </c>
      <c r="O1018" s="138" t="s">
        <v>484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2081</v>
      </c>
      <c r="V1018" s="13" t="s">
        <v>2081</v>
      </c>
      <c r="W1018" s="59">
        <f>+J1018/$W$2</f>
        <v>3.9331165744644646E-5</v>
      </c>
    </row>
    <row r="1019" spans="1:29">
      <c r="A1019" s="13" t="s">
        <v>405</v>
      </c>
      <c r="B1019" s="13" t="s">
        <v>404</v>
      </c>
      <c r="C1019" s="138">
        <v>46308</v>
      </c>
      <c r="D1019" s="138" t="s">
        <v>424</v>
      </c>
      <c r="E1019" s="28">
        <v>0.96128524999999998</v>
      </c>
      <c r="F1019" s="13"/>
      <c r="G1019" s="18">
        <v>4000000</v>
      </c>
      <c r="H1019" s="18">
        <v>3845140.98</v>
      </c>
      <c r="I1019" s="18">
        <v>4000000</v>
      </c>
      <c r="J1019" s="18">
        <v>3845140.98</v>
      </c>
      <c r="K1019" s="15">
        <v>859</v>
      </c>
      <c r="L1019" s="13" t="s">
        <v>102</v>
      </c>
      <c r="M1019" s="13" t="s">
        <v>103</v>
      </c>
      <c r="N1019" s="138" t="s">
        <v>416</v>
      </c>
      <c r="O1019" s="138" t="s">
        <v>416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2035</v>
      </c>
      <c r="V1019" s="13" t="s">
        <v>2035</v>
      </c>
      <c r="W1019" s="59">
        <f>+J1019/$W$2</f>
        <v>6.2929861590895167E-5</v>
      </c>
    </row>
    <row r="1020" spans="1:29">
      <c r="A1020" s="13" t="s">
        <v>405</v>
      </c>
      <c r="B1020" s="13" t="s">
        <v>404</v>
      </c>
      <c r="C1020" s="138">
        <v>46308</v>
      </c>
      <c r="D1020" s="138" t="s">
        <v>424</v>
      </c>
      <c r="E1020" s="28">
        <v>0.96128535999999998</v>
      </c>
      <c r="F1020" s="13"/>
      <c r="G1020" s="18">
        <v>2500000</v>
      </c>
      <c r="H1020" s="18">
        <v>2403213.4</v>
      </c>
      <c r="I1020" s="18">
        <v>2500000</v>
      </c>
      <c r="J1020" s="18">
        <v>2403213.4</v>
      </c>
      <c r="K1020" s="15">
        <v>905</v>
      </c>
      <c r="L1020" s="13" t="s">
        <v>102</v>
      </c>
      <c r="M1020" s="13" t="s">
        <v>103</v>
      </c>
      <c r="N1020" s="138" t="s">
        <v>371</v>
      </c>
      <c r="O1020" s="138" t="s">
        <v>371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2100</v>
      </c>
      <c r="V1020" s="13" t="s">
        <v>2100</v>
      </c>
      <c r="W1020" s="59">
        <f>+J1020/$W$2</f>
        <v>3.9331168199555731E-5</v>
      </c>
    </row>
    <row r="1021" spans="1:29">
      <c r="A1021" s="13" t="s">
        <v>405</v>
      </c>
      <c r="B1021" s="13" t="s">
        <v>404</v>
      </c>
      <c r="C1021" s="138">
        <v>46308</v>
      </c>
      <c r="D1021" s="138" t="s">
        <v>424</v>
      </c>
      <c r="E1021" s="28">
        <v>0.95881072000000001</v>
      </c>
      <c r="F1021" s="13"/>
      <c r="G1021" s="18">
        <v>3000000</v>
      </c>
      <c r="H1021" s="18">
        <v>2876432.16</v>
      </c>
      <c r="I1021" s="18">
        <v>3000000</v>
      </c>
      <c r="J1021" s="18">
        <v>2876432.16</v>
      </c>
      <c r="K1021" s="15">
        <v>1038</v>
      </c>
      <c r="L1021" s="13" t="s">
        <v>102</v>
      </c>
      <c r="M1021" s="13" t="s">
        <v>103</v>
      </c>
      <c r="N1021" s="138" t="s">
        <v>424</v>
      </c>
      <c r="O1021" s="138" t="s">
        <v>424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2600</v>
      </c>
      <c r="V1021" s="13" t="s">
        <v>2600</v>
      </c>
      <c r="W1021" s="59">
        <f>+J1021/$W$2</f>
        <v>4.7075901415817429E-5</v>
      </c>
    </row>
    <row r="1022" spans="1:29">
      <c r="A1022" s="13" t="s">
        <v>413</v>
      </c>
      <c r="B1022" s="13" t="s">
        <v>404</v>
      </c>
      <c r="C1022" s="138">
        <v>46308</v>
      </c>
      <c r="D1022" s="138" t="s">
        <v>424</v>
      </c>
      <c r="E1022" s="28">
        <v>0.95881059000000002</v>
      </c>
      <c r="F1022" s="13"/>
      <c r="G1022" s="18">
        <v>14479899.68</v>
      </c>
      <c r="H1022" s="18">
        <v>13883481.09</v>
      </c>
      <c r="I1022" s="18">
        <v>14479899.68</v>
      </c>
      <c r="J1022" s="18">
        <v>13883481.09</v>
      </c>
      <c r="K1022" s="15">
        <v>9933005</v>
      </c>
      <c r="L1022" s="13" t="s">
        <v>102</v>
      </c>
      <c r="M1022" s="13" t="s">
        <v>103</v>
      </c>
      <c r="N1022" s="138" t="s">
        <v>338</v>
      </c>
      <c r="O1022" s="138" t="s">
        <v>338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1011</v>
      </c>
      <c r="V1022" s="13" t="s">
        <v>1011</v>
      </c>
      <c r="W1022" s="59">
        <f>+J1022/$W$2</f>
        <v>2.2721807807252631E-4</v>
      </c>
    </row>
    <row r="1023" spans="1:29">
      <c r="A1023" s="13" t="s">
        <v>356</v>
      </c>
      <c r="B1023" s="13" t="s">
        <v>404</v>
      </c>
      <c r="C1023" s="138">
        <v>46308</v>
      </c>
      <c r="D1023" s="138" t="s">
        <v>424</v>
      </c>
      <c r="E1023" s="28">
        <v>0.95881055999999998</v>
      </c>
      <c r="F1023" s="13"/>
      <c r="G1023" s="18">
        <v>15000000</v>
      </c>
      <c r="H1023" s="18">
        <v>14382158.41</v>
      </c>
      <c r="I1023" s="18">
        <v>15000000</v>
      </c>
      <c r="J1023" s="18">
        <v>14382158.41</v>
      </c>
      <c r="K1023" s="15">
        <v>13953460</v>
      </c>
      <c r="L1023" s="13" t="s">
        <v>102</v>
      </c>
      <c r="M1023" s="13" t="s">
        <v>103</v>
      </c>
      <c r="N1023" s="138" t="s">
        <v>421</v>
      </c>
      <c r="O1023" s="138" t="s">
        <v>421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1357</v>
      </c>
      <c r="V1023" s="13" t="s">
        <v>1357</v>
      </c>
      <c r="W1023" s="59">
        <f>+J1023/$W$2</f>
        <v>2.3537946796417042E-4</v>
      </c>
    </row>
    <row r="1024" spans="1:29">
      <c r="A1024" s="13" t="s">
        <v>356</v>
      </c>
      <c r="B1024" s="13" t="s">
        <v>404</v>
      </c>
      <c r="C1024" s="138">
        <v>46308</v>
      </c>
      <c r="D1024" s="138" t="s">
        <v>424</v>
      </c>
      <c r="E1024" s="28">
        <v>0.95881066000000004</v>
      </c>
      <c r="F1024" s="13"/>
      <c r="G1024" s="18">
        <v>40000000</v>
      </c>
      <c r="H1024" s="18">
        <v>38352426.520000003</v>
      </c>
      <c r="I1024" s="18">
        <v>40000000</v>
      </c>
      <c r="J1024" s="18">
        <v>38352426.520000003</v>
      </c>
      <c r="K1024" s="15">
        <v>13795907</v>
      </c>
      <c r="L1024" s="13" t="s">
        <v>102</v>
      </c>
      <c r="M1024" s="13" t="s">
        <v>103</v>
      </c>
      <c r="N1024" s="138" t="s">
        <v>390</v>
      </c>
      <c r="O1024" s="138" t="s">
        <v>390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1104</v>
      </c>
      <c r="V1024" s="13" t="s">
        <v>1104</v>
      </c>
      <c r="W1024" s="59">
        <f>+J1024/$W$2</f>
        <v>6.2767864822958384E-4</v>
      </c>
    </row>
    <row r="1025" spans="1:29">
      <c r="A1025" s="13" t="s">
        <v>1971</v>
      </c>
      <c r="B1025" s="13" t="s">
        <v>404</v>
      </c>
      <c r="C1025" s="138">
        <v>46308</v>
      </c>
      <c r="D1025" s="138" t="s">
        <v>424</v>
      </c>
      <c r="E1025" s="28">
        <v>0.95757813000000003</v>
      </c>
      <c r="F1025" s="13"/>
      <c r="G1025" s="18">
        <v>20000000</v>
      </c>
      <c r="H1025" s="18">
        <v>19151562.579999998</v>
      </c>
      <c r="I1025" s="18">
        <v>20000000</v>
      </c>
      <c r="J1025" s="18">
        <v>19151562.579999998</v>
      </c>
      <c r="K1025" s="15">
        <v>40663539</v>
      </c>
      <c r="L1025" s="13" t="s">
        <v>102</v>
      </c>
      <c r="M1025" s="13" t="s">
        <v>103</v>
      </c>
      <c r="N1025" s="138" t="s">
        <v>341</v>
      </c>
      <c r="O1025" s="138" t="s">
        <v>341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1965</v>
      </c>
      <c r="V1025" s="13" t="s">
        <v>1965</v>
      </c>
      <c r="W1025" s="59">
        <f>+J1025/$W$2</f>
        <v>3.1343588926322462E-4</v>
      </c>
      <c r="AC1025" s="56"/>
    </row>
    <row r="1026" spans="1:29">
      <c r="A1026" s="13" t="s">
        <v>1418</v>
      </c>
      <c r="B1026" s="13" t="s">
        <v>404</v>
      </c>
      <c r="C1026" s="138">
        <v>46308</v>
      </c>
      <c r="D1026" s="138" t="s">
        <v>424</v>
      </c>
      <c r="E1026" s="28">
        <v>0.95881055999999998</v>
      </c>
      <c r="F1026" s="13"/>
      <c r="G1026" s="18">
        <v>7500000</v>
      </c>
      <c r="H1026" s="18">
        <v>7191079.21</v>
      </c>
      <c r="I1026" s="18">
        <v>7500000</v>
      </c>
      <c r="J1026" s="18">
        <v>7191079.21</v>
      </c>
      <c r="K1026" s="15">
        <v>67195476</v>
      </c>
      <c r="L1026" s="13" t="s">
        <v>102</v>
      </c>
      <c r="M1026" s="13" t="s">
        <v>103</v>
      </c>
      <c r="N1026" s="138" t="s">
        <v>421</v>
      </c>
      <c r="O1026" s="138" t="s">
        <v>421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1373</v>
      </c>
      <c r="V1026" s="13" t="s">
        <v>1373</v>
      </c>
      <c r="W1026" s="59">
        <f>+J1026/$W$2</f>
        <v>1.1768973406391559E-4</v>
      </c>
    </row>
    <row r="1027" spans="1:29">
      <c r="A1027" s="13" t="s">
        <v>138</v>
      </c>
      <c r="B1027" s="13" t="s">
        <v>404</v>
      </c>
      <c r="C1027" s="138">
        <v>46309</v>
      </c>
      <c r="D1027" s="138" t="s">
        <v>424</v>
      </c>
      <c r="E1027" s="28">
        <v>0.95674979999999998</v>
      </c>
      <c r="F1027" s="13"/>
      <c r="G1027" s="18">
        <v>85000000</v>
      </c>
      <c r="H1027" s="18">
        <v>81323733.239999995</v>
      </c>
      <c r="I1027" s="18">
        <v>85000000</v>
      </c>
      <c r="J1027" s="18">
        <v>81323733.239999995</v>
      </c>
      <c r="K1027" s="15">
        <v>8444</v>
      </c>
      <c r="L1027" s="13" t="s">
        <v>102</v>
      </c>
      <c r="M1027" s="13" t="s">
        <v>103</v>
      </c>
      <c r="N1027" s="138" t="s">
        <v>421</v>
      </c>
      <c r="O1027" s="138" t="s">
        <v>421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1389</v>
      </c>
      <c r="V1027" s="13" t="s">
        <v>1389</v>
      </c>
      <c r="W1027" s="59">
        <f>+J1027/$W$2</f>
        <v>1.3309502313353619E-3</v>
      </c>
    </row>
    <row r="1028" spans="1:29">
      <c r="A1028" s="13" t="s">
        <v>916</v>
      </c>
      <c r="B1028" s="13" t="s">
        <v>404</v>
      </c>
      <c r="C1028" s="138">
        <v>46309</v>
      </c>
      <c r="D1028" s="138" t="s">
        <v>424</v>
      </c>
      <c r="E1028" s="28">
        <v>0.96052632999999998</v>
      </c>
      <c r="F1028" s="13"/>
      <c r="G1028" s="18">
        <v>150000000</v>
      </c>
      <c r="H1028" s="18">
        <v>144078950.21000001</v>
      </c>
      <c r="I1028" s="18">
        <v>150000000</v>
      </c>
      <c r="J1028" s="18">
        <v>144078950.21000001</v>
      </c>
      <c r="K1028" s="15">
        <v>90003992</v>
      </c>
      <c r="L1028" s="13" t="s">
        <v>102</v>
      </c>
      <c r="M1028" s="13" t="s">
        <v>103</v>
      </c>
      <c r="N1028" s="138" t="s">
        <v>484</v>
      </c>
      <c r="O1028" s="138" t="s">
        <v>484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2095</v>
      </c>
      <c r="V1028" s="13" t="s">
        <v>2095</v>
      </c>
      <c r="W1028" s="59">
        <f>+J1028/$W$2</f>
        <v>2.3580067524277813E-3</v>
      </c>
    </row>
    <row r="1029" spans="1:29">
      <c r="A1029" s="13" t="s">
        <v>389</v>
      </c>
      <c r="B1029" s="13" t="s">
        <v>404</v>
      </c>
      <c r="C1029" s="138">
        <v>46309</v>
      </c>
      <c r="D1029" s="138" t="s">
        <v>424</v>
      </c>
      <c r="E1029" s="28">
        <v>0.95674970000000004</v>
      </c>
      <c r="F1029" s="13"/>
      <c r="G1029" s="18">
        <v>800000000</v>
      </c>
      <c r="H1029" s="18">
        <v>765399756.96000004</v>
      </c>
      <c r="I1029" s="18">
        <v>800000000</v>
      </c>
      <c r="J1029" s="18">
        <v>765399756.96000004</v>
      </c>
      <c r="K1029" s="15">
        <v>152839</v>
      </c>
      <c r="L1029" s="13" t="s">
        <v>102</v>
      </c>
      <c r="M1029" s="13" t="s">
        <v>103</v>
      </c>
      <c r="N1029" s="138" t="s">
        <v>412</v>
      </c>
      <c r="O1029" s="138" t="s">
        <v>412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986</v>
      </c>
      <c r="V1029" s="13" t="s">
        <v>986</v>
      </c>
      <c r="W1029" s="59">
        <f>+J1029/$W$2</f>
        <v>1.252658901656126E-2</v>
      </c>
    </row>
    <row r="1030" spans="1:29">
      <c r="A1030" s="13" t="s">
        <v>523</v>
      </c>
      <c r="B1030" s="13" t="s">
        <v>404</v>
      </c>
      <c r="C1030" s="138">
        <v>46309</v>
      </c>
      <c r="D1030" s="138" t="s">
        <v>424</v>
      </c>
      <c r="E1030" s="28">
        <v>0.96179186000000005</v>
      </c>
      <c r="F1030" s="13"/>
      <c r="G1030" s="18">
        <v>10000000</v>
      </c>
      <c r="H1030" s="18">
        <v>9617918.6099999994</v>
      </c>
      <c r="I1030" s="18">
        <v>10000000</v>
      </c>
      <c r="J1030" s="18">
        <v>9617918.6099999994</v>
      </c>
      <c r="K1030" s="15">
        <v>80620808</v>
      </c>
      <c r="L1030" s="13" t="s">
        <v>102</v>
      </c>
      <c r="M1030" s="13" t="s">
        <v>103</v>
      </c>
      <c r="N1030" s="138" t="s">
        <v>324</v>
      </c>
      <c r="O1030" s="138" t="s">
        <v>324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1166</v>
      </c>
      <c r="V1030" s="13" t="s">
        <v>1166</v>
      </c>
      <c r="W1030" s="59">
        <f>+J1030/$W$2</f>
        <v>1.5740756712639305E-4</v>
      </c>
    </row>
    <row r="1031" spans="1:29">
      <c r="A1031" s="13" t="s">
        <v>894</v>
      </c>
      <c r="B1031" s="13" t="s">
        <v>404</v>
      </c>
      <c r="C1031" s="138">
        <v>46309</v>
      </c>
      <c r="D1031" s="138" t="s">
        <v>424</v>
      </c>
      <c r="E1031" s="28">
        <v>0.95674970000000004</v>
      </c>
      <c r="F1031" s="13"/>
      <c r="G1031" s="18">
        <v>650000000</v>
      </c>
      <c r="H1031" s="18">
        <v>621887302.52999997</v>
      </c>
      <c r="I1031" s="18">
        <v>650000000</v>
      </c>
      <c r="J1031" s="18">
        <v>621887302.52999997</v>
      </c>
      <c r="K1031" s="15">
        <v>152838</v>
      </c>
      <c r="L1031" s="13" t="s">
        <v>102</v>
      </c>
      <c r="M1031" s="13" t="s">
        <v>103</v>
      </c>
      <c r="N1031" s="138" t="s">
        <v>412</v>
      </c>
      <c r="O1031" s="138" t="s">
        <v>412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982</v>
      </c>
      <c r="V1031" s="13" t="s">
        <v>982</v>
      </c>
      <c r="W1031" s="59">
        <f>+J1031/$W$2</f>
        <v>1.0177853575956023E-2</v>
      </c>
    </row>
    <row r="1032" spans="1:29">
      <c r="A1032" s="13" t="s">
        <v>537</v>
      </c>
      <c r="B1032" s="13" t="s">
        <v>404</v>
      </c>
      <c r="C1032" s="138">
        <v>46309</v>
      </c>
      <c r="D1032" s="138" t="s">
        <v>424</v>
      </c>
      <c r="E1032" s="28">
        <v>0.96816986000000005</v>
      </c>
      <c r="F1032" s="13"/>
      <c r="G1032" s="18">
        <v>5000000</v>
      </c>
      <c r="H1032" s="18">
        <v>4840849.28</v>
      </c>
      <c r="I1032" s="18">
        <v>5000000</v>
      </c>
      <c r="J1032" s="18">
        <v>4840849.28</v>
      </c>
      <c r="K1032" s="15">
        <v>16831531</v>
      </c>
      <c r="L1032" s="13" t="s">
        <v>102</v>
      </c>
      <c r="M1032" s="13" t="s">
        <v>103</v>
      </c>
      <c r="N1032" s="138" t="s">
        <v>161</v>
      </c>
      <c r="O1032" s="138" t="s">
        <v>161</v>
      </c>
      <c r="P1032" s="28">
        <v>24</v>
      </c>
      <c r="Q1032" s="13" t="s">
        <v>54</v>
      </c>
      <c r="R1032" s="13" t="s">
        <v>28</v>
      </c>
      <c r="S1032" s="13"/>
      <c r="T1032" s="13"/>
      <c r="U1032" s="13" t="s">
        <v>1674</v>
      </c>
      <c r="V1032" s="13" t="s">
        <v>1674</v>
      </c>
      <c r="W1032" s="59">
        <f>+J1032/$W$2</f>
        <v>7.9225697252011947E-5</v>
      </c>
    </row>
    <row r="1033" spans="1:29">
      <c r="A1033" s="13" t="s">
        <v>284</v>
      </c>
      <c r="B1033" s="13" t="s">
        <v>404</v>
      </c>
      <c r="C1033" s="138">
        <v>46309</v>
      </c>
      <c r="D1033" s="138" t="s">
        <v>424</v>
      </c>
      <c r="E1033" s="28">
        <v>0.96688742000000005</v>
      </c>
      <c r="F1033" s="13"/>
      <c r="G1033" s="18">
        <v>40000000</v>
      </c>
      <c r="H1033" s="18">
        <v>38675496.789999999</v>
      </c>
      <c r="I1033" s="18">
        <v>40000000</v>
      </c>
      <c r="J1033" s="18">
        <v>38675496.789999999</v>
      </c>
      <c r="K1033" s="15">
        <v>67620341</v>
      </c>
      <c r="L1033" s="13" t="s">
        <v>102</v>
      </c>
      <c r="M1033" s="13" t="s">
        <v>103</v>
      </c>
      <c r="N1033" s="138" t="s">
        <v>338</v>
      </c>
      <c r="O1033" s="138" t="s">
        <v>338</v>
      </c>
      <c r="P1033" s="28">
        <v>25</v>
      </c>
      <c r="Q1033" s="13" t="s">
        <v>54</v>
      </c>
      <c r="R1033" s="13" t="s">
        <v>28</v>
      </c>
      <c r="S1033" s="13"/>
      <c r="T1033" s="13"/>
      <c r="U1033" s="13" t="s">
        <v>1002</v>
      </c>
      <c r="V1033" s="13" t="s">
        <v>1002</v>
      </c>
      <c r="W1033" s="59">
        <f>+J1033/$W$2</f>
        <v>6.3296604015642885E-4</v>
      </c>
      <c r="AC1033" s="56"/>
    </row>
    <row r="1034" spans="1:29">
      <c r="A1034" s="13" t="s">
        <v>410</v>
      </c>
      <c r="B1034" s="13" t="s">
        <v>404</v>
      </c>
      <c r="C1034" s="138">
        <v>46309</v>
      </c>
      <c r="D1034" s="138" t="s">
        <v>424</v>
      </c>
      <c r="E1034" s="28">
        <v>0.95052088000000001</v>
      </c>
      <c r="F1034" s="13"/>
      <c r="G1034" s="18">
        <v>42000000</v>
      </c>
      <c r="H1034" s="18">
        <v>39921877.130000003</v>
      </c>
      <c r="I1034" s="18">
        <v>42000000</v>
      </c>
      <c r="J1034" s="18">
        <v>39921877.130000003</v>
      </c>
      <c r="K1034" s="15">
        <v>160222</v>
      </c>
      <c r="L1034" s="13" t="s">
        <v>102</v>
      </c>
      <c r="M1034" s="13" t="s">
        <v>103</v>
      </c>
      <c r="N1034" s="138" t="s">
        <v>639</v>
      </c>
      <c r="O1034" s="138" t="s">
        <v>639</v>
      </c>
      <c r="P1034" s="28">
        <v>38</v>
      </c>
      <c r="Q1034" s="13" t="s">
        <v>54</v>
      </c>
      <c r="R1034" s="13" t="s">
        <v>28</v>
      </c>
      <c r="S1034" s="13"/>
      <c r="T1034" s="13"/>
      <c r="U1034" s="13" t="s">
        <v>2133</v>
      </c>
      <c r="V1034" s="13" t="s">
        <v>2133</v>
      </c>
      <c r="W1034" s="59">
        <f>+J1034/$W$2</f>
        <v>6.5336439295903871E-4</v>
      </c>
    </row>
    <row r="1035" spans="1:29">
      <c r="A1035" s="13" t="s">
        <v>410</v>
      </c>
      <c r="B1035" s="13" t="s">
        <v>404</v>
      </c>
      <c r="C1035" s="138">
        <v>46309</v>
      </c>
      <c r="D1035" s="138" t="s">
        <v>424</v>
      </c>
      <c r="E1035" s="28">
        <v>0.95052093000000004</v>
      </c>
      <c r="F1035" s="13"/>
      <c r="G1035" s="18">
        <v>42000000</v>
      </c>
      <c r="H1035" s="18">
        <v>39921878.899999999</v>
      </c>
      <c r="I1035" s="18">
        <v>42000000</v>
      </c>
      <c r="J1035" s="18">
        <v>39921878.899999999</v>
      </c>
      <c r="K1035" s="15">
        <v>160220</v>
      </c>
      <c r="L1035" s="13" t="s">
        <v>102</v>
      </c>
      <c r="M1035" s="13" t="s">
        <v>103</v>
      </c>
      <c r="N1035" s="138" t="s">
        <v>371</v>
      </c>
      <c r="O1035" s="138" t="s">
        <v>371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2106</v>
      </c>
      <c r="V1035" s="13" t="s">
        <v>2106</v>
      </c>
      <c r="W1035" s="59">
        <f>+J1035/$W$2</f>
        <v>6.5336442192698958E-4</v>
      </c>
    </row>
    <row r="1036" spans="1:29">
      <c r="A1036" s="13" t="s">
        <v>410</v>
      </c>
      <c r="B1036" s="13" t="s">
        <v>404</v>
      </c>
      <c r="C1036" s="138">
        <v>46309</v>
      </c>
      <c r="D1036" s="138" t="s">
        <v>424</v>
      </c>
      <c r="E1036" s="28">
        <v>0.95052093000000004</v>
      </c>
      <c r="F1036" s="13"/>
      <c r="G1036" s="18">
        <v>42000000</v>
      </c>
      <c r="H1036" s="18">
        <v>39921878.899999999</v>
      </c>
      <c r="I1036" s="18">
        <v>42000000</v>
      </c>
      <c r="J1036" s="18">
        <v>39921878.899999999</v>
      </c>
      <c r="K1036" s="15">
        <v>160221</v>
      </c>
      <c r="L1036" s="13" t="s">
        <v>102</v>
      </c>
      <c r="M1036" s="13" t="s">
        <v>103</v>
      </c>
      <c r="N1036" s="138" t="s">
        <v>371</v>
      </c>
      <c r="O1036" s="138" t="s">
        <v>371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2107</v>
      </c>
      <c r="V1036" s="13" t="s">
        <v>2107</v>
      </c>
      <c r="W1036" s="59">
        <f>+J1036/$W$2</f>
        <v>6.5336442192698958E-4</v>
      </c>
    </row>
    <row r="1037" spans="1:29">
      <c r="A1037" s="13" t="s">
        <v>565</v>
      </c>
      <c r="B1037" s="13" t="s">
        <v>404</v>
      </c>
      <c r="C1037" s="138">
        <v>46309</v>
      </c>
      <c r="D1037" s="138" t="s">
        <v>424</v>
      </c>
      <c r="E1037" s="28">
        <v>0.96306069000000005</v>
      </c>
      <c r="F1037" s="13"/>
      <c r="G1037" s="18">
        <v>10950000</v>
      </c>
      <c r="H1037" s="18">
        <v>10545514.539999999</v>
      </c>
      <c r="I1037" s="18">
        <v>10950000</v>
      </c>
      <c r="J1037" s="18">
        <v>10545514.539999999</v>
      </c>
      <c r="K1037" s="15">
        <v>90000870</v>
      </c>
      <c r="L1037" s="13" t="s">
        <v>102</v>
      </c>
      <c r="M1037" s="13" t="s">
        <v>103</v>
      </c>
      <c r="N1037" s="138" t="s">
        <v>535</v>
      </c>
      <c r="O1037" s="138" t="s">
        <v>535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2329</v>
      </c>
      <c r="V1037" s="13" t="s">
        <v>2329</v>
      </c>
      <c r="W1037" s="59">
        <f>+J1037/$W$2</f>
        <v>1.7258867070381705E-4</v>
      </c>
      <c r="AC1037" s="56"/>
    </row>
    <row r="1038" spans="1:29">
      <c r="A1038" s="13" t="s">
        <v>466</v>
      </c>
      <c r="B1038" s="13" t="s">
        <v>404</v>
      </c>
      <c r="C1038" s="138">
        <v>46309</v>
      </c>
      <c r="D1038" s="138" t="s">
        <v>424</v>
      </c>
      <c r="E1038" s="28">
        <v>0.96306068</v>
      </c>
      <c r="F1038" s="13"/>
      <c r="G1038" s="18">
        <v>2500000</v>
      </c>
      <c r="H1038" s="18">
        <v>2407651.71</v>
      </c>
      <c r="I1038" s="18">
        <v>2500000</v>
      </c>
      <c r="J1038" s="18">
        <v>2407651.71</v>
      </c>
      <c r="K1038" s="15">
        <v>90031814</v>
      </c>
      <c r="L1038" s="13" t="s">
        <v>102</v>
      </c>
      <c r="M1038" s="13" t="s">
        <v>103</v>
      </c>
      <c r="N1038" s="138" t="s">
        <v>289</v>
      </c>
      <c r="O1038" s="138" t="s">
        <v>289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582</v>
      </c>
      <c r="V1038" s="13" t="s">
        <v>582</v>
      </c>
      <c r="W1038" s="59">
        <f>+J1038/$W$2</f>
        <v>3.9403805909187253E-5</v>
      </c>
    </row>
    <row r="1039" spans="1:29">
      <c r="A1039" s="13" t="s">
        <v>466</v>
      </c>
      <c r="B1039" s="13" t="s">
        <v>404</v>
      </c>
      <c r="C1039" s="138">
        <v>46309</v>
      </c>
      <c r="D1039" s="138" t="s">
        <v>424</v>
      </c>
      <c r="E1039" s="28">
        <v>0.96306073999999997</v>
      </c>
      <c r="F1039" s="13"/>
      <c r="G1039" s="18">
        <v>25000000</v>
      </c>
      <c r="H1039" s="18">
        <v>24076518.579999998</v>
      </c>
      <c r="I1039" s="18">
        <v>25000000</v>
      </c>
      <c r="J1039" s="18">
        <v>24076518.579999998</v>
      </c>
      <c r="K1039" s="15">
        <v>360570</v>
      </c>
      <c r="L1039" s="13" t="s">
        <v>102</v>
      </c>
      <c r="M1039" s="13" t="s">
        <v>103</v>
      </c>
      <c r="N1039" s="138" t="s">
        <v>308</v>
      </c>
      <c r="O1039" s="138" t="s">
        <v>308</v>
      </c>
      <c r="P1039" s="28">
        <v>28</v>
      </c>
      <c r="Q1039" s="13" t="s">
        <v>54</v>
      </c>
      <c r="R1039" s="13" t="s">
        <v>28</v>
      </c>
      <c r="S1039" s="13"/>
      <c r="T1039" s="13"/>
      <c r="U1039" s="13" t="s">
        <v>543</v>
      </c>
      <c r="V1039" s="13" t="s">
        <v>543</v>
      </c>
      <c r="W1039" s="59">
        <f>+J1039/$W$2</f>
        <v>3.9403808331366194E-4</v>
      </c>
    </row>
    <row r="1040" spans="1:29">
      <c r="A1040" s="13" t="s">
        <v>285</v>
      </c>
      <c r="B1040" s="13" t="s">
        <v>404</v>
      </c>
      <c r="C1040" s="138">
        <v>46309</v>
      </c>
      <c r="D1040" s="138" t="s">
        <v>424</v>
      </c>
      <c r="E1040" s="28">
        <v>0.96688748000000002</v>
      </c>
      <c r="F1040" s="13"/>
      <c r="G1040" s="18">
        <v>50000000</v>
      </c>
      <c r="H1040" s="18">
        <v>48344373.869999997</v>
      </c>
      <c r="I1040" s="18">
        <v>50000000</v>
      </c>
      <c r="J1040" s="18">
        <v>48344373.869999997</v>
      </c>
      <c r="K1040" s="15">
        <v>14032588</v>
      </c>
      <c r="L1040" s="13" t="s">
        <v>102</v>
      </c>
      <c r="M1040" s="13" t="s">
        <v>103</v>
      </c>
      <c r="N1040" s="138" t="s">
        <v>383</v>
      </c>
      <c r="O1040" s="138" t="s">
        <v>383</v>
      </c>
      <c r="P1040" s="28">
        <v>25</v>
      </c>
      <c r="Q1040" s="13" t="s">
        <v>54</v>
      </c>
      <c r="R1040" s="13" t="s">
        <v>28</v>
      </c>
      <c r="S1040" s="13"/>
      <c r="T1040" s="13"/>
      <c r="U1040" s="13" t="s">
        <v>1606</v>
      </c>
      <c r="V1040" s="13" t="s">
        <v>1606</v>
      </c>
      <c r="W1040" s="59">
        <f>+J1040/$W$2</f>
        <v>7.9120759737074417E-4</v>
      </c>
    </row>
    <row r="1041" spans="1:29">
      <c r="A1041" s="13" t="s">
        <v>285</v>
      </c>
      <c r="B1041" s="13" t="s">
        <v>404</v>
      </c>
      <c r="C1041" s="138">
        <v>46309</v>
      </c>
      <c r="D1041" s="138" t="s">
        <v>424</v>
      </c>
      <c r="E1041" s="28">
        <v>0.96688748000000002</v>
      </c>
      <c r="F1041" s="13"/>
      <c r="G1041" s="18">
        <v>8650000</v>
      </c>
      <c r="H1041" s="18">
        <v>8363576.6699999999</v>
      </c>
      <c r="I1041" s="18">
        <v>8650000</v>
      </c>
      <c r="J1041" s="18">
        <v>8363576.6699999999</v>
      </c>
      <c r="K1041" s="15">
        <v>34386</v>
      </c>
      <c r="L1041" s="13" t="s">
        <v>102</v>
      </c>
      <c r="M1041" s="13" t="s">
        <v>103</v>
      </c>
      <c r="N1041" s="138" t="s">
        <v>383</v>
      </c>
      <c r="O1041" s="138" t="s">
        <v>383</v>
      </c>
      <c r="P1041" s="28">
        <v>25</v>
      </c>
      <c r="Q1041" s="13" t="s">
        <v>54</v>
      </c>
      <c r="R1041" s="13" t="s">
        <v>28</v>
      </c>
      <c r="S1041" s="13"/>
      <c r="T1041" s="13"/>
      <c r="U1041" s="13" t="s">
        <v>1628</v>
      </c>
      <c r="V1041" s="13" t="s">
        <v>1628</v>
      </c>
      <c r="W1041" s="59">
        <f>+J1041/$W$2</f>
        <v>1.3687891418949738E-4</v>
      </c>
    </row>
    <row r="1042" spans="1:29">
      <c r="A1042" s="13" t="s">
        <v>285</v>
      </c>
      <c r="B1042" s="13" t="s">
        <v>404</v>
      </c>
      <c r="C1042" s="138">
        <v>46309</v>
      </c>
      <c r="D1042" s="138" t="s">
        <v>424</v>
      </c>
      <c r="E1042" s="28">
        <v>0.964333</v>
      </c>
      <c r="F1042" s="13"/>
      <c r="G1042" s="18">
        <v>10000000</v>
      </c>
      <c r="H1042" s="18">
        <v>9643330.0399999991</v>
      </c>
      <c r="I1042" s="18">
        <v>10000000</v>
      </c>
      <c r="J1042" s="18">
        <v>9643330.0399999991</v>
      </c>
      <c r="K1042" s="15">
        <v>2010</v>
      </c>
      <c r="L1042" s="13" t="s">
        <v>102</v>
      </c>
      <c r="M1042" s="13" t="s">
        <v>103</v>
      </c>
      <c r="N1042" s="138" t="s">
        <v>420</v>
      </c>
      <c r="O1042" s="138" t="s">
        <v>420</v>
      </c>
      <c r="P1042" s="28">
        <v>27</v>
      </c>
      <c r="Q1042" s="13" t="s">
        <v>54</v>
      </c>
      <c r="R1042" s="13" t="s">
        <v>28</v>
      </c>
      <c r="S1042" s="13"/>
      <c r="T1042" s="13"/>
      <c r="U1042" s="13" t="s">
        <v>1304</v>
      </c>
      <c r="V1042" s="13" t="s">
        <v>1304</v>
      </c>
      <c r="W1042" s="59">
        <f>+J1042/$W$2</f>
        <v>1.5782345246871063E-4</v>
      </c>
    </row>
    <row r="1043" spans="1:29">
      <c r="A1043" s="13" t="s">
        <v>285</v>
      </c>
      <c r="B1043" s="13" t="s">
        <v>404</v>
      </c>
      <c r="C1043" s="138">
        <v>46309</v>
      </c>
      <c r="D1043" s="138" t="s">
        <v>424</v>
      </c>
      <c r="E1043" s="28">
        <v>0.96052638000000001</v>
      </c>
      <c r="F1043" s="13"/>
      <c r="G1043" s="18">
        <v>5000000</v>
      </c>
      <c r="H1043" s="18">
        <v>4802631.9000000004</v>
      </c>
      <c r="I1043" s="18">
        <v>5000000</v>
      </c>
      <c r="J1043" s="18">
        <v>4802631.9000000004</v>
      </c>
      <c r="K1043" s="15">
        <v>8777</v>
      </c>
      <c r="L1043" s="13" t="s">
        <v>102</v>
      </c>
      <c r="M1043" s="13" t="s">
        <v>103</v>
      </c>
      <c r="N1043" s="138" t="s">
        <v>342</v>
      </c>
      <c r="O1043" s="138" t="s">
        <v>342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2383</v>
      </c>
      <c r="V1043" s="13" t="s">
        <v>2383</v>
      </c>
      <c r="W1043" s="59">
        <f>+J1043/$W$2</f>
        <v>7.8600228785114117E-5</v>
      </c>
    </row>
    <row r="1044" spans="1:29">
      <c r="A1044" s="13" t="s">
        <v>405</v>
      </c>
      <c r="B1044" s="13" t="s">
        <v>404</v>
      </c>
      <c r="C1044" s="138">
        <v>46309</v>
      </c>
      <c r="D1044" s="138" t="s">
        <v>424</v>
      </c>
      <c r="E1044" s="28">
        <v>0.96052634000000003</v>
      </c>
      <c r="F1044" s="13"/>
      <c r="G1044" s="18">
        <v>2500000</v>
      </c>
      <c r="H1044" s="18">
        <v>2401315.85</v>
      </c>
      <c r="I1044" s="18">
        <v>2500000</v>
      </c>
      <c r="J1044" s="18">
        <v>2401315.85</v>
      </c>
      <c r="K1044" s="15">
        <v>156</v>
      </c>
      <c r="L1044" s="13" t="s">
        <v>102</v>
      </c>
      <c r="M1044" s="13" t="s">
        <v>103</v>
      </c>
      <c r="N1044" s="138" t="s">
        <v>484</v>
      </c>
      <c r="O1044" s="138" t="s">
        <v>484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2082</v>
      </c>
      <c r="V1044" s="13" t="s">
        <v>2082</v>
      </c>
      <c r="W1044" s="59">
        <f>+J1044/$W$2</f>
        <v>3.9300112755949658E-5</v>
      </c>
    </row>
    <row r="1045" spans="1:29">
      <c r="A1045" s="13" t="s">
        <v>405</v>
      </c>
      <c r="B1045" s="13" t="s">
        <v>404</v>
      </c>
      <c r="C1045" s="138">
        <v>46309</v>
      </c>
      <c r="D1045" s="138" t="s">
        <v>424</v>
      </c>
      <c r="E1045" s="28">
        <v>0.95800534000000004</v>
      </c>
      <c r="F1045" s="13"/>
      <c r="G1045" s="18">
        <v>3000000</v>
      </c>
      <c r="H1045" s="18">
        <v>2874016.01</v>
      </c>
      <c r="I1045" s="18">
        <v>3000000</v>
      </c>
      <c r="J1045" s="18">
        <v>2874016.01</v>
      </c>
      <c r="K1045" s="15">
        <v>1039</v>
      </c>
      <c r="L1045" s="13" t="s">
        <v>102</v>
      </c>
      <c r="M1045" s="13" t="s">
        <v>103</v>
      </c>
      <c r="N1045" s="138" t="s">
        <v>424</v>
      </c>
      <c r="O1045" s="138" t="s">
        <v>424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2612</v>
      </c>
      <c r="V1045" s="13" t="s">
        <v>2612</v>
      </c>
      <c r="W1045" s="59">
        <f>+J1045/$W$2</f>
        <v>4.7036358526265725E-5</v>
      </c>
    </row>
    <row r="1046" spans="1:29">
      <c r="A1046" s="13" t="s">
        <v>413</v>
      </c>
      <c r="B1046" s="13" t="s">
        <v>404</v>
      </c>
      <c r="C1046" s="138">
        <v>46309</v>
      </c>
      <c r="D1046" s="138" t="s">
        <v>424</v>
      </c>
      <c r="E1046" s="28">
        <v>0.95800525000000003</v>
      </c>
      <c r="F1046" s="13"/>
      <c r="G1046" s="18">
        <v>14479899.68</v>
      </c>
      <c r="H1046" s="18">
        <v>13871819.960000001</v>
      </c>
      <c r="I1046" s="18">
        <v>14479899.68</v>
      </c>
      <c r="J1046" s="18">
        <v>13871819.960000001</v>
      </c>
      <c r="K1046" s="15">
        <v>9933004</v>
      </c>
      <c r="L1046" s="13" t="s">
        <v>102</v>
      </c>
      <c r="M1046" s="13" t="s">
        <v>103</v>
      </c>
      <c r="N1046" s="138" t="s">
        <v>338</v>
      </c>
      <c r="O1046" s="138" t="s">
        <v>338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1007</v>
      </c>
      <c r="V1046" s="13" t="s">
        <v>1007</v>
      </c>
      <c r="W1046" s="59">
        <f>+J1046/$W$2</f>
        <v>2.2702723115671482E-4</v>
      </c>
    </row>
    <row r="1047" spans="1:29">
      <c r="A1047" s="13" t="s">
        <v>1416</v>
      </c>
      <c r="B1047" s="13" t="s">
        <v>404</v>
      </c>
      <c r="C1047" s="138">
        <v>46309</v>
      </c>
      <c r="D1047" s="138" t="s">
        <v>424</v>
      </c>
      <c r="E1047" s="28">
        <v>0.95800538000000002</v>
      </c>
      <c r="F1047" s="13"/>
      <c r="G1047" s="18">
        <v>3023662.75</v>
      </c>
      <c r="H1047" s="18">
        <v>2896685.18</v>
      </c>
      <c r="I1047" s="18">
        <v>3023662.75</v>
      </c>
      <c r="J1047" s="18">
        <v>2896685.18</v>
      </c>
      <c r="K1047" s="15">
        <v>2527</v>
      </c>
      <c r="L1047" s="13" t="s">
        <v>102</v>
      </c>
      <c r="M1047" s="13" t="s">
        <v>103</v>
      </c>
      <c r="N1047" s="138" t="s">
        <v>421</v>
      </c>
      <c r="O1047" s="138" t="s">
        <v>421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1376</v>
      </c>
      <c r="V1047" s="13" t="s">
        <v>1376</v>
      </c>
      <c r="W1047" s="59">
        <f>+J1047/$W$2</f>
        <v>4.7407363838658849E-5</v>
      </c>
      <c r="AC1047"/>
    </row>
    <row r="1048" spans="1:29">
      <c r="A1048" s="13" t="s">
        <v>356</v>
      </c>
      <c r="B1048" s="13" t="s">
        <v>404</v>
      </c>
      <c r="C1048" s="138">
        <v>46309</v>
      </c>
      <c r="D1048" s="138" t="s">
        <v>424</v>
      </c>
      <c r="E1048" s="28">
        <v>0.95800538000000002</v>
      </c>
      <c r="F1048" s="13"/>
      <c r="G1048" s="18">
        <v>15000000</v>
      </c>
      <c r="H1048" s="18">
        <v>14370080.640000001</v>
      </c>
      <c r="I1048" s="18">
        <v>15000000</v>
      </c>
      <c r="J1048" s="18">
        <v>14370080.640000001</v>
      </c>
      <c r="K1048" s="15">
        <v>13953461</v>
      </c>
      <c r="L1048" s="13" t="s">
        <v>102</v>
      </c>
      <c r="M1048" s="13" t="s">
        <v>103</v>
      </c>
      <c r="N1048" s="138" t="s">
        <v>421</v>
      </c>
      <c r="O1048" s="138" t="s">
        <v>421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1356</v>
      </c>
      <c r="V1048" s="13" t="s">
        <v>1356</v>
      </c>
      <c r="W1048" s="59">
        <f>+J1048/$W$2</f>
        <v>2.3518180228731229E-4</v>
      </c>
    </row>
    <row r="1049" spans="1:29">
      <c r="A1049" s="13" t="s">
        <v>356</v>
      </c>
      <c r="B1049" s="13" t="s">
        <v>404</v>
      </c>
      <c r="C1049" s="138">
        <v>46309</v>
      </c>
      <c r="D1049" s="138" t="s">
        <v>424</v>
      </c>
      <c r="E1049" s="28">
        <v>0.95800532999999999</v>
      </c>
      <c r="F1049" s="13"/>
      <c r="G1049" s="18">
        <v>40000000</v>
      </c>
      <c r="H1049" s="18">
        <v>38320213.090000004</v>
      </c>
      <c r="I1049" s="18">
        <v>40000000</v>
      </c>
      <c r="J1049" s="18">
        <v>38320213.090000004</v>
      </c>
      <c r="K1049" s="15">
        <v>13795908</v>
      </c>
      <c r="L1049" s="13" t="s">
        <v>102</v>
      </c>
      <c r="M1049" s="13" t="s">
        <v>103</v>
      </c>
      <c r="N1049" s="138" t="s">
        <v>390</v>
      </c>
      <c r="O1049" s="138" t="s">
        <v>390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1105</v>
      </c>
      <c r="V1049" s="13" t="s">
        <v>1105</v>
      </c>
      <c r="W1049" s="59">
        <f>+J1049/$W$2</f>
        <v>6.2715144085232193E-4</v>
      </c>
    </row>
    <row r="1050" spans="1:29">
      <c r="A1050" s="13" t="s">
        <v>2217</v>
      </c>
      <c r="B1050" s="13" t="s">
        <v>404</v>
      </c>
      <c r="C1050" s="138">
        <v>46309</v>
      </c>
      <c r="D1050" s="138" t="s">
        <v>424</v>
      </c>
      <c r="E1050" s="28">
        <v>0.95674972000000003</v>
      </c>
      <c r="F1050" s="13"/>
      <c r="G1050" s="18">
        <v>47215422</v>
      </c>
      <c r="H1050" s="18">
        <v>45173341.659999996</v>
      </c>
      <c r="I1050" s="18">
        <v>47215422</v>
      </c>
      <c r="J1050" s="18">
        <v>45173341.659999996</v>
      </c>
      <c r="K1050" s="15">
        <v>396</v>
      </c>
      <c r="L1050" s="13" t="s">
        <v>102</v>
      </c>
      <c r="M1050" s="13" t="s">
        <v>103</v>
      </c>
      <c r="N1050" s="138" t="s">
        <v>639</v>
      </c>
      <c r="O1050" s="138" t="s">
        <v>639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2142</v>
      </c>
      <c r="V1050" s="13" t="s">
        <v>2142</v>
      </c>
      <c r="W1050" s="59">
        <f>+J1050/$W$2</f>
        <v>7.3931024975370813E-4</v>
      </c>
      <c r="AC1050" s="56"/>
    </row>
    <row r="1051" spans="1:29">
      <c r="A1051" s="13" t="s">
        <v>2220</v>
      </c>
      <c r="B1051" s="13" t="s">
        <v>404</v>
      </c>
      <c r="C1051" s="138">
        <v>46309</v>
      </c>
      <c r="D1051" s="138" t="s">
        <v>424</v>
      </c>
      <c r="E1051" s="28">
        <v>0.95800534000000004</v>
      </c>
      <c r="F1051" s="13"/>
      <c r="G1051" s="18">
        <v>6000000</v>
      </c>
      <c r="H1051" s="18">
        <v>5748032.0300000003</v>
      </c>
      <c r="I1051" s="18">
        <v>6000000</v>
      </c>
      <c r="J1051" s="18">
        <v>5748032.0300000003</v>
      </c>
      <c r="K1051" s="15">
        <v>90001653</v>
      </c>
      <c r="L1051" s="13" t="s">
        <v>102</v>
      </c>
      <c r="M1051" s="13" t="s">
        <v>103</v>
      </c>
      <c r="N1051" s="138" t="s">
        <v>424</v>
      </c>
      <c r="O1051" s="138" t="s">
        <v>424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2656</v>
      </c>
      <c r="V1051" s="13" t="s">
        <v>2656</v>
      </c>
      <c r="W1051" s="59">
        <f>+J1051/$W$2</f>
        <v>9.4072717216192201E-5</v>
      </c>
    </row>
    <row r="1052" spans="1:29">
      <c r="A1052" s="13" t="s">
        <v>2527</v>
      </c>
      <c r="B1052" s="13" t="s">
        <v>404</v>
      </c>
      <c r="C1052" s="138">
        <v>46309</v>
      </c>
      <c r="D1052" s="138" t="s">
        <v>424</v>
      </c>
      <c r="E1052" s="28">
        <v>0.95800549999999995</v>
      </c>
      <c r="F1052" s="13"/>
      <c r="G1052" s="18">
        <v>18239769.260000002</v>
      </c>
      <c r="H1052" s="18">
        <v>17473799.239999998</v>
      </c>
      <c r="I1052" s="18">
        <v>18239769.260000002</v>
      </c>
      <c r="J1052" s="18">
        <v>17473799.239999998</v>
      </c>
      <c r="K1052" s="15">
        <v>3494369</v>
      </c>
      <c r="L1052" s="13" t="s">
        <v>102</v>
      </c>
      <c r="M1052" s="13" t="s">
        <v>103</v>
      </c>
      <c r="N1052" s="138" t="s">
        <v>463</v>
      </c>
      <c r="O1052" s="138" t="s">
        <v>463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2523</v>
      </c>
      <c r="V1052" s="13" t="s">
        <v>2523</v>
      </c>
      <c r="W1052" s="59">
        <f>+J1052/$W$2</f>
        <v>2.859774903858763E-4</v>
      </c>
    </row>
    <row r="1053" spans="1:29">
      <c r="A1053" s="13" t="s">
        <v>409</v>
      </c>
      <c r="B1053" s="13" t="s">
        <v>404</v>
      </c>
      <c r="C1053" s="138">
        <v>46309</v>
      </c>
      <c r="D1053" s="138" t="s">
        <v>424</v>
      </c>
      <c r="E1053" s="28">
        <v>0.95674967</v>
      </c>
      <c r="F1053" s="13"/>
      <c r="G1053" s="18">
        <v>12500000</v>
      </c>
      <c r="H1053" s="18">
        <v>11959370.9</v>
      </c>
      <c r="I1053" s="18">
        <v>12500000</v>
      </c>
      <c r="J1053" s="18">
        <v>11959370.9</v>
      </c>
      <c r="K1053" s="15">
        <v>1363</v>
      </c>
      <c r="L1053" s="13" t="s">
        <v>102</v>
      </c>
      <c r="M1053" s="13" t="s">
        <v>103</v>
      </c>
      <c r="N1053" s="138" t="s">
        <v>373</v>
      </c>
      <c r="O1053" s="138" t="s">
        <v>373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779</v>
      </c>
      <c r="V1053" s="13" t="s">
        <v>779</v>
      </c>
      <c r="W1053" s="59">
        <f>+J1053/$W$2</f>
        <v>1.9572794843303231E-4</v>
      </c>
    </row>
    <row r="1054" spans="1:29">
      <c r="A1054" s="13" t="s">
        <v>174</v>
      </c>
      <c r="B1054" s="13" t="s">
        <v>404</v>
      </c>
      <c r="C1054" s="138">
        <v>46309</v>
      </c>
      <c r="D1054" s="138" t="s">
        <v>424</v>
      </c>
      <c r="E1054" s="28">
        <v>0.95424841000000005</v>
      </c>
      <c r="F1054" s="13"/>
      <c r="G1054" s="18">
        <v>250000000</v>
      </c>
      <c r="H1054" s="18">
        <v>238562103.34999999</v>
      </c>
      <c r="I1054" s="18">
        <v>250000000</v>
      </c>
      <c r="J1054" s="18">
        <v>238562103.34999999</v>
      </c>
      <c r="K1054" s="15">
        <v>70400475</v>
      </c>
      <c r="L1054" s="13" t="s">
        <v>102</v>
      </c>
      <c r="M1054" s="13" t="s">
        <v>103</v>
      </c>
      <c r="N1054" s="138" t="s">
        <v>639</v>
      </c>
      <c r="O1054" s="138" t="s">
        <v>639</v>
      </c>
      <c r="P1054" s="28">
        <v>35</v>
      </c>
      <c r="Q1054" s="13" t="s">
        <v>54</v>
      </c>
      <c r="R1054" s="13" t="s">
        <v>28</v>
      </c>
      <c r="S1054" s="13"/>
      <c r="T1054" s="13"/>
      <c r="U1054" s="13" t="s">
        <v>2138</v>
      </c>
      <c r="V1054" s="13" t="s">
        <v>2138</v>
      </c>
      <c r="W1054" s="59">
        <f>+J1054/$W$2</f>
        <v>3.9043250228625757E-3</v>
      </c>
      <c r="AC1054" s="56"/>
    </row>
    <row r="1055" spans="1:29">
      <c r="A1055" s="13" t="s">
        <v>2043</v>
      </c>
      <c r="B1055" s="13" t="s">
        <v>404</v>
      </c>
      <c r="C1055" s="138">
        <v>46309</v>
      </c>
      <c r="D1055" s="138" t="s">
        <v>424</v>
      </c>
      <c r="E1055" s="28">
        <v>0.96306084000000003</v>
      </c>
      <c r="F1055" s="13"/>
      <c r="G1055" s="18">
        <v>43906518.189999998</v>
      </c>
      <c r="H1055" s="18">
        <v>42284648.219999999</v>
      </c>
      <c r="I1055" s="18">
        <v>43906518.189999998</v>
      </c>
      <c r="J1055" s="18">
        <v>42284648.219999999</v>
      </c>
      <c r="K1055" s="15">
        <v>40292985</v>
      </c>
      <c r="L1055" s="13" t="s">
        <v>102</v>
      </c>
      <c r="M1055" s="13" t="s">
        <v>103</v>
      </c>
      <c r="N1055" s="138" t="s">
        <v>441</v>
      </c>
      <c r="O1055" s="138" t="s">
        <v>441</v>
      </c>
      <c r="P1055" s="28">
        <v>28</v>
      </c>
      <c r="Q1055" s="13" t="s">
        <v>54</v>
      </c>
      <c r="R1055" s="13" t="s">
        <v>28</v>
      </c>
      <c r="S1055" s="13"/>
      <c r="T1055" s="13"/>
      <c r="U1055" s="13" t="s">
        <v>2311</v>
      </c>
      <c r="V1055" s="13" t="s">
        <v>2311</v>
      </c>
      <c r="W1055" s="59">
        <f>+J1055/$W$2</f>
        <v>6.9203367932280384E-4</v>
      </c>
    </row>
    <row r="1056" spans="1:29">
      <c r="A1056" s="13" t="s">
        <v>2043</v>
      </c>
      <c r="B1056" s="13" t="s">
        <v>404</v>
      </c>
      <c r="C1056" s="138">
        <v>46309</v>
      </c>
      <c r="D1056" s="138" t="s">
        <v>424</v>
      </c>
      <c r="E1056" s="28">
        <v>0.96306084000000003</v>
      </c>
      <c r="F1056" s="13"/>
      <c r="G1056" s="18">
        <v>42705929.289999999</v>
      </c>
      <c r="H1056" s="18">
        <v>41128408.07</v>
      </c>
      <c r="I1056" s="18">
        <v>42705929.289999999</v>
      </c>
      <c r="J1056" s="18">
        <v>41128408.07</v>
      </c>
      <c r="K1056" s="15">
        <v>40293026</v>
      </c>
      <c r="L1056" s="13" t="s">
        <v>102</v>
      </c>
      <c r="M1056" s="13" t="s">
        <v>103</v>
      </c>
      <c r="N1056" s="138" t="s">
        <v>441</v>
      </c>
      <c r="O1056" s="138" t="s">
        <v>441</v>
      </c>
      <c r="P1056" s="28">
        <v>28</v>
      </c>
      <c r="Q1056" s="13" t="s">
        <v>54</v>
      </c>
      <c r="R1056" s="13" t="s">
        <v>28</v>
      </c>
      <c r="S1056" s="13"/>
      <c r="T1056" s="13"/>
      <c r="U1056" s="13" t="s">
        <v>2312</v>
      </c>
      <c r="V1056" s="13" t="s">
        <v>2312</v>
      </c>
      <c r="W1056" s="59">
        <f>+J1056/$W$2</f>
        <v>6.73110567534758E-4</v>
      </c>
    </row>
    <row r="1057" spans="1:29">
      <c r="A1057" s="13" t="s">
        <v>2043</v>
      </c>
      <c r="B1057" s="13" t="s">
        <v>404</v>
      </c>
      <c r="C1057" s="138">
        <v>46309</v>
      </c>
      <c r="D1057" s="138" t="s">
        <v>424</v>
      </c>
      <c r="E1057" s="28">
        <v>0.96306084000000003</v>
      </c>
      <c r="F1057" s="13"/>
      <c r="G1057" s="18">
        <v>43306223.729999997</v>
      </c>
      <c r="H1057" s="18">
        <v>41706528.140000001</v>
      </c>
      <c r="I1057" s="18">
        <v>43306223.729999997</v>
      </c>
      <c r="J1057" s="18">
        <v>41706528.140000001</v>
      </c>
      <c r="K1057" s="15">
        <v>40293006</v>
      </c>
      <c r="L1057" s="13" t="s">
        <v>102</v>
      </c>
      <c r="M1057" s="13" t="s">
        <v>103</v>
      </c>
      <c r="N1057" s="138" t="s">
        <v>441</v>
      </c>
      <c r="O1057" s="138" t="s">
        <v>441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2313</v>
      </c>
      <c r="V1057" s="13" t="s">
        <v>2313</v>
      </c>
      <c r="W1057" s="59">
        <f>+J1057/$W$2</f>
        <v>6.825721233469506E-4</v>
      </c>
    </row>
    <row r="1058" spans="1:29">
      <c r="A1058" s="13" t="s">
        <v>987</v>
      </c>
      <c r="B1058" s="13" t="s">
        <v>404</v>
      </c>
      <c r="C1058" s="138">
        <v>46309</v>
      </c>
      <c r="D1058" s="138" t="s">
        <v>424</v>
      </c>
      <c r="E1058" s="28">
        <v>0.95674972999999996</v>
      </c>
      <c r="F1058" s="13"/>
      <c r="G1058" s="18">
        <v>650000000</v>
      </c>
      <c r="H1058" s="18">
        <v>621887324.5</v>
      </c>
      <c r="I1058" s="18">
        <v>650000000</v>
      </c>
      <c r="J1058" s="18">
        <v>621887324.5</v>
      </c>
      <c r="K1058" s="15">
        <v>153163</v>
      </c>
      <c r="L1058" s="13" t="s">
        <v>102</v>
      </c>
      <c r="M1058" s="13" t="s">
        <v>103</v>
      </c>
      <c r="N1058" s="138" t="s">
        <v>354</v>
      </c>
      <c r="O1058" s="138" t="s">
        <v>354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988</v>
      </c>
      <c r="V1058" s="13" t="s">
        <v>988</v>
      </c>
      <c r="W1058" s="59">
        <f>+J1058/$W$2</f>
        <v>1.0177853935518668E-2</v>
      </c>
    </row>
    <row r="1059" spans="1:29">
      <c r="A1059" s="13" t="s">
        <v>916</v>
      </c>
      <c r="B1059" s="13" t="s">
        <v>404</v>
      </c>
      <c r="C1059" s="138">
        <v>46310</v>
      </c>
      <c r="D1059" s="138" t="s">
        <v>424</v>
      </c>
      <c r="E1059" s="28">
        <v>0.95976877000000005</v>
      </c>
      <c r="F1059" s="13"/>
      <c r="G1059" s="18">
        <v>150000000</v>
      </c>
      <c r="H1059" s="18">
        <v>143965315.47</v>
      </c>
      <c r="I1059" s="18">
        <v>150000000</v>
      </c>
      <c r="J1059" s="18">
        <v>143965315.47</v>
      </c>
      <c r="K1059" s="15">
        <v>90003993</v>
      </c>
      <c r="L1059" s="13" t="s">
        <v>102</v>
      </c>
      <c r="M1059" s="13" t="s">
        <v>103</v>
      </c>
      <c r="N1059" s="138" t="s">
        <v>484</v>
      </c>
      <c r="O1059" s="138" t="s">
        <v>484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2094</v>
      </c>
      <c r="V1059" s="13" t="s">
        <v>2094</v>
      </c>
      <c r="W1059" s="59">
        <f>+J1059/$W$2</f>
        <v>2.3561469978707148E-3</v>
      </c>
    </row>
    <row r="1060" spans="1:29">
      <c r="A1060" s="13" t="s">
        <v>232</v>
      </c>
      <c r="B1060" s="13" t="s">
        <v>404</v>
      </c>
      <c r="C1060" s="138">
        <v>46310</v>
      </c>
      <c r="D1060" s="138" t="s">
        <v>424</v>
      </c>
      <c r="E1060" s="28">
        <v>0.95592286999999998</v>
      </c>
      <c r="F1060" s="13"/>
      <c r="G1060" s="18">
        <v>25000000</v>
      </c>
      <c r="H1060" s="18">
        <v>23898071.77</v>
      </c>
      <c r="I1060" s="18">
        <v>25000000</v>
      </c>
      <c r="J1060" s="18">
        <v>23898071.77</v>
      </c>
      <c r="K1060" s="15">
        <v>475881</v>
      </c>
      <c r="L1060" s="13" t="s">
        <v>102</v>
      </c>
      <c r="M1060" s="13" t="s">
        <v>103</v>
      </c>
      <c r="N1060" s="138" t="s">
        <v>392</v>
      </c>
      <c r="O1060" s="138" t="s">
        <v>392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980</v>
      </c>
      <c r="V1060" s="13" t="s">
        <v>980</v>
      </c>
      <c r="W1060" s="59">
        <f>+J1060/$W$2</f>
        <v>3.9111760962672921E-4</v>
      </c>
    </row>
    <row r="1061" spans="1:29">
      <c r="A1061" s="13" t="s">
        <v>1849</v>
      </c>
      <c r="B1061" s="13" t="s">
        <v>404</v>
      </c>
      <c r="C1061" s="138">
        <v>46310</v>
      </c>
      <c r="D1061" s="138" t="s">
        <v>424</v>
      </c>
      <c r="E1061" s="28">
        <v>0.95464771000000004</v>
      </c>
      <c r="F1061" s="13"/>
      <c r="G1061" s="18">
        <v>10000000</v>
      </c>
      <c r="H1061" s="18">
        <v>9546477.1199999992</v>
      </c>
      <c r="I1061" s="18">
        <v>10000000</v>
      </c>
      <c r="J1061" s="18">
        <v>9546477.1199999992</v>
      </c>
      <c r="K1061" s="15">
        <v>6034857</v>
      </c>
      <c r="L1061" s="13" t="s">
        <v>102</v>
      </c>
      <c r="M1061" s="13" t="s">
        <v>103</v>
      </c>
      <c r="N1061" s="138" t="s">
        <v>386</v>
      </c>
      <c r="O1061" s="138" t="s">
        <v>386</v>
      </c>
      <c r="P1061" s="28">
        <v>34</v>
      </c>
      <c r="Q1061" s="13" t="s">
        <v>54</v>
      </c>
      <c r="R1061" s="13" t="s">
        <v>28</v>
      </c>
      <c r="S1061" s="13"/>
      <c r="T1061" s="13"/>
      <c r="U1061" s="13" t="s">
        <v>1846</v>
      </c>
      <c r="V1061" s="13" t="s">
        <v>1846</v>
      </c>
      <c r="W1061" s="59">
        <f>+J1061/$W$2</f>
        <v>1.56238350418623E-4</v>
      </c>
    </row>
    <row r="1062" spans="1:29">
      <c r="A1062" s="13" t="s">
        <v>1849</v>
      </c>
      <c r="B1062" s="13" t="s">
        <v>404</v>
      </c>
      <c r="C1062" s="138">
        <v>46310</v>
      </c>
      <c r="D1062" s="138" t="s">
        <v>424</v>
      </c>
      <c r="E1062" s="28">
        <v>0.95464771000000004</v>
      </c>
      <c r="F1062" s="13"/>
      <c r="G1062" s="18">
        <v>10000000</v>
      </c>
      <c r="H1062" s="18">
        <v>9546477.1199999992</v>
      </c>
      <c r="I1062" s="18">
        <v>10000000</v>
      </c>
      <c r="J1062" s="18">
        <v>9546477.1199999992</v>
      </c>
      <c r="K1062" s="15">
        <v>6034858</v>
      </c>
      <c r="L1062" s="13" t="s">
        <v>102</v>
      </c>
      <c r="M1062" s="13" t="s">
        <v>103</v>
      </c>
      <c r="N1062" s="138" t="s">
        <v>386</v>
      </c>
      <c r="O1062" s="138" t="s">
        <v>386</v>
      </c>
      <c r="P1062" s="28">
        <v>34</v>
      </c>
      <c r="Q1062" s="13" t="s">
        <v>54</v>
      </c>
      <c r="R1062" s="13" t="s">
        <v>28</v>
      </c>
      <c r="S1062" s="13"/>
      <c r="T1062" s="13"/>
      <c r="U1062" s="13" t="s">
        <v>1847</v>
      </c>
      <c r="V1062" s="13" t="s">
        <v>1847</v>
      </c>
      <c r="W1062" s="59">
        <f>+J1062/$W$2</f>
        <v>1.56238350418623E-4</v>
      </c>
    </row>
    <row r="1063" spans="1:29">
      <c r="A1063" s="13" t="s">
        <v>2343</v>
      </c>
      <c r="B1063" s="13" t="s">
        <v>404</v>
      </c>
      <c r="C1063" s="138">
        <v>46310</v>
      </c>
      <c r="D1063" s="138" t="s">
        <v>424</v>
      </c>
      <c r="E1063" s="28">
        <v>0.95337618999999996</v>
      </c>
      <c r="F1063" s="13"/>
      <c r="G1063" s="18">
        <v>20000000</v>
      </c>
      <c r="H1063" s="18">
        <v>19067523.73</v>
      </c>
      <c r="I1063" s="18">
        <v>20000000</v>
      </c>
      <c r="J1063" s="18">
        <v>19067523.73</v>
      </c>
      <c r="K1063" s="15">
        <v>10549352</v>
      </c>
      <c r="L1063" s="13" t="s">
        <v>102</v>
      </c>
      <c r="M1063" s="13" t="s">
        <v>103</v>
      </c>
      <c r="N1063" s="138" t="s">
        <v>535</v>
      </c>
      <c r="O1063" s="138" t="s">
        <v>535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2325</v>
      </c>
      <c r="V1063" s="13" t="s">
        <v>2325</v>
      </c>
      <c r="W1063" s="59">
        <f>+J1063/$W$2</f>
        <v>3.1206050323023766E-4</v>
      </c>
    </row>
    <row r="1064" spans="1:29">
      <c r="A1064" s="13" t="s">
        <v>798</v>
      </c>
      <c r="B1064" s="13" t="s">
        <v>404</v>
      </c>
      <c r="C1064" s="138">
        <v>46310</v>
      </c>
      <c r="D1064" s="138" t="s">
        <v>424</v>
      </c>
      <c r="E1064" s="28">
        <v>0.95720132999999996</v>
      </c>
      <c r="F1064" s="13"/>
      <c r="G1064" s="18">
        <v>2558197.12</v>
      </c>
      <c r="H1064" s="18">
        <v>2448709.69</v>
      </c>
      <c r="I1064" s="18">
        <v>2558197.12</v>
      </c>
      <c r="J1064" s="18">
        <v>2448709.69</v>
      </c>
      <c r="K1064" s="15">
        <v>354</v>
      </c>
      <c r="L1064" s="13" t="s">
        <v>102</v>
      </c>
      <c r="M1064" s="13" t="s">
        <v>103</v>
      </c>
      <c r="N1064" s="138" t="s">
        <v>341</v>
      </c>
      <c r="O1064" s="138" t="s">
        <v>341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1950</v>
      </c>
      <c r="V1064" s="13" t="s">
        <v>1950</v>
      </c>
      <c r="W1064" s="59">
        <f>+J1064/$W$2</f>
        <v>4.0075763845720892E-5</v>
      </c>
    </row>
    <row r="1065" spans="1:29">
      <c r="A1065" s="13" t="s">
        <v>895</v>
      </c>
      <c r="B1065" s="13" t="s">
        <v>404</v>
      </c>
      <c r="C1065" s="138">
        <v>46310</v>
      </c>
      <c r="D1065" s="138" t="s">
        <v>424</v>
      </c>
      <c r="E1065" s="28">
        <v>0.95592279000000002</v>
      </c>
      <c r="F1065" s="13"/>
      <c r="G1065" s="18">
        <v>5134985.93</v>
      </c>
      <c r="H1065" s="18">
        <v>4908650.0999999996</v>
      </c>
      <c r="I1065" s="18">
        <v>5134985.93</v>
      </c>
      <c r="J1065" s="18">
        <v>4908650.0999999996</v>
      </c>
      <c r="K1065" s="15">
        <v>414</v>
      </c>
      <c r="L1065" s="13" t="s">
        <v>102</v>
      </c>
      <c r="M1065" s="13" t="s">
        <v>103</v>
      </c>
      <c r="N1065" s="138" t="s">
        <v>164</v>
      </c>
      <c r="O1065" s="138" t="s">
        <v>164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887</v>
      </c>
      <c r="V1065" s="13" t="s">
        <v>887</v>
      </c>
      <c r="W1065" s="59">
        <f>+J1065/$W$2</f>
        <v>8.0335330485368492E-5</v>
      </c>
    </row>
    <row r="1066" spans="1:29">
      <c r="A1066" s="13" t="s">
        <v>537</v>
      </c>
      <c r="B1066" s="13" t="s">
        <v>404</v>
      </c>
      <c r="C1066" s="138">
        <v>46310</v>
      </c>
      <c r="D1066" s="138" t="s">
        <v>424</v>
      </c>
      <c r="E1066" s="28">
        <v>0.96364550000000004</v>
      </c>
      <c r="F1066" s="13"/>
      <c r="G1066" s="18">
        <v>8100000</v>
      </c>
      <c r="H1066" s="18">
        <v>7805528.5300000003</v>
      </c>
      <c r="I1066" s="18">
        <v>8100000</v>
      </c>
      <c r="J1066" s="18">
        <v>7805528.5300000003</v>
      </c>
      <c r="K1066" s="15">
        <v>90000311</v>
      </c>
      <c r="L1066" s="13" t="s">
        <v>102</v>
      </c>
      <c r="M1066" s="13" t="s">
        <v>103</v>
      </c>
      <c r="N1066" s="138" t="s">
        <v>386</v>
      </c>
      <c r="O1066" s="138" t="s">
        <v>386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1815</v>
      </c>
      <c r="V1066" s="13" t="s">
        <v>1815</v>
      </c>
      <c r="W1066" s="59">
        <f>+J1066/$W$2</f>
        <v>1.2774585706781639E-4</v>
      </c>
      <c r="AC1066" s="56"/>
    </row>
    <row r="1067" spans="1:29">
      <c r="A1067" s="13" t="s">
        <v>537</v>
      </c>
      <c r="B1067" s="13" t="s">
        <v>404</v>
      </c>
      <c r="C1067" s="138">
        <v>46310</v>
      </c>
      <c r="D1067" s="138" t="s">
        <v>424</v>
      </c>
      <c r="E1067" s="28">
        <v>0.96364550999999998</v>
      </c>
      <c r="F1067" s="13"/>
      <c r="G1067" s="18">
        <v>2000000</v>
      </c>
      <c r="H1067" s="18">
        <v>1927291.02</v>
      </c>
      <c r="I1067" s="18">
        <v>2000000</v>
      </c>
      <c r="J1067" s="18">
        <v>1927291.02</v>
      </c>
      <c r="K1067" s="15">
        <v>90000265</v>
      </c>
      <c r="L1067" s="13" t="s">
        <v>102</v>
      </c>
      <c r="M1067" s="13" t="s">
        <v>103</v>
      </c>
      <c r="N1067" s="138" t="s">
        <v>386</v>
      </c>
      <c r="O1067" s="138" t="s">
        <v>386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1816</v>
      </c>
      <c r="V1067" s="13" t="s">
        <v>1816</v>
      </c>
      <c r="W1067" s="59">
        <f>+J1067/$W$2</f>
        <v>3.1542187338466629E-5</v>
      </c>
    </row>
    <row r="1068" spans="1:29">
      <c r="A1068" s="13" t="s">
        <v>537</v>
      </c>
      <c r="B1068" s="13" t="s">
        <v>404</v>
      </c>
      <c r="C1068" s="138">
        <v>46310</v>
      </c>
      <c r="D1068" s="138" t="s">
        <v>424</v>
      </c>
      <c r="E1068" s="28">
        <v>0.96364550000000004</v>
      </c>
      <c r="F1068" s="13"/>
      <c r="G1068" s="18">
        <v>13000000</v>
      </c>
      <c r="H1068" s="18">
        <v>12527391.460000001</v>
      </c>
      <c r="I1068" s="18">
        <v>13000000</v>
      </c>
      <c r="J1068" s="18">
        <v>12527391.460000001</v>
      </c>
      <c r="K1068" s="15">
        <v>90000237</v>
      </c>
      <c r="L1068" s="13" t="s">
        <v>102</v>
      </c>
      <c r="M1068" s="13" t="s">
        <v>103</v>
      </c>
      <c r="N1068" s="138" t="s">
        <v>386</v>
      </c>
      <c r="O1068" s="138" t="s">
        <v>386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1817</v>
      </c>
      <c r="V1068" s="13" t="s">
        <v>1817</v>
      </c>
      <c r="W1068" s="59">
        <f>+J1068/$W$2</f>
        <v>2.0502421491780054E-4</v>
      </c>
    </row>
    <row r="1069" spans="1:29">
      <c r="A1069" s="13" t="s">
        <v>537</v>
      </c>
      <c r="B1069" s="13" t="s">
        <v>404</v>
      </c>
      <c r="C1069" s="138">
        <v>46310</v>
      </c>
      <c r="D1069" s="138" t="s">
        <v>424</v>
      </c>
      <c r="E1069" s="28">
        <v>0.96364550000000004</v>
      </c>
      <c r="F1069" s="13"/>
      <c r="G1069" s="18">
        <v>15500000</v>
      </c>
      <c r="H1069" s="18">
        <v>14936505.199999999</v>
      </c>
      <c r="I1069" s="18">
        <v>15500000</v>
      </c>
      <c r="J1069" s="18">
        <v>14936505.199999999</v>
      </c>
      <c r="K1069" s="15">
        <v>90000349</v>
      </c>
      <c r="L1069" s="13" t="s">
        <v>102</v>
      </c>
      <c r="M1069" s="13" t="s">
        <v>103</v>
      </c>
      <c r="N1069" s="138" t="s">
        <v>386</v>
      </c>
      <c r="O1069" s="138" t="s">
        <v>386</v>
      </c>
      <c r="P1069" s="28">
        <v>27</v>
      </c>
      <c r="Q1069" s="13" t="s">
        <v>54</v>
      </c>
      <c r="R1069" s="13" t="s">
        <v>28</v>
      </c>
      <c r="S1069" s="13"/>
      <c r="T1069" s="13"/>
      <c r="U1069" s="13" t="s">
        <v>1818</v>
      </c>
      <c r="V1069" s="13" t="s">
        <v>1818</v>
      </c>
      <c r="W1069" s="59">
        <f>+J1069/$W$2</f>
        <v>2.4445194851807118E-4</v>
      </c>
    </row>
    <row r="1070" spans="1:29">
      <c r="A1070" s="13" t="s">
        <v>537</v>
      </c>
      <c r="B1070" s="13" t="s">
        <v>404</v>
      </c>
      <c r="C1070" s="138">
        <v>46310</v>
      </c>
      <c r="D1070" s="138" t="s">
        <v>424</v>
      </c>
      <c r="E1070" s="28">
        <v>0.96364550000000004</v>
      </c>
      <c r="F1070" s="13"/>
      <c r="G1070" s="18">
        <v>16300000</v>
      </c>
      <c r="H1070" s="18">
        <v>15707421.6</v>
      </c>
      <c r="I1070" s="18">
        <v>16300000</v>
      </c>
      <c r="J1070" s="18">
        <v>15707421.6</v>
      </c>
      <c r="K1070" s="15">
        <v>90000274</v>
      </c>
      <c r="L1070" s="13" t="s">
        <v>102</v>
      </c>
      <c r="M1070" s="13" t="s">
        <v>103</v>
      </c>
      <c r="N1070" s="138" t="s">
        <v>386</v>
      </c>
      <c r="O1070" s="138" t="s">
        <v>386</v>
      </c>
      <c r="P1070" s="28">
        <v>27</v>
      </c>
      <c r="Q1070" s="13" t="s">
        <v>54</v>
      </c>
      <c r="R1070" s="13" t="s">
        <v>28</v>
      </c>
      <c r="S1070" s="13"/>
      <c r="T1070" s="13"/>
      <c r="U1070" s="13" t="s">
        <v>1819</v>
      </c>
      <c r="V1070" s="13" t="s">
        <v>1819</v>
      </c>
      <c r="W1070" s="59">
        <f>+J1070/$W$2</f>
        <v>2.5706882332252929E-4</v>
      </c>
      <c r="AC1070" s="56"/>
    </row>
    <row r="1071" spans="1:29">
      <c r="A1071" s="13" t="s">
        <v>537</v>
      </c>
      <c r="B1071" s="13" t="s">
        <v>404</v>
      </c>
      <c r="C1071" s="138">
        <v>46310</v>
      </c>
      <c r="D1071" s="138" t="s">
        <v>424</v>
      </c>
      <c r="E1071" s="28">
        <v>0.96364550000000004</v>
      </c>
      <c r="F1071" s="13"/>
      <c r="G1071" s="18">
        <v>23800000</v>
      </c>
      <c r="H1071" s="18">
        <v>22934762.829999998</v>
      </c>
      <c r="I1071" s="18">
        <v>23800000</v>
      </c>
      <c r="J1071" s="18">
        <v>22934762.829999998</v>
      </c>
      <c r="K1071" s="15">
        <v>90000318</v>
      </c>
      <c r="L1071" s="13" t="s">
        <v>102</v>
      </c>
      <c r="M1071" s="13" t="s">
        <v>103</v>
      </c>
      <c r="N1071" s="138" t="s">
        <v>386</v>
      </c>
      <c r="O1071" s="138" t="s">
        <v>386</v>
      </c>
      <c r="P1071" s="28">
        <v>27</v>
      </c>
      <c r="Q1071" s="13" t="s">
        <v>54</v>
      </c>
      <c r="R1071" s="13" t="s">
        <v>28</v>
      </c>
      <c r="S1071" s="13"/>
      <c r="T1071" s="13"/>
      <c r="U1071" s="13" t="s">
        <v>1820</v>
      </c>
      <c r="V1071" s="13" t="s">
        <v>1820</v>
      </c>
      <c r="W1071" s="59">
        <f>+J1071/$W$2</f>
        <v>3.7535202428700206E-4</v>
      </c>
    </row>
    <row r="1072" spans="1:29">
      <c r="A1072" s="13" t="s">
        <v>537</v>
      </c>
      <c r="B1072" s="13" t="s">
        <v>404</v>
      </c>
      <c r="C1072" s="138">
        <v>46310</v>
      </c>
      <c r="D1072" s="138" t="s">
        <v>424</v>
      </c>
      <c r="E1072" s="28">
        <v>0.96364550000000004</v>
      </c>
      <c r="F1072" s="13"/>
      <c r="G1072" s="18">
        <v>20000000</v>
      </c>
      <c r="H1072" s="18">
        <v>19272909.940000001</v>
      </c>
      <c r="I1072" s="18">
        <v>20000000</v>
      </c>
      <c r="J1072" s="18">
        <v>19272909.940000001</v>
      </c>
      <c r="K1072" s="15">
        <v>90016593</v>
      </c>
      <c r="L1072" s="13" t="s">
        <v>102</v>
      </c>
      <c r="M1072" s="13" t="s">
        <v>103</v>
      </c>
      <c r="N1072" s="138" t="s">
        <v>386</v>
      </c>
      <c r="O1072" s="138" t="s">
        <v>386</v>
      </c>
      <c r="P1072" s="28">
        <v>27</v>
      </c>
      <c r="Q1072" s="13" t="s">
        <v>54</v>
      </c>
      <c r="R1072" s="13" t="s">
        <v>28</v>
      </c>
      <c r="S1072" s="13"/>
      <c r="T1072" s="13"/>
      <c r="U1072" s="13" t="s">
        <v>1821</v>
      </c>
      <c r="V1072" s="13" t="s">
        <v>1821</v>
      </c>
      <c r="W1072" s="59">
        <f>+J1072/$W$2</f>
        <v>3.154218691294871E-4</v>
      </c>
    </row>
    <row r="1073" spans="1:23">
      <c r="A1073" s="13" t="s">
        <v>537</v>
      </c>
      <c r="B1073" s="13" t="s">
        <v>404</v>
      </c>
      <c r="C1073" s="138">
        <v>46310</v>
      </c>
      <c r="D1073" s="138" t="s">
        <v>424</v>
      </c>
      <c r="E1073" s="28">
        <v>0.96364550000000004</v>
      </c>
      <c r="F1073" s="13"/>
      <c r="G1073" s="18">
        <v>12500000</v>
      </c>
      <c r="H1073" s="18">
        <v>12045568.710000001</v>
      </c>
      <c r="I1073" s="18">
        <v>12500000</v>
      </c>
      <c r="J1073" s="18">
        <v>12045568.710000001</v>
      </c>
      <c r="K1073" s="15">
        <v>90000341</v>
      </c>
      <c r="L1073" s="13" t="s">
        <v>102</v>
      </c>
      <c r="M1073" s="13" t="s">
        <v>103</v>
      </c>
      <c r="N1073" s="138" t="s">
        <v>386</v>
      </c>
      <c r="O1073" s="138" t="s">
        <v>386</v>
      </c>
      <c r="P1073" s="28">
        <v>27</v>
      </c>
      <c r="Q1073" s="13" t="s">
        <v>54</v>
      </c>
      <c r="R1073" s="13" t="s">
        <v>28</v>
      </c>
      <c r="S1073" s="13"/>
      <c r="T1073" s="13"/>
      <c r="U1073" s="13" t="s">
        <v>1822</v>
      </c>
      <c r="V1073" s="13" t="s">
        <v>1822</v>
      </c>
      <c r="W1073" s="59">
        <f>+J1073/$W$2</f>
        <v>1.9713866816501425E-4</v>
      </c>
    </row>
    <row r="1074" spans="1:23">
      <c r="A1074" s="13" t="s">
        <v>537</v>
      </c>
      <c r="B1074" s="13" t="s">
        <v>404</v>
      </c>
      <c r="C1074" s="138">
        <v>46310</v>
      </c>
      <c r="D1074" s="138" t="s">
        <v>424</v>
      </c>
      <c r="E1074" s="28">
        <v>0.96364550000000004</v>
      </c>
      <c r="F1074" s="13"/>
      <c r="G1074" s="18">
        <v>11500000</v>
      </c>
      <c r="H1074" s="18">
        <v>11081923.220000001</v>
      </c>
      <c r="I1074" s="18">
        <v>11500000</v>
      </c>
      <c r="J1074" s="18">
        <v>11081923.220000001</v>
      </c>
      <c r="K1074" s="15">
        <v>90000406</v>
      </c>
      <c r="L1074" s="13" t="s">
        <v>102</v>
      </c>
      <c r="M1074" s="13" t="s">
        <v>103</v>
      </c>
      <c r="N1074" s="138" t="s">
        <v>386</v>
      </c>
      <c r="O1074" s="138" t="s">
        <v>386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1823</v>
      </c>
      <c r="V1074" s="13" t="s">
        <v>1823</v>
      </c>
      <c r="W1074" s="59">
        <f>+J1074/$W$2</f>
        <v>1.8136757482310241E-4</v>
      </c>
    </row>
    <row r="1075" spans="1:23">
      <c r="A1075" s="13" t="s">
        <v>537</v>
      </c>
      <c r="B1075" s="13" t="s">
        <v>404</v>
      </c>
      <c r="C1075" s="138">
        <v>46310</v>
      </c>
      <c r="D1075" s="138" t="s">
        <v>424</v>
      </c>
      <c r="E1075" s="28">
        <v>0.96364550000000004</v>
      </c>
      <c r="F1075" s="13"/>
      <c r="G1075" s="18">
        <v>29000000</v>
      </c>
      <c r="H1075" s="18">
        <v>27945719.41</v>
      </c>
      <c r="I1075" s="18">
        <v>29000000</v>
      </c>
      <c r="J1075" s="18">
        <v>27945719.41</v>
      </c>
      <c r="K1075" s="15">
        <v>90000424</v>
      </c>
      <c r="L1075" s="13" t="s">
        <v>102</v>
      </c>
      <c r="M1075" s="13" t="s">
        <v>103</v>
      </c>
      <c r="N1075" s="138" t="s">
        <v>386</v>
      </c>
      <c r="O1075" s="138" t="s">
        <v>386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1824</v>
      </c>
      <c r="V1075" s="13" t="s">
        <v>1824</v>
      </c>
      <c r="W1075" s="59">
        <f>+J1075/$W$2</f>
        <v>4.5736171018865803E-4</v>
      </c>
    </row>
    <row r="1076" spans="1:23">
      <c r="A1076" s="13" t="s">
        <v>537</v>
      </c>
      <c r="B1076" s="13" t="s">
        <v>404</v>
      </c>
      <c r="C1076" s="138">
        <v>46310</v>
      </c>
      <c r="D1076" s="138" t="s">
        <v>424</v>
      </c>
      <c r="E1076" s="28">
        <v>0.96364550000000004</v>
      </c>
      <c r="F1076" s="13"/>
      <c r="G1076" s="18">
        <v>10795000</v>
      </c>
      <c r="H1076" s="18">
        <v>10402553.140000001</v>
      </c>
      <c r="I1076" s="18">
        <v>10795000</v>
      </c>
      <c r="J1076" s="18">
        <v>10402553.140000001</v>
      </c>
      <c r="K1076" s="15">
        <v>90000315</v>
      </c>
      <c r="L1076" s="13" t="s">
        <v>102</v>
      </c>
      <c r="M1076" s="13" t="s">
        <v>103</v>
      </c>
      <c r="N1076" s="138" t="s">
        <v>386</v>
      </c>
      <c r="O1076" s="138" t="s">
        <v>386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1825</v>
      </c>
      <c r="V1076" s="13" t="s">
        <v>1825</v>
      </c>
      <c r="W1076" s="59">
        <f>+J1076/$W$2</f>
        <v>1.7024895386075854E-4</v>
      </c>
    </row>
    <row r="1077" spans="1:23">
      <c r="A1077" s="13" t="s">
        <v>537</v>
      </c>
      <c r="B1077" s="13" t="s">
        <v>404</v>
      </c>
      <c r="C1077" s="138">
        <v>46310</v>
      </c>
      <c r="D1077" s="138" t="s">
        <v>424</v>
      </c>
      <c r="E1077" s="28">
        <v>0.96364550000000004</v>
      </c>
      <c r="F1077" s="13"/>
      <c r="G1077" s="18">
        <v>20000000</v>
      </c>
      <c r="H1077" s="18">
        <v>19272909.940000001</v>
      </c>
      <c r="I1077" s="18">
        <v>20000000</v>
      </c>
      <c r="J1077" s="18">
        <v>19272909.940000001</v>
      </c>
      <c r="K1077" s="15">
        <v>90000348</v>
      </c>
      <c r="L1077" s="13" t="s">
        <v>102</v>
      </c>
      <c r="M1077" s="13" t="s">
        <v>103</v>
      </c>
      <c r="N1077" s="138" t="s">
        <v>386</v>
      </c>
      <c r="O1077" s="138" t="s">
        <v>386</v>
      </c>
      <c r="P1077" s="28">
        <v>27</v>
      </c>
      <c r="Q1077" s="13" t="s">
        <v>54</v>
      </c>
      <c r="R1077" s="13" t="s">
        <v>28</v>
      </c>
      <c r="S1077" s="13"/>
      <c r="T1077" s="13"/>
      <c r="U1077" s="13" t="s">
        <v>1826</v>
      </c>
      <c r="V1077" s="13" t="s">
        <v>1826</v>
      </c>
      <c r="W1077" s="59">
        <f>+J1077/$W$2</f>
        <v>3.154218691294871E-4</v>
      </c>
    </row>
    <row r="1078" spans="1:23">
      <c r="A1078" s="13" t="s">
        <v>537</v>
      </c>
      <c r="B1078" s="13" t="s">
        <v>404</v>
      </c>
      <c r="C1078" s="138">
        <v>46310</v>
      </c>
      <c r="D1078" s="138" t="s">
        <v>424</v>
      </c>
      <c r="E1078" s="28">
        <v>0.96755387000000004</v>
      </c>
      <c r="F1078" s="13"/>
      <c r="G1078" s="18">
        <v>5000000</v>
      </c>
      <c r="H1078" s="18">
        <v>4837769.37</v>
      </c>
      <c r="I1078" s="18">
        <v>5000000</v>
      </c>
      <c r="J1078" s="18">
        <v>4837769.37</v>
      </c>
      <c r="K1078" s="15">
        <v>16831532</v>
      </c>
      <c r="L1078" s="13" t="s">
        <v>102</v>
      </c>
      <c r="M1078" s="13" t="s">
        <v>103</v>
      </c>
      <c r="N1078" s="138" t="s">
        <v>161</v>
      </c>
      <c r="O1078" s="138" t="s">
        <v>161</v>
      </c>
      <c r="P1078" s="28">
        <v>24</v>
      </c>
      <c r="Q1078" s="13" t="s">
        <v>54</v>
      </c>
      <c r="R1078" s="13" t="s">
        <v>28</v>
      </c>
      <c r="S1078" s="13"/>
      <c r="T1078" s="13"/>
      <c r="U1078" s="13" t="s">
        <v>1671</v>
      </c>
      <c r="V1078" s="13" t="s">
        <v>1671</v>
      </c>
      <c r="W1078" s="59">
        <f>+J1078/$W$2</f>
        <v>7.9175291217221399E-5</v>
      </c>
    </row>
    <row r="1079" spans="1:23">
      <c r="A1079" s="13" t="s">
        <v>537</v>
      </c>
      <c r="B1079" s="13" t="s">
        <v>404</v>
      </c>
      <c r="C1079" s="138">
        <v>46310</v>
      </c>
      <c r="D1079" s="138" t="s">
        <v>424</v>
      </c>
      <c r="E1079" s="28">
        <v>0.95976868999999998</v>
      </c>
      <c r="F1079" s="13"/>
      <c r="G1079" s="18">
        <v>2000000</v>
      </c>
      <c r="H1079" s="18">
        <v>1919537.38</v>
      </c>
      <c r="I1079" s="18">
        <v>2000000</v>
      </c>
      <c r="J1079" s="18">
        <v>1919537.38</v>
      </c>
      <c r="K1079" s="15">
        <v>13442185</v>
      </c>
      <c r="L1079" s="13" t="s">
        <v>102</v>
      </c>
      <c r="M1079" s="13" t="s">
        <v>103</v>
      </c>
      <c r="N1079" s="138" t="s">
        <v>282</v>
      </c>
      <c r="O1079" s="138" t="s">
        <v>282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823</v>
      </c>
      <c r="V1079" s="13" t="s">
        <v>823</v>
      </c>
      <c r="W1079" s="59">
        <f>+J1079/$W$2</f>
        <v>3.1415290692917461E-5</v>
      </c>
    </row>
    <row r="1080" spans="1:23">
      <c r="A1080" s="13" t="s">
        <v>431</v>
      </c>
      <c r="B1080" s="13" t="s">
        <v>404</v>
      </c>
      <c r="C1080" s="138">
        <v>46310</v>
      </c>
      <c r="D1080" s="138" t="s">
        <v>424</v>
      </c>
      <c r="E1080" s="28">
        <v>0.95976863000000001</v>
      </c>
      <c r="F1080" s="13"/>
      <c r="G1080" s="18">
        <v>3000000</v>
      </c>
      <c r="H1080" s="18">
        <v>2879305.89</v>
      </c>
      <c r="I1080" s="18">
        <v>3000000</v>
      </c>
      <c r="J1080" s="18">
        <v>2879305.89</v>
      </c>
      <c r="K1080" s="15">
        <v>3792079</v>
      </c>
      <c r="L1080" s="13" t="s">
        <v>102</v>
      </c>
      <c r="M1080" s="13" t="s">
        <v>103</v>
      </c>
      <c r="N1080" s="138" t="s">
        <v>345</v>
      </c>
      <c r="O1080" s="138" t="s">
        <v>345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2416</v>
      </c>
      <c r="V1080" s="13" t="s">
        <v>2416</v>
      </c>
      <c r="W1080" s="59">
        <f>+J1080/$W$2</f>
        <v>4.7122933093482885E-5</v>
      </c>
    </row>
    <row r="1081" spans="1:23">
      <c r="A1081" s="13" t="s">
        <v>431</v>
      </c>
      <c r="B1081" s="13" t="s">
        <v>404</v>
      </c>
      <c r="C1081" s="138">
        <v>46310</v>
      </c>
      <c r="D1081" s="138" t="s">
        <v>424</v>
      </c>
      <c r="E1081" s="28">
        <v>0.95976861000000002</v>
      </c>
      <c r="F1081" s="13"/>
      <c r="G1081" s="18">
        <v>25000000</v>
      </c>
      <c r="H1081" s="18">
        <v>23994215.16</v>
      </c>
      <c r="I1081" s="18">
        <v>25000000</v>
      </c>
      <c r="J1081" s="18">
        <v>23994215.16</v>
      </c>
      <c r="K1081" s="15">
        <v>509759</v>
      </c>
      <c r="L1081" s="13" t="s">
        <v>102</v>
      </c>
      <c r="M1081" s="13" t="s">
        <v>103</v>
      </c>
      <c r="N1081" s="138" t="s">
        <v>342</v>
      </c>
      <c r="O1081" s="138" t="s">
        <v>342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2377</v>
      </c>
      <c r="V1081" s="13" t="s">
        <v>2377</v>
      </c>
      <c r="W1081" s="59">
        <f>+J1081/$W$2</f>
        <v>3.9269109945637377E-4</v>
      </c>
    </row>
    <row r="1082" spans="1:23">
      <c r="A1082" s="13" t="s">
        <v>1024</v>
      </c>
      <c r="B1082" s="13" t="s">
        <v>404</v>
      </c>
      <c r="C1082" s="138">
        <v>46310</v>
      </c>
      <c r="D1082" s="138" t="s">
        <v>424</v>
      </c>
      <c r="E1082" s="28">
        <v>0.95720137999999999</v>
      </c>
      <c r="F1082" s="13"/>
      <c r="G1082" s="18">
        <v>3413365</v>
      </c>
      <c r="H1082" s="18">
        <v>3267277.7</v>
      </c>
      <c r="I1082" s="18">
        <v>3413365</v>
      </c>
      <c r="J1082" s="18">
        <v>3267277.7</v>
      </c>
      <c r="K1082" s="15">
        <v>67525693</v>
      </c>
      <c r="L1082" s="13" t="s">
        <v>102</v>
      </c>
      <c r="M1082" s="13" t="s">
        <v>103</v>
      </c>
      <c r="N1082" s="138" t="s">
        <v>338</v>
      </c>
      <c r="O1082" s="138" t="s">
        <v>338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1013</v>
      </c>
      <c r="V1082" s="13" t="s">
        <v>1013</v>
      </c>
      <c r="W1082" s="59">
        <f>+J1082/$W$2</f>
        <v>5.3472508422829871E-5</v>
      </c>
    </row>
    <row r="1083" spans="1:23">
      <c r="A1083" s="13" t="s">
        <v>410</v>
      </c>
      <c r="B1083" s="13" t="s">
        <v>404</v>
      </c>
      <c r="C1083" s="138">
        <v>46310</v>
      </c>
      <c r="D1083" s="138" t="s">
        <v>424</v>
      </c>
      <c r="E1083" s="28">
        <v>0.94958138999999997</v>
      </c>
      <c r="F1083" s="13"/>
      <c r="G1083" s="18">
        <v>43000000</v>
      </c>
      <c r="H1083" s="18">
        <v>40831999.630000003</v>
      </c>
      <c r="I1083" s="18">
        <v>43000000</v>
      </c>
      <c r="J1083" s="18">
        <v>40831999.630000003</v>
      </c>
      <c r="K1083" s="15">
        <v>160223</v>
      </c>
      <c r="L1083" s="13" t="s">
        <v>102</v>
      </c>
      <c r="M1083" s="13" t="s">
        <v>103</v>
      </c>
      <c r="N1083" s="138" t="s">
        <v>639</v>
      </c>
      <c r="O1083" s="138" t="s">
        <v>639</v>
      </c>
      <c r="P1083" s="28">
        <v>38</v>
      </c>
      <c r="Q1083" s="13" t="s">
        <v>54</v>
      </c>
      <c r="R1083" s="13" t="s">
        <v>28</v>
      </c>
      <c r="S1083" s="13"/>
      <c r="T1083" s="13"/>
      <c r="U1083" s="13" t="s">
        <v>2134</v>
      </c>
      <c r="V1083" s="13" t="s">
        <v>2134</v>
      </c>
      <c r="W1083" s="59">
        <f>+J1083/$W$2</f>
        <v>6.6825952508908597E-4</v>
      </c>
    </row>
    <row r="1084" spans="1:23">
      <c r="A1084" s="13" t="s">
        <v>417</v>
      </c>
      <c r="B1084" s="13" t="s">
        <v>404</v>
      </c>
      <c r="C1084" s="138">
        <v>46310</v>
      </c>
      <c r="D1084" s="138" t="s">
        <v>424</v>
      </c>
      <c r="E1084" s="28">
        <v>0.95464775999999996</v>
      </c>
      <c r="F1084" s="13"/>
      <c r="G1084" s="18">
        <v>4000000</v>
      </c>
      <c r="H1084" s="18">
        <v>3818591.05</v>
      </c>
      <c r="I1084" s="18">
        <v>4000000</v>
      </c>
      <c r="J1084" s="18">
        <v>3818591.05</v>
      </c>
      <c r="K1084" s="15">
        <v>90000051</v>
      </c>
      <c r="L1084" s="13" t="s">
        <v>102</v>
      </c>
      <c r="M1084" s="13" t="s">
        <v>103</v>
      </c>
      <c r="N1084" s="138" t="s">
        <v>353</v>
      </c>
      <c r="O1084" s="138" t="s">
        <v>353</v>
      </c>
      <c r="P1084" s="28">
        <v>34</v>
      </c>
      <c r="Q1084" s="13" t="s">
        <v>54</v>
      </c>
      <c r="R1084" s="13" t="s">
        <v>28</v>
      </c>
      <c r="S1084" s="13"/>
      <c r="T1084" s="13"/>
      <c r="U1084" s="13" t="s">
        <v>997</v>
      </c>
      <c r="V1084" s="13" t="s">
        <v>997</v>
      </c>
      <c r="W1084" s="59">
        <f>+J1084/$W$2</f>
        <v>6.2495343473396132E-5</v>
      </c>
    </row>
    <row r="1085" spans="1:23">
      <c r="A1085" s="13" t="s">
        <v>466</v>
      </c>
      <c r="B1085" s="13" t="s">
        <v>404</v>
      </c>
      <c r="C1085" s="138">
        <v>46310</v>
      </c>
      <c r="D1085" s="138" t="s">
        <v>424</v>
      </c>
      <c r="E1085" s="28">
        <v>0.96234976999999999</v>
      </c>
      <c r="F1085" s="13"/>
      <c r="G1085" s="18">
        <v>2500000</v>
      </c>
      <c r="H1085" s="18">
        <v>2405874.4300000002</v>
      </c>
      <c r="I1085" s="18">
        <v>2500000</v>
      </c>
      <c r="J1085" s="18">
        <v>2405874.4300000002</v>
      </c>
      <c r="K1085" s="15">
        <v>90031815</v>
      </c>
      <c r="L1085" s="13" t="s">
        <v>102</v>
      </c>
      <c r="M1085" s="13" t="s">
        <v>103</v>
      </c>
      <c r="N1085" s="138" t="s">
        <v>289</v>
      </c>
      <c r="O1085" s="138" t="s">
        <v>289</v>
      </c>
      <c r="P1085" s="28">
        <v>28</v>
      </c>
      <c r="Q1085" s="13" t="s">
        <v>54</v>
      </c>
      <c r="R1085" s="13" t="s">
        <v>28</v>
      </c>
      <c r="S1085" s="13"/>
      <c r="T1085" s="13"/>
      <c r="U1085" s="13" t="s">
        <v>583</v>
      </c>
      <c r="V1085" s="13" t="s">
        <v>583</v>
      </c>
      <c r="W1085" s="59">
        <f>+J1085/$W$2</f>
        <v>3.9374718813294023E-5</v>
      </c>
    </row>
    <row r="1086" spans="1:23">
      <c r="A1086" s="13" t="s">
        <v>466</v>
      </c>
      <c r="B1086" s="13" t="s">
        <v>404</v>
      </c>
      <c r="C1086" s="138">
        <v>46310</v>
      </c>
      <c r="D1086" s="138" t="s">
        <v>424</v>
      </c>
      <c r="E1086" s="28">
        <v>0.96234975</v>
      </c>
      <c r="F1086" s="13"/>
      <c r="G1086" s="18">
        <v>25000000</v>
      </c>
      <c r="H1086" s="18">
        <v>24058743.82</v>
      </c>
      <c r="I1086" s="18">
        <v>25000000</v>
      </c>
      <c r="J1086" s="18">
        <v>24058743.82</v>
      </c>
      <c r="K1086" s="15">
        <v>360571</v>
      </c>
      <c r="L1086" s="13" t="s">
        <v>102</v>
      </c>
      <c r="M1086" s="13" t="s">
        <v>103</v>
      </c>
      <c r="N1086" s="138" t="s">
        <v>308</v>
      </c>
      <c r="O1086" s="138" t="s">
        <v>308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548</v>
      </c>
      <c r="V1086" s="13" t="s">
        <v>548</v>
      </c>
      <c r="W1086" s="59">
        <f>+J1086/$W$2</f>
        <v>3.9374718027722469E-4</v>
      </c>
    </row>
    <row r="1087" spans="1:23">
      <c r="A1087" s="13" t="s">
        <v>537</v>
      </c>
      <c r="B1087" s="13" t="s">
        <v>404</v>
      </c>
      <c r="C1087" s="138">
        <v>46310</v>
      </c>
      <c r="D1087" s="138" t="s">
        <v>424</v>
      </c>
      <c r="E1087" s="28">
        <v>0.96364550999999998</v>
      </c>
      <c r="F1087" s="13"/>
      <c r="G1087" s="18">
        <v>1600000</v>
      </c>
      <c r="H1087" s="18">
        <v>1541832.81</v>
      </c>
      <c r="I1087" s="18">
        <v>1600000</v>
      </c>
      <c r="J1087" s="18">
        <v>1541832.81</v>
      </c>
      <c r="K1087" s="15">
        <v>90000270</v>
      </c>
      <c r="L1087" s="13" t="s">
        <v>102</v>
      </c>
      <c r="M1087" s="13" t="s">
        <v>103</v>
      </c>
      <c r="N1087" s="138" t="s">
        <v>386</v>
      </c>
      <c r="O1087" s="138" t="s">
        <v>386</v>
      </c>
      <c r="P1087" s="28">
        <v>27</v>
      </c>
      <c r="Q1087" s="13" t="s">
        <v>54</v>
      </c>
      <c r="R1087" s="13" t="s">
        <v>28</v>
      </c>
      <c r="S1087" s="13"/>
      <c r="T1087" s="13"/>
      <c r="U1087" s="13" t="s">
        <v>1813</v>
      </c>
      <c r="V1087" s="13" t="s">
        <v>1813</v>
      </c>
      <c r="W1087" s="59">
        <f>+J1087/$W$2</f>
        <v>2.523374977257686E-5</v>
      </c>
    </row>
    <row r="1088" spans="1:23">
      <c r="A1088" s="13" t="s">
        <v>537</v>
      </c>
      <c r="B1088" s="13" t="s">
        <v>404</v>
      </c>
      <c r="C1088" s="138">
        <v>46310</v>
      </c>
      <c r="D1088" s="138" t="s">
        <v>424</v>
      </c>
      <c r="E1088" s="28">
        <v>0.96364550000000004</v>
      </c>
      <c r="F1088" s="13"/>
      <c r="G1088" s="18">
        <v>19000000</v>
      </c>
      <c r="H1088" s="18">
        <v>18309264.440000001</v>
      </c>
      <c r="I1088" s="18">
        <v>19000000</v>
      </c>
      <c r="J1088" s="18">
        <v>18309264.440000001</v>
      </c>
      <c r="K1088" s="15">
        <v>90000370</v>
      </c>
      <c r="L1088" s="13" t="s">
        <v>102</v>
      </c>
      <c r="M1088" s="13" t="s">
        <v>103</v>
      </c>
      <c r="N1088" s="138" t="s">
        <v>386</v>
      </c>
      <c r="O1088" s="138" t="s">
        <v>386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1814</v>
      </c>
      <c r="V1088" s="13" t="s">
        <v>1814</v>
      </c>
      <c r="W1088" s="59">
        <f>+J1088/$W$2</f>
        <v>2.9965077562391453E-4</v>
      </c>
    </row>
    <row r="1089" spans="1:29">
      <c r="A1089" s="13" t="s">
        <v>285</v>
      </c>
      <c r="B1089" s="13" t="s">
        <v>404</v>
      </c>
      <c r="C1089" s="138">
        <v>46310</v>
      </c>
      <c r="D1089" s="138" t="s">
        <v>424</v>
      </c>
      <c r="E1089" s="28">
        <v>0.96364556000000001</v>
      </c>
      <c r="F1089" s="13"/>
      <c r="G1089" s="18">
        <v>20000000</v>
      </c>
      <c r="H1089" s="18">
        <v>19272911.210000001</v>
      </c>
      <c r="I1089" s="18">
        <v>20000000</v>
      </c>
      <c r="J1089" s="18">
        <v>19272911.210000001</v>
      </c>
      <c r="K1089" s="15">
        <v>68122772</v>
      </c>
      <c r="L1089" s="13" t="s">
        <v>102</v>
      </c>
      <c r="M1089" s="13" t="s">
        <v>103</v>
      </c>
      <c r="N1089" s="138" t="s">
        <v>420</v>
      </c>
      <c r="O1089" s="138" t="s">
        <v>420</v>
      </c>
      <c r="P1089" s="28">
        <v>27</v>
      </c>
      <c r="Q1089" s="13" t="s">
        <v>54</v>
      </c>
      <c r="R1089" s="13" t="s">
        <v>28</v>
      </c>
      <c r="S1089" s="13"/>
      <c r="T1089" s="13"/>
      <c r="U1089" s="13" t="s">
        <v>1296</v>
      </c>
      <c r="V1089" s="13" t="s">
        <v>1296</v>
      </c>
      <c r="W1089" s="59">
        <f>+J1089/$W$2</f>
        <v>3.1542188991440099E-4</v>
      </c>
    </row>
    <row r="1090" spans="1:29">
      <c r="A1090" s="13" t="s">
        <v>285</v>
      </c>
      <c r="B1090" s="13" t="s">
        <v>404</v>
      </c>
      <c r="C1090" s="138">
        <v>46310</v>
      </c>
      <c r="D1090" s="138" t="s">
        <v>424</v>
      </c>
      <c r="E1090" s="28">
        <v>0.96364548999999999</v>
      </c>
      <c r="F1090" s="13"/>
      <c r="G1090" s="18">
        <v>15000000</v>
      </c>
      <c r="H1090" s="18">
        <v>14454682.4</v>
      </c>
      <c r="I1090" s="18">
        <v>15000000</v>
      </c>
      <c r="J1090" s="18">
        <v>14454682.4</v>
      </c>
      <c r="K1090" s="15">
        <v>11338651</v>
      </c>
      <c r="L1090" s="13" t="s">
        <v>102</v>
      </c>
      <c r="M1090" s="13" t="s">
        <v>103</v>
      </c>
      <c r="N1090" s="138" t="s">
        <v>346</v>
      </c>
      <c r="O1090" s="138" t="s">
        <v>346</v>
      </c>
      <c r="P1090" s="28">
        <v>27</v>
      </c>
      <c r="Q1090" s="13" t="s">
        <v>54</v>
      </c>
      <c r="R1090" s="13" t="s">
        <v>28</v>
      </c>
      <c r="S1090" s="13"/>
      <c r="T1090" s="13"/>
      <c r="U1090" s="13" t="s">
        <v>1527</v>
      </c>
      <c r="V1090" s="13" t="s">
        <v>1527</v>
      </c>
      <c r="W1090" s="59">
        <f>+J1090/$W$2</f>
        <v>2.3656640094698125E-4</v>
      </c>
    </row>
    <row r="1091" spans="1:29">
      <c r="A1091" s="13" t="s">
        <v>285</v>
      </c>
      <c r="B1091" s="13" t="s">
        <v>404</v>
      </c>
      <c r="C1091" s="138">
        <v>46310</v>
      </c>
      <c r="D1091" s="138" t="s">
        <v>424</v>
      </c>
      <c r="E1091" s="28">
        <v>0.96364548999999999</v>
      </c>
      <c r="F1091" s="13"/>
      <c r="G1091" s="18">
        <v>20000000</v>
      </c>
      <c r="H1091" s="18">
        <v>19272909.859999999</v>
      </c>
      <c r="I1091" s="18">
        <v>20000000</v>
      </c>
      <c r="J1091" s="18">
        <v>19272909.859999999</v>
      </c>
      <c r="K1091" s="15">
        <v>884</v>
      </c>
      <c r="L1091" s="13" t="s">
        <v>102</v>
      </c>
      <c r="M1091" s="13" t="s">
        <v>103</v>
      </c>
      <c r="N1091" s="138" t="s">
        <v>346</v>
      </c>
      <c r="O1091" s="138" t="s">
        <v>346</v>
      </c>
      <c r="P1091" s="28">
        <v>27</v>
      </c>
      <c r="Q1091" s="13" t="s">
        <v>54</v>
      </c>
      <c r="R1091" s="13" t="s">
        <v>28</v>
      </c>
      <c r="S1091" s="13"/>
      <c r="T1091" s="13"/>
      <c r="U1091" s="13" t="s">
        <v>1540</v>
      </c>
      <c r="V1091" s="13" t="s">
        <v>1540</v>
      </c>
      <c r="W1091" s="59">
        <f>+J1091/$W$2</f>
        <v>3.1542186782020115E-4</v>
      </c>
    </row>
    <row r="1092" spans="1:29">
      <c r="A1092" s="13" t="s">
        <v>285</v>
      </c>
      <c r="B1092" s="13" t="s">
        <v>404</v>
      </c>
      <c r="C1092" s="138">
        <v>46310</v>
      </c>
      <c r="D1092" s="138" t="s">
        <v>424</v>
      </c>
      <c r="E1092" s="28">
        <v>0.96364548999999999</v>
      </c>
      <c r="F1092" s="13"/>
      <c r="G1092" s="18">
        <v>20000000</v>
      </c>
      <c r="H1092" s="18">
        <v>19272909.859999999</v>
      </c>
      <c r="I1092" s="18">
        <v>20000000</v>
      </c>
      <c r="J1092" s="18">
        <v>19272909.859999999</v>
      </c>
      <c r="K1092" s="15">
        <v>886</v>
      </c>
      <c r="L1092" s="13" t="s">
        <v>102</v>
      </c>
      <c r="M1092" s="13" t="s">
        <v>103</v>
      </c>
      <c r="N1092" s="138" t="s">
        <v>346</v>
      </c>
      <c r="O1092" s="138" t="s">
        <v>346</v>
      </c>
      <c r="P1092" s="28">
        <v>27</v>
      </c>
      <c r="Q1092" s="13" t="s">
        <v>54</v>
      </c>
      <c r="R1092" s="13" t="s">
        <v>28</v>
      </c>
      <c r="S1092" s="13"/>
      <c r="T1092" s="13"/>
      <c r="U1092" s="13" t="s">
        <v>1542</v>
      </c>
      <c r="V1092" s="13" t="s">
        <v>1542</v>
      </c>
      <c r="W1092" s="59">
        <f>+J1092/$W$2</f>
        <v>3.1542186782020115E-4</v>
      </c>
    </row>
    <row r="1093" spans="1:29">
      <c r="A1093" s="13" t="s">
        <v>285</v>
      </c>
      <c r="B1093" s="13" t="s">
        <v>404</v>
      </c>
      <c r="C1093" s="138">
        <v>46310</v>
      </c>
      <c r="D1093" s="138" t="s">
        <v>424</v>
      </c>
      <c r="E1093" s="28">
        <v>0.95976861000000002</v>
      </c>
      <c r="F1093" s="13"/>
      <c r="G1093" s="18">
        <v>40000000</v>
      </c>
      <c r="H1093" s="18">
        <v>38390744.25</v>
      </c>
      <c r="I1093" s="18">
        <v>40000000</v>
      </c>
      <c r="J1093" s="18">
        <v>38390744.25</v>
      </c>
      <c r="K1093" s="15">
        <v>4373</v>
      </c>
      <c r="L1093" s="13" t="s">
        <v>102</v>
      </c>
      <c r="M1093" s="13" t="s">
        <v>103</v>
      </c>
      <c r="N1093" s="138" t="s">
        <v>342</v>
      </c>
      <c r="O1093" s="138" t="s">
        <v>342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2406</v>
      </c>
      <c r="V1093" s="13" t="s">
        <v>2406</v>
      </c>
      <c r="W1093" s="59">
        <f>+J1093/$W$2</f>
        <v>6.2830575903200154E-4</v>
      </c>
    </row>
    <row r="1094" spans="1:29">
      <c r="A1094" s="13" t="s">
        <v>144</v>
      </c>
      <c r="B1094" s="13" t="s">
        <v>404</v>
      </c>
      <c r="C1094" s="138">
        <v>46310</v>
      </c>
      <c r="D1094" s="138" t="s">
        <v>424</v>
      </c>
      <c r="E1094" s="28">
        <v>0.95464775999999996</v>
      </c>
      <c r="F1094" s="13"/>
      <c r="G1094" s="18">
        <v>20000000</v>
      </c>
      <c r="H1094" s="18">
        <v>19092955.109999999</v>
      </c>
      <c r="I1094" s="18">
        <v>20000000</v>
      </c>
      <c r="J1094" s="18">
        <v>19092955.109999999</v>
      </c>
      <c r="K1094" s="15">
        <v>4403</v>
      </c>
      <c r="L1094" s="13" t="s">
        <v>102</v>
      </c>
      <c r="M1094" s="13" t="s">
        <v>103</v>
      </c>
      <c r="N1094" s="138" t="s">
        <v>339</v>
      </c>
      <c r="O1094" s="138" t="s">
        <v>339</v>
      </c>
      <c r="P1094" s="28">
        <v>34</v>
      </c>
      <c r="Q1094" s="13" t="s">
        <v>54</v>
      </c>
      <c r="R1094" s="13" t="s">
        <v>28</v>
      </c>
      <c r="S1094" s="13"/>
      <c r="T1094" s="13"/>
      <c r="U1094" s="13" t="s">
        <v>1578</v>
      </c>
      <c r="V1094" s="13" t="s">
        <v>1578</v>
      </c>
      <c r="W1094" s="59">
        <f>+J1094/$W$2</f>
        <v>3.1247671507573035E-4</v>
      </c>
    </row>
    <row r="1095" spans="1:29">
      <c r="A1095" s="13" t="s">
        <v>2686</v>
      </c>
      <c r="B1095" s="13" t="s">
        <v>404</v>
      </c>
      <c r="C1095" s="138">
        <v>46310</v>
      </c>
      <c r="D1095" s="138" t="s">
        <v>424</v>
      </c>
      <c r="E1095" s="28">
        <v>0.95720130999999997</v>
      </c>
      <c r="F1095" s="13"/>
      <c r="G1095" s="18">
        <v>7000000</v>
      </c>
      <c r="H1095" s="18">
        <v>6700409.1600000001</v>
      </c>
      <c r="I1095" s="18">
        <v>7000000</v>
      </c>
      <c r="J1095" s="18">
        <v>6700409.1600000001</v>
      </c>
      <c r="K1095" s="15">
        <v>10604195</v>
      </c>
      <c r="L1095" s="13" t="s">
        <v>102</v>
      </c>
      <c r="M1095" s="13" t="s">
        <v>103</v>
      </c>
      <c r="N1095" s="138" t="s">
        <v>424</v>
      </c>
      <c r="O1095" s="138" t="s">
        <v>424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2635</v>
      </c>
      <c r="V1095" s="13" t="s">
        <v>2635</v>
      </c>
      <c r="W1095" s="59">
        <f>+J1095/$W$2</f>
        <v>1.0965939174515421E-4</v>
      </c>
    </row>
    <row r="1096" spans="1:29">
      <c r="A1096" s="13" t="s">
        <v>2689</v>
      </c>
      <c r="B1096" s="13" t="s">
        <v>404</v>
      </c>
      <c r="C1096" s="138">
        <v>46310</v>
      </c>
      <c r="D1096" s="138" t="s">
        <v>424</v>
      </c>
      <c r="E1096" s="28">
        <v>0.95720130999999997</v>
      </c>
      <c r="F1096" s="13"/>
      <c r="G1096" s="18">
        <v>12000000</v>
      </c>
      <c r="H1096" s="18">
        <v>11486415.720000001</v>
      </c>
      <c r="I1096" s="18">
        <v>12000000</v>
      </c>
      <c r="J1096" s="18">
        <v>11486415.720000001</v>
      </c>
      <c r="K1096" s="15">
        <v>68962620</v>
      </c>
      <c r="L1096" s="13" t="s">
        <v>102</v>
      </c>
      <c r="M1096" s="13" t="s">
        <v>103</v>
      </c>
      <c r="N1096" s="138" t="s">
        <v>424</v>
      </c>
      <c r="O1096" s="138" t="s">
        <v>424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2661</v>
      </c>
      <c r="V1096" s="13" t="s">
        <v>2661</v>
      </c>
      <c r="W1096" s="59">
        <f>+J1096/$W$2</f>
        <v>1.879875289865399E-4</v>
      </c>
    </row>
    <row r="1097" spans="1:29">
      <c r="A1097" s="13" t="s">
        <v>413</v>
      </c>
      <c r="B1097" s="13" t="s">
        <v>404</v>
      </c>
      <c r="C1097" s="138">
        <v>46310</v>
      </c>
      <c r="D1097" s="138" t="s">
        <v>424</v>
      </c>
      <c r="E1097" s="28">
        <v>0.95720139000000004</v>
      </c>
      <c r="F1097" s="13"/>
      <c r="G1097" s="18">
        <v>14479899.68</v>
      </c>
      <c r="H1097" s="18">
        <v>13860180.109999999</v>
      </c>
      <c r="I1097" s="18">
        <v>14479899.68</v>
      </c>
      <c r="J1097" s="18">
        <v>13860180.109999999</v>
      </c>
      <c r="K1097" s="15">
        <v>9933003</v>
      </c>
      <c r="L1097" s="13" t="s">
        <v>102</v>
      </c>
      <c r="M1097" s="13" t="s">
        <v>103</v>
      </c>
      <c r="N1097" s="138" t="s">
        <v>338</v>
      </c>
      <c r="O1097" s="138" t="s">
        <v>338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1006</v>
      </c>
      <c r="V1097" s="13" t="s">
        <v>1006</v>
      </c>
      <c r="W1097" s="59">
        <f>+J1097/$W$2</f>
        <v>2.2683673251095674E-4</v>
      </c>
    </row>
    <row r="1098" spans="1:29">
      <c r="A1098" s="13" t="s">
        <v>189</v>
      </c>
      <c r="B1098" s="13" t="s">
        <v>404</v>
      </c>
      <c r="C1098" s="138">
        <v>46310</v>
      </c>
      <c r="D1098" s="138" t="s">
        <v>424</v>
      </c>
      <c r="E1098" s="28">
        <v>0.95592290000000002</v>
      </c>
      <c r="F1098" s="13"/>
      <c r="G1098" s="18">
        <v>24760170.170000002</v>
      </c>
      <c r="H1098" s="18">
        <v>23668813.579999998</v>
      </c>
      <c r="I1098" s="18">
        <v>24760170.170000002</v>
      </c>
      <c r="J1098" s="18">
        <v>23668813.579999998</v>
      </c>
      <c r="K1098" s="15">
        <v>634087</v>
      </c>
      <c r="L1098" s="13" t="s">
        <v>102</v>
      </c>
      <c r="M1098" s="13" t="s">
        <v>103</v>
      </c>
      <c r="N1098" s="138" t="s">
        <v>170</v>
      </c>
      <c r="O1098" s="138" t="s">
        <v>170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2509</v>
      </c>
      <c r="V1098" s="13" t="s">
        <v>2509</v>
      </c>
      <c r="W1098" s="59">
        <f>+J1098/$W$2</f>
        <v>3.8736555313769009E-4</v>
      </c>
    </row>
    <row r="1099" spans="1:29">
      <c r="A1099" s="13" t="s">
        <v>189</v>
      </c>
      <c r="B1099" s="13" t="s">
        <v>404</v>
      </c>
      <c r="C1099" s="138">
        <v>46310</v>
      </c>
      <c r="D1099" s="138" t="s">
        <v>424</v>
      </c>
      <c r="E1099" s="28">
        <v>0.96234989999999998</v>
      </c>
      <c r="F1099" s="13"/>
      <c r="G1099" s="18">
        <v>5138761.4000000004</v>
      </c>
      <c r="H1099" s="18">
        <v>4945286.51</v>
      </c>
      <c r="I1099" s="18">
        <v>5138761.4000000004</v>
      </c>
      <c r="J1099" s="18">
        <v>4945286.51</v>
      </c>
      <c r="K1099" s="15">
        <v>646844</v>
      </c>
      <c r="L1099" s="13" t="s">
        <v>102</v>
      </c>
      <c r="M1099" s="13" t="s">
        <v>103</v>
      </c>
      <c r="N1099" s="138" t="s">
        <v>639</v>
      </c>
      <c r="O1099" s="138" t="s">
        <v>639</v>
      </c>
      <c r="P1099" s="28">
        <v>28</v>
      </c>
      <c r="Q1099" s="13" t="s">
        <v>54</v>
      </c>
      <c r="R1099" s="13" t="s">
        <v>28</v>
      </c>
      <c r="S1099" s="13"/>
      <c r="T1099" s="13"/>
      <c r="U1099" s="13" t="s">
        <v>2154</v>
      </c>
      <c r="V1099" s="13" t="s">
        <v>2154</v>
      </c>
      <c r="W1099" s="59">
        <f>+J1099/$W$2</f>
        <v>8.0934924680348385E-5</v>
      </c>
    </row>
    <row r="1100" spans="1:29">
      <c r="A1100" s="13" t="s">
        <v>189</v>
      </c>
      <c r="B1100" s="13" t="s">
        <v>404</v>
      </c>
      <c r="C1100" s="138">
        <v>46310</v>
      </c>
      <c r="D1100" s="138" t="s">
        <v>424</v>
      </c>
      <c r="E1100" s="28">
        <v>0.96234989999999998</v>
      </c>
      <c r="F1100" s="13"/>
      <c r="G1100" s="18">
        <v>19156984.969999999</v>
      </c>
      <c r="H1100" s="18">
        <v>18435722.550000001</v>
      </c>
      <c r="I1100" s="18">
        <v>19156984.969999999</v>
      </c>
      <c r="J1100" s="18">
        <v>18435722.550000001</v>
      </c>
      <c r="K1100" s="15">
        <v>639279</v>
      </c>
      <c r="L1100" s="13" t="s">
        <v>102</v>
      </c>
      <c r="M1100" s="13" t="s">
        <v>103</v>
      </c>
      <c r="N1100" s="138" t="s">
        <v>639</v>
      </c>
      <c r="O1100" s="138" t="s">
        <v>639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2158</v>
      </c>
      <c r="V1100" s="13" t="s">
        <v>2158</v>
      </c>
      <c r="W1100" s="59">
        <f>+J1100/$W$2</f>
        <v>3.0172039840256908E-4</v>
      </c>
    </row>
    <row r="1101" spans="1:29">
      <c r="A1101" s="13" t="s">
        <v>189</v>
      </c>
      <c r="B1101" s="13" t="s">
        <v>404</v>
      </c>
      <c r="C1101" s="138">
        <v>46310</v>
      </c>
      <c r="D1101" s="138" t="s">
        <v>424</v>
      </c>
      <c r="E1101" s="28">
        <v>0.96234989999999998</v>
      </c>
      <c r="F1101" s="13"/>
      <c r="G1101" s="18">
        <v>51998969.399999999</v>
      </c>
      <c r="H1101" s="18">
        <v>50041202.950000003</v>
      </c>
      <c r="I1101" s="18">
        <v>51998969.399999999</v>
      </c>
      <c r="J1101" s="18">
        <v>50041202.950000003</v>
      </c>
      <c r="K1101" s="15">
        <v>639780</v>
      </c>
      <c r="L1101" s="13" t="s">
        <v>102</v>
      </c>
      <c r="M1101" s="13" t="s">
        <v>103</v>
      </c>
      <c r="N1101" s="138" t="s">
        <v>639</v>
      </c>
      <c r="O1101" s="138" t="s">
        <v>639</v>
      </c>
      <c r="P1101" s="28">
        <v>28</v>
      </c>
      <c r="Q1101" s="13" t="s">
        <v>54</v>
      </c>
      <c r="R1101" s="13" t="s">
        <v>28</v>
      </c>
      <c r="S1101" s="13"/>
      <c r="T1101" s="13"/>
      <c r="U1101" s="13" t="s">
        <v>2159</v>
      </c>
      <c r="V1101" s="13" t="s">
        <v>2159</v>
      </c>
      <c r="W1101" s="59">
        <f>+J1101/$W$2</f>
        <v>8.1897802755866568E-4</v>
      </c>
      <c r="AC1101" s="56"/>
    </row>
    <row r="1102" spans="1:29">
      <c r="A1102" s="13" t="s">
        <v>721</v>
      </c>
      <c r="B1102" s="13" t="s">
        <v>404</v>
      </c>
      <c r="C1102" s="138">
        <v>46310</v>
      </c>
      <c r="D1102" s="138" t="s">
        <v>424</v>
      </c>
      <c r="E1102" s="28">
        <v>0.95976872000000002</v>
      </c>
      <c r="F1102" s="13"/>
      <c r="G1102" s="18">
        <v>50000000</v>
      </c>
      <c r="H1102" s="18">
        <v>47988435.850000001</v>
      </c>
      <c r="I1102" s="18">
        <v>50000000</v>
      </c>
      <c r="J1102" s="18">
        <v>47988435.850000001</v>
      </c>
      <c r="K1102" s="15">
        <v>68018</v>
      </c>
      <c r="L1102" s="13" t="s">
        <v>102</v>
      </c>
      <c r="M1102" s="13" t="s">
        <v>103</v>
      </c>
      <c r="N1102" s="138" t="s">
        <v>385</v>
      </c>
      <c r="O1102" s="138" t="s">
        <v>385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1899</v>
      </c>
      <c r="V1102" s="13" t="s">
        <v>1899</v>
      </c>
      <c r="W1102" s="59">
        <f>+J1102/$W$2</f>
        <v>7.8538228941713647E-4</v>
      </c>
    </row>
    <row r="1103" spans="1:29">
      <c r="A1103" s="13" t="s">
        <v>1808</v>
      </c>
      <c r="B1103" s="13" t="s">
        <v>404</v>
      </c>
      <c r="C1103" s="138">
        <v>46310</v>
      </c>
      <c r="D1103" s="138" t="s">
        <v>424</v>
      </c>
      <c r="E1103" s="28">
        <v>0.95976865</v>
      </c>
      <c r="F1103" s="13"/>
      <c r="G1103" s="18">
        <v>2531175.63</v>
      </c>
      <c r="H1103" s="18">
        <v>2429343.02</v>
      </c>
      <c r="I1103" s="18">
        <v>2531175.63</v>
      </c>
      <c r="J1103" s="18">
        <v>2429343.02</v>
      </c>
      <c r="K1103" s="15">
        <v>392</v>
      </c>
      <c r="L1103" s="13" t="s">
        <v>102</v>
      </c>
      <c r="M1103" s="13" t="s">
        <v>103</v>
      </c>
      <c r="N1103" s="138" t="s">
        <v>384</v>
      </c>
      <c r="O1103" s="138" t="s">
        <v>384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1788</v>
      </c>
      <c r="V1103" s="13" t="s">
        <v>1788</v>
      </c>
      <c r="W1103" s="59">
        <f>+J1103/$W$2</f>
        <v>3.9758807492516769E-5</v>
      </c>
    </row>
    <row r="1104" spans="1:29">
      <c r="A1104" s="13" t="s">
        <v>2220</v>
      </c>
      <c r="B1104" s="13" t="s">
        <v>404</v>
      </c>
      <c r="C1104" s="138">
        <v>46310</v>
      </c>
      <c r="D1104" s="138" t="s">
        <v>424</v>
      </c>
      <c r="E1104" s="28">
        <v>0.95720130999999997</v>
      </c>
      <c r="F1104" s="13"/>
      <c r="G1104" s="18">
        <v>5834327.1299999999</v>
      </c>
      <c r="H1104" s="18">
        <v>5584625.5599999996</v>
      </c>
      <c r="I1104" s="18">
        <v>5834327.1299999999</v>
      </c>
      <c r="J1104" s="18">
        <v>5584625.5599999996</v>
      </c>
      <c r="K1104" s="15">
        <v>90001654</v>
      </c>
      <c r="L1104" s="13" t="s">
        <v>102</v>
      </c>
      <c r="M1104" s="13" t="s">
        <v>103</v>
      </c>
      <c r="N1104" s="138" t="s">
        <v>424</v>
      </c>
      <c r="O1104" s="138" t="s">
        <v>424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2657</v>
      </c>
      <c r="V1104" s="13" t="s">
        <v>2657</v>
      </c>
      <c r="W1104" s="59">
        <f>+J1104/$W$2</f>
        <v>9.1398394845791935E-5</v>
      </c>
    </row>
    <row r="1105" spans="1:29">
      <c r="A1105" s="13" t="s">
        <v>2322</v>
      </c>
      <c r="B1105" s="13" t="s">
        <v>404</v>
      </c>
      <c r="C1105" s="138">
        <v>46310</v>
      </c>
      <c r="D1105" s="138" t="s">
        <v>424</v>
      </c>
      <c r="E1105" s="28">
        <v>0.96234980999999997</v>
      </c>
      <c r="F1105" s="13"/>
      <c r="G1105" s="18">
        <v>50000000</v>
      </c>
      <c r="H1105" s="18">
        <v>48117490.549999997</v>
      </c>
      <c r="I1105" s="18">
        <v>50000000</v>
      </c>
      <c r="J1105" s="18">
        <v>48117490.549999997</v>
      </c>
      <c r="K1105" s="15">
        <v>29</v>
      </c>
      <c r="L1105" s="13" t="s">
        <v>102</v>
      </c>
      <c r="M1105" s="13" t="s">
        <v>103</v>
      </c>
      <c r="N1105" s="138" t="s">
        <v>441</v>
      </c>
      <c r="O1105" s="138" t="s">
        <v>441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2309</v>
      </c>
      <c r="V1105" s="13" t="s">
        <v>2309</v>
      </c>
      <c r="W1105" s="59">
        <f>+J1105/$W$2</f>
        <v>7.8749440817972452E-4</v>
      </c>
    </row>
    <row r="1106" spans="1:29">
      <c r="A1106" s="13" t="s">
        <v>2341</v>
      </c>
      <c r="B1106" s="13" t="s">
        <v>404</v>
      </c>
      <c r="C1106" s="138">
        <v>46310</v>
      </c>
      <c r="D1106" s="138" t="s">
        <v>424</v>
      </c>
      <c r="E1106" s="28">
        <v>0.95464788</v>
      </c>
      <c r="F1106" s="13"/>
      <c r="G1106" s="18">
        <v>40000000</v>
      </c>
      <c r="H1106" s="18">
        <v>38185915.270000003</v>
      </c>
      <c r="I1106" s="18">
        <v>40000000</v>
      </c>
      <c r="J1106" s="18">
        <v>38185915.270000003</v>
      </c>
      <c r="K1106" s="15">
        <v>3794762</v>
      </c>
      <c r="L1106" s="13" t="s">
        <v>102</v>
      </c>
      <c r="M1106" s="13" t="s">
        <v>103</v>
      </c>
      <c r="N1106" s="138" t="s">
        <v>535</v>
      </c>
      <c r="O1106" s="138" t="s">
        <v>535</v>
      </c>
      <c r="P1106" s="28">
        <v>34</v>
      </c>
      <c r="Q1106" s="13" t="s">
        <v>54</v>
      </c>
      <c r="R1106" s="13" t="s">
        <v>28</v>
      </c>
      <c r="S1106" s="13"/>
      <c r="T1106" s="13"/>
      <c r="U1106" s="13" t="s">
        <v>2331</v>
      </c>
      <c r="V1106" s="13" t="s">
        <v>2331</v>
      </c>
      <c r="W1106" s="59">
        <f>+J1106/$W$2</f>
        <v>6.2495351280013409E-4</v>
      </c>
    </row>
    <row r="1107" spans="1:29">
      <c r="A1107" s="13" t="s">
        <v>1905</v>
      </c>
      <c r="B1107" s="13" t="s">
        <v>404</v>
      </c>
      <c r="C1107" s="138">
        <v>46310</v>
      </c>
      <c r="D1107" s="138" t="s">
        <v>424</v>
      </c>
      <c r="E1107" s="28">
        <v>0.95337603999999998</v>
      </c>
      <c r="F1107" s="13"/>
      <c r="G1107" s="18">
        <v>463612.88</v>
      </c>
      <c r="H1107" s="18">
        <v>441997.41</v>
      </c>
      <c r="I1107" s="18">
        <v>463612.88</v>
      </c>
      <c r="J1107" s="18">
        <v>441997.41</v>
      </c>
      <c r="K1107" s="15">
        <v>115549</v>
      </c>
      <c r="L1107" s="13" t="s">
        <v>102</v>
      </c>
      <c r="M1107" s="13" t="s">
        <v>103</v>
      </c>
      <c r="N1107" s="138" t="s">
        <v>422</v>
      </c>
      <c r="O1107" s="138" t="s">
        <v>422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2235</v>
      </c>
      <c r="V1107" s="13" t="s">
        <v>2235</v>
      </c>
      <c r="W1107" s="59">
        <f>+J1107/$W$2</f>
        <v>7.2337622936348465E-6</v>
      </c>
    </row>
    <row r="1108" spans="1:29">
      <c r="A1108" s="13" t="s">
        <v>1349</v>
      </c>
      <c r="B1108" s="13" t="s">
        <v>404</v>
      </c>
      <c r="C1108" s="138">
        <v>46311</v>
      </c>
      <c r="D1108" s="138" t="s">
        <v>424</v>
      </c>
      <c r="E1108" s="28">
        <v>0.95901208999999998</v>
      </c>
      <c r="F1108" s="13"/>
      <c r="G1108" s="18">
        <v>2000000</v>
      </c>
      <c r="H1108" s="18">
        <v>1918024.18</v>
      </c>
      <c r="I1108" s="18">
        <v>2000000</v>
      </c>
      <c r="J1108" s="18">
        <v>1918024.18</v>
      </c>
      <c r="K1108" s="15">
        <v>9800</v>
      </c>
      <c r="L1108" s="13" t="s">
        <v>102</v>
      </c>
      <c r="M1108" s="13" t="s">
        <v>103</v>
      </c>
      <c r="N1108" s="138" t="s">
        <v>173</v>
      </c>
      <c r="O1108" s="138" t="s">
        <v>173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2006</v>
      </c>
      <c r="V1108" s="13" t="s">
        <v>2006</v>
      </c>
      <c r="W1108" s="59">
        <f>+J1108/$W$2</f>
        <v>3.1390525549830477E-5</v>
      </c>
    </row>
    <row r="1109" spans="1:29">
      <c r="A1109" s="13" t="s">
        <v>302</v>
      </c>
      <c r="B1109" s="13" t="s">
        <v>404</v>
      </c>
      <c r="C1109" s="138">
        <v>46311</v>
      </c>
      <c r="D1109" s="138" t="s">
        <v>424</v>
      </c>
      <c r="E1109" s="28">
        <v>0.95250526000000002</v>
      </c>
      <c r="F1109" s="13"/>
      <c r="G1109" s="18">
        <v>3455000</v>
      </c>
      <c r="H1109" s="18">
        <v>3290905.68</v>
      </c>
      <c r="I1109" s="18">
        <v>3455000</v>
      </c>
      <c r="J1109" s="18">
        <v>3290905.68</v>
      </c>
      <c r="K1109" s="15">
        <v>40773792</v>
      </c>
      <c r="L1109" s="13" t="s">
        <v>102</v>
      </c>
      <c r="M1109" s="13" t="s">
        <v>103</v>
      </c>
      <c r="N1109" s="138" t="s">
        <v>441</v>
      </c>
      <c r="O1109" s="138" t="s">
        <v>441</v>
      </c>
      <c r="P1109" s="28">
        <v>35</v>
      </c>
      <c r="Q1109" s="13" t="s">
        <v>54</v>
      </c>
      <c r="R1109" s="13" t="s">
        <v>28</v>
      </c>
      <c r="S1109" s="13"/>
      <c r="T1109" s="13"/>
      <c r="U1109" s="13" t="s">
        <v>2281</v>
      </c>
      <c r="V1109" s="13" t="s">
        <v>2281</v>
      </c>
      <c r="W1109" s="59">
        <f>+J1109/$W$2</f>
        <v>5.3859205690578021E-5</v>
      </c>
    </row>
    <row r="1110" spans="1:29">
      <c r="A1110" s="13" t="s">
        <v>1849</v>
      </c>
      <c r="B1110" s="13" t="s">
        <v>404</v>
      </c>
      <c r="C1110" s="138">
        <v>46311</v>
      </c>
      <c r="D1110" s="138" t="s">
        <v>424</v>
      </c>
      <c r="E1110" s="28">
        <v>0.95379968000000004</v>
      </c>
      <c r="F1110" s="13"/>
      <c r="G1110" s="18">
        <v>10000000</v>
      </c>
      <c r="H1110" s="18">
        <v>9537996.8000000007</v>
      </c>
      <c r="I1110" s="18">
        <v>10000000</v>
      </c>
      <c r="J1110" s="18">
        <v>9537996.8000000007</v>
      </c>
      <c r="K1110" s="15">
        <v>6034859</v>
      </c>
      <c r="L1110" s="13" t="s">
        <v>102</v>
      </c>
      <c r="M1110" s="13" t="s">
        <v>103</v>
      </c>
      <c r="N1110" s="138" t="s">
        <v>386</v>
      </c>
      <c r="O1110" s="138" t="s">
        <v>386</v>
      </c>
      <c r="P1110" s="28">
        <v>34</v>
      </c>
      <c r="Q1110" s="13" t="s">
        <v>54</v>
      </c>
      <c r="R1110" s="13" t="s">
        <v>28</v>
      </c>
      <c r="S1110" s="13"/>
      <c r="T1110" s="13"/>
      <c r="U1110" s="13" t="s">
        <v>1848</v>
      </c>
      <c r="V1110" s="13" t="s">
        <v>1848</v>
      </c>
      <c r="W1110" s="59">
        <f>+J1110/$W$2</f>
        <v>1.5609956087446266E-4</v>
      </c>
    </row>
    <row r="1111" spans="1:29">
      <c r="A1111" s="13" t="s">
        <v>626</v>
      </c>
      <c r="B1111" s="13" t="s">
        <v>404</v>
      </c>
      <c r="C1111" s="138">
        <v>46311</v>
      </c>
      <c r="D1111" s="138" t="s">
        <v>424</v>
      </c>
      <c r="E1111" s="28">
        <v>0.95509743000000002</v>
      </c>
      <c r="F1111" s="13"/>
      <c r="G1111" s="18">
        <v>7261808.2000000002</v>
      </c>
      <c r="H1111" s="18">
        <v>6935734.3200000003</v>
      </c>
      <c r="I1111" s="18">
        <v>7261808.2000000002</v>
      </c>
      <c r="J1111" s="18">
        <v>6935734.3200000003</v>
      </c>
      <c r="K1111" s="15">
        <v>90000672</v>
      </c>
      <c r="L1111" s="13" t="s">
        <v>102</v>
      </c>
      <c r="M1111" s="13" t="s">
        <v>103</v>
      </c>
      <c r="N1111" s="138" t="s">
        <v>164</v>
      </c>
      <c r="O1111" s="138" t="s">
        <v>164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885</v>
      </c>
      <c r="V1111" s="13" t="s">
        <v>885</v>
      </c>
      <c r="W1111" s="59">
        <f>+J1111/$W$2</f>
        <v>1.1351074071380899E-4</v>
      </c>
    </row>
    <row r="1112" spans="1:29">
      <c r="A1112" s="13" t="s">
        <v>744</v>
      </c>
      <c r="B1112" s="13" t="s">
        <v>404</v>
      </c>
      <c r="C1112" s="138">
        <v>46311</v>
      </c>
      <c r="D1112" s="138" t="s">
        <v>424</v>
      </c>
      <c r="E1112" s="28">
        <v>0.94736297999999997</v>
      </c>
      <c r="F1112" s="13"/>
      <c r="G1112" s="18">
        <v>3750000</v>
      </c>
      <c r="H1112" s="18">
        <v>3552611.18</v>
      </c>
      <c r="I1112" s="18">
        <v>3750000</v>
      </c>
      <c r="J1112" s="18">
        <v>3552611.18</v>
      </c>
      <c r="K1112" s="15">
        <v>66920206</v>
      </c>
      <c r="L1112" s="13" t="s">
        <v>102</v>
      </c>
      <c r="M1112" s="13" t="s">
        <v>103</v>
      </c>
      <c r="N1112" s="138" t="s">
        <v>322</v>
      </c>
      <c r="O1112" s="138" t="s">
        <v>322</v>
      </c>
      <c r="P1112" s="28">
        <v>39</v>
      </c>
      <c r="Q1112" s="13" t="s">
        <v>54</v>
      </c>
      <c r="R1112" s="13" t="s">
        <v>28</v>
      </c>
      <c r="S1112" s="13"/>
      <c r="T1112" s="13"/>
      <c r="U1112" s="13" t="s">
        <v>728</v>
      </c>
      <c r="V1112" s="13" t="s">
        <v>728</v>
      </c>
      <c r="W1112" s="59">
        <f>+J1112/$W$2</f>
        <v>5.8142297254252239E-5</v>
      </c>
    </row>
    <row r="1113" spans="1:29">
      <c r="A1113" s="13" t="s">
        <v>537</v>
      </c>
      <c r="B1113" s="13" t="s">
        <v>404</v>
      </c>
      <c r="C1113" s="138">
        <v>46311</v>
      </c>
      <c r="D1113" s="138" t="s">
        <v>424</v>
      </c>
      <c r="E1113" s="28">
        <v>0.96693867</v>
      </c>
      <c r="F1113" s="13"/>
      <c r="G1113" s="18">
        <v>10000000</v>
      </c>
      <c r="H1113" s="18">
        <v>9669386.6699999999</v>
      </c>
      <c r="I1113" s="18">
        <v>10000000</v>
      </c>
      <c r="J1113" s="18">
        <v>9669386.6699999999</v>
      </c>
      <c r="K1113" s="15">
        <v>425</v>
      </c>
      <c r="L1113" s="13" t="s">
        <v>102</v>
      </c>
      <c r="M1113" s="13" t="s">
        <v>103</v>
      </c>
      <c r="N1113" s="138" t="s">
        <v>161</v>
      </c>
      <c r="O1113" s="138" t="s">
        <v>161</v>
      </c>
      <c r="P1113" s="28">
        <v>24</v>
      </c>
      <c r="Q1113" s="13" t="s">
        <v>54</v>
      </c>
      <c r="R1113" s="13" t="s">
        <v>28</v>
      </c>
      <c r="S1113" s="13"/>
      <c r="T1113" s="13"/>
      <c r="U1113" s="13" t="s">
        <v>1670</v>
      </c>
      <c r="V1113" s="13" t="s">
        <v>1670</v>
      </c>
      <c r="W1113" s="59">
        <f>+J1113/$W$2</f>
        <v>1.5824989720193477E-4</v>
      </c>
      <c r="AC1113" s="56"/>
    </row>
    <row r="1114" spans="1:29">
      <c r="A1114" s="13" t="s">
        <v>516</v>
      </c>
      <c r="B1114" s="13" t="s">
        <v>127</v>
      </c>
      <c r="C1114" s="138">
        <v>46311</v>
      </c>
      <c r="D1114" s="138" t="s">
        <v>424</v>
      </c>
      <c r="E1114" s="28">
        <v>0.98873175999999996</v>
      </c>
      <c r="F1114" s="13" t="s">
        <v>2681</v>
      </c>
      <c r="G1114" s="18">
        <v>18230</v>
      </c>
      <c r="H1114" s="18">
        <v>18024.580000000002</v>
      </c>
      <c r="I1114" s="18">
        <v>27555238.199999999</v>
      </c>
      <c r="J1114" s="18">
        <v>27244739.190000001</v>
      </c>
      <c r="K1114" s="15">
        <v>146445</v>
      </c>
      <c r="L1114" s="13" t="s">
        <v>102</v>
      </c>
      <c r="M1114" s="13" t="s">
        <v>103</v>
      </c>
      <c r="N1114" s="138" t="s">
        <v>316</v>
      </c>
      <c r="O1114" s="138" t="s">
        <v>316</v>
      </c>
      <c r="P1114" s="28">
        <v>8</v>
      </c>
      <c r="Q1114" s="13" t="s">
        <v>54</v>
      </c>
      <c r="R1114" s="13" t="s">
        <v>28</v>
      </c>
      <c r="S1114" s="13"/>
      <c r="T1114" s="13"/>
      <c r="U1114" s="13" t="s">
        <v>498</v>
      </c>
      <c r="V1114" s="13" t="s">
        <v>498</v>
      </c>
      <c r="W1114" s="59">
        <f>+J1114/$W$2</f>
        <v>4.4588941607720642E-4</v>
      </c>
    </row>
    <row r="1115" spans="1:29">
      <c r="A1115" s="13" t="s">
        <v>565</v>
      </c>
      <c r="B1115" s="13" t="s">
        <v>404</v>
      </c>
      <c r="C1115" s="138">
        <v>46311</v>
      </c>
      <c r="D1115" s="138" t="s">
        <v>424</v>
      </c>
      <c r="E1115" s="28">
        <v>0.96560857</v>
      </c>
      <c r="F1115" s="13"/>
      <c r="G1115" s="18">
        <v>32000000</v>
      </c>
      <c r="H1115" s="18">
        <v>30899474.260000002</v>
      </c>
      <c r="I1115" s="18">
        <v>32000000</v>
      </c>
      <c r="J1115" s="18">
        <v>30899474.260000002</v>
      </c>
      <c r="K1115" s="15">
        <v>5312</v>
      </c>
      <c r="L1115" s="13" t="s">
        <v>102</v>
      </c>
      <c r="M1115" s="13" t="s">
        <v>103</v>
      </c>
      <c r="N1115" s="138" t="s">
        <v>346</v>
      </c>
      <c r="O1115" s="138" t="s">
        <v>346</v>
      </c>
      <c r="P1115" s="28">
        <v>25</v>
      </c>
      <c r="Q1115" s="13" t="s">
        <v>54</v>
      </c>
      <c r="R1115" s="13" t="s">
        <v>28</v>
      </c>
      <c r="S1115" s="13"/>
      <c r="T1115" s="13"/>
      <c r="U1115" s="13" t="s">
        <v>1524</v>
      </c>
      <c r="V1115" s="13" t="s">
        <v>1524</v>
      </c>
      <c r="W1115" s="59">
        <f>+J1115/$W$2</f>
        <v>5.0570308046630531E-4</v>
      </c>
    </row>
    <row r="1116" spans="1:29">
      <c r="A1116" s="13" t="s">
        <v>285</v>
      </c>
      <c r="B1116" s="13" t="s">
        <v>404</v>
      </c>
      <c r="C1116" s="138">
        <v>46311</v>
      </c>
      <c r="D1116" s="138" t="s">
        <v>424</v>
      </c>
      <c r="E1116" s="28">
        <v>0.96560858999999999</v>
      </c>
      <c r="F1116" s="13"/>
      <c r="G1116" s="18">
        <v>8650000</v>
      </c>
      <c r="H1116" s="18">
        <v>8352514.2800000003</v>
      </c>
      <c r="I1116" s="18">
        <v>8650000</v>
      </c>
      <c r="J1116" s="18">
        <v>8352514.2800000003</v>
      </c>
      <c r="K1116" s="15">
        <v>34387</v>
      </c>
      <c r="L1116" s="13" t="s">
        <v>102</v>
      </c>
      <c r="M1116" s="13" t="s">
        <v>103</v>
      </c>
      <c r="N1116" s="138" t="s">
        <v>383</v>
      </c>
      <c r="O1116" s="138" t="s">
        <v>383</v>
      </c>
      <c r="P1116" s="28">
        <v>25</v>
      </c>
      <c r="Q1116" s="13" t="s">
        <v>54</v>
      </c>
      <c r="R1116" s="13" t="s">
        <v>28</v>
      </c>
      <c r="S1116" s="13"/>
      <c r="T1116" s="13"/>
      <c r="U1116" s="13" t="s">
        <v>1632</v>
      </c>
      <c r="V1116" s="13" t="s">
        <v>1632</v>
      </c>
      <c r="W1116" s="59">
        <f>+J1116/$W$2</f>
        <v>1.366978662967971E-4</v>
      </c>
    </row>
    <row r="1117" spans="1:29">
      <c r="A1117" s="13" t="s">
        <v>285</v>
      </c>
      <c r="B1117" s="13" t="s">
        <v>404</v>
      </c>
      <c r="C1117" s="138">
        <v>46311</v>
      </c>
      <c r="D1117" s="138" t="s">
        <v>424</v>
      </c>
      <c r="E1117" s="28">
        <v>0.96295909999999996</v>
      </c>
      <c r="F1117" s="13"/>
      <c r="G1117" s="18">
        <v>24500000</v>
      </c>
      <c r="H1117" s="18">
        <v>23592497.870000001</v>
      </c>
      <c r="I1117" s="18">
        <v>24500000</v>
      </c>
      <c r="J1117" s="18">
        <v>23592497.870000001</v>
      </c>
      <c r="K1117" s="15">
        <v>34220</v>
      </c>
      <c r="L1117" s="13" t="s">
        <v>102</v>
      </c>
      <c r="M1117" s="13" t="s">
        <v>103</v>
      </c>
      <c r="N1117" s="138" t="s">
        <v>420</v>
      </c>
      <c r="O1117" s="138" t="s">
        <v>420</v>
      </c>
      <c r="P1117" s="28">
        <v>27</v>
      </c>
      <c r="Q1117" s="13" t="s">
        <v>54</v>
      </c>
      <c r="R1117" s="13" t="s">
        <v>28</v>
      </c>
      <c r="S1117" s="13"/>
      <c r="T1117" s="13"/>
      <c r="U1117" s="13" t="s">
        <v>1283</v>
      </c>
      <c r="V1117" s="13" t="s">
        <v>1283</v>
      </c>
      <c r="W1117" s="59">
        <f>+J1117/$W$2</f>
        <v>3.8611656458499712E-4</v>
      </c>
    </row>
    <row r="1118" spans="1:29">
      <c r="A1118" s="13" t="s">
        <v>285</v>
      </c>
      <c r="B1118" s="13" t="s">
        <v>404</v>
      </c>
      <c r="C1118" s="138">
        <v>46311</v>
      </c>
      <c r="D1118" s="138" t="s">
        <v>424</v>
      </c>
      <c r="E1118" s="28">
        <v>0.96295916999999998</v>
      </c>
      <c r="F1118" s="13"/>
      <c r="G1118" s="18">
        <v>15000000</v>
      </c>
      <c r="H1118" s="18">
        <v>14444387.5</v>
      </c>
      <c r="I1118" s="18">
        <v>15000000</v>
      </c>
      <c r="J1118" s="18">
        <v>14444387.5</v>
      </c>
      <c r="K1118" s="15">
        <v>11338652</v>
      </c>
      <c r="L1118" s="13" t="s">
        <v>102</v>
      </c>
      <c r="M1118" s="13" t="s">
        <v>103</v>
      </c>
      <c r="N1118" s="138" t="s">
        <v>346</v>
      </c>
      <c r="O1118" s="138" t="s">
        <v>346</v>
      </c>
      <c r="P1118" s="28">
        <v>27</v>
      </c>
      <c r="Q1118" s="13" t="s">
        <v>54</v>
      </c>
      <c r="R1118" s="13" t="s">
        <v>28</v>
      </c>
      <c r="S1118" s="13"/>
      <c r="T1118" s="13"/>
      <c r="U1118" s="13" t="s">
        <v>1530</v>
      </c>
      <c r="V1118" s="13" t="s">
        <v>1530</v>
      </c>
      <c r="W1118" s="59">
        <f>+J1118/$W$2</f>
        <v>2.3639791385236965E-4</v>
      </c>
    </row>
    <row r="1119" spans="1:29">
      <c r="A1119" s="13" t="s">
        <v>405</v>
      </c>
      <c r="B1119" s="13" t="s">
        <v>404</v>
      </c>
      <c r="C1119" s="138">
        <v>46311</v>
      </c>
      <c r="D1119" s="138" t="s">
        <v>424</v>
      </c>
      <c r="E1119" s="28">
        <v>0.95901217000000005</v>
      </c>
      <c r="F1119" s="13"/>
      <c r="G1119" s="18">
        <v>6500000</v>
      </c>
      <c r="H1119" s="18">
        <v>6233579.1200000001</v>
      </c>
      <c r="I1119" s="18">
        <v>6500000</v>
      </c>
      <c r="J1119" s="18">
        <v>6233579.1200000001</v>
      </c>
      <c r="K1119" s="15">
        <v>742</v>
      </c>
      <c r="L1119" s="13" t="s">
        <v>102</v>
      </c>
      <c r="M1119" s="13" t="s">
        <v>103</v>
      </c>
      <c r="N1119" s="138" t="s">
        <v>425</v>
      </c>
      <c r="O1119" s="138" t="s">
        <v>425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1319</v>
      </c>
      <c r="V1119" s="13" t="s">
        <v>1319</v>
      </c>
      <c r="W1119" s="59">
        <f>+J1119/$W$2</f>
        <v>1.0201921679279861E-4</v>
      </c>
    </row>
    <row r="1120" spans="1:29">
      <c r="A1120" s="13" t="s">
        <v>405</v>
      </c>
      <c r="B1120" s="13" t="s">
        <v>404</v>
      </c>
      <c r="C1120" s="138">
        <v>46311</v>
      </c>
      <c r="D1120" s="138" t="s">
        <v>424</v>
      </c>
      <c r="E1120" s="28">
        <v>0.95901212999999996</v>
      </c>
      <c r="F1120" s="13"/>
      <c r="G1120" s="18">
        <v>5000000</v>
      </c>
      <c r="H1120" s="18">
        <v>4795060.63</v>
      </c>
      <c r="I1120" s="18">
        <v>5000000</v>
      </c>
      <c r="J1120" s="18">
        <v>4795060.63</v>
      </c>
      <c r="K1120" s="15">
        <v>791</v>
      </c>
      <c r="L1120" s="13" t="s">
        <v>102</v>
      </c>
      <c r="M1120" s="13" t="s">
        <v>103</v>
      </c>
      <c r="N1120" s="138" t="s">
        <v>421</v>
      </c>
      <c r="O1120" s="138" t="s">
        <v>421</v>
      </c>
      <c r="P1120" s="28">
        <v>30</v>
      </c>
      <c r="Q1120" s="13" t="s">
        <v>54</v>
      </c>
      <c r="R1120" s="13" t="s">
        <v>28</v>
      </c>
      <c r="S1120" s="13"/>
      <c r="T1120" s="13"/>
      <c r="U1120" s="13" t="s">
        <v>1403</v>
      </c>
      <c r="V1120" s="13" t="s">
        <v>1403</v>
      </c>
      <c r="W1120" s="59">
        <f>+J1120/$W$2</f>
        <v>7.8476316820469489E-5</v>
      </c>
    </row>
    <row r="1121" spans="1:29">
      <c r="A1121" s="13" t="s">
        <v>405</v>
      </c>
      <c r="B1121" s="13" t="s">
        <v>404</v>
      </c>
      <c r="C1121" s="138">
        <v>46311</v>
      </c>
      <c r="D1121" s="138" t="s">
        <v>424</v>
      </c>
      <c r="E1121" s="28">
        <v>0.95901219000000004</v>
      </c>
      <c r="F1121" s="13"/>
      <c r="G1121" s="18">
        <v>2500000</v>
      </c>
      <c r="H1121" s="18">
        <v>2397530.48</v>
      </c>
      <c r="I1121" s="18">
        <v>2500000</v>
      </c>
      <c r="J1121" s="18">
        <v>2397530.48</v>
      </c>
      <c r="K1121" s="15">
        <v>883</v>
      </c>
      <c r="L1121" s="13" t="s">
        <v>102</v>
      </c>
      <c r="M1121" s="13" t="s">
        <v>103</v>
      </c>
      <c r="N1121" s="138" t="s">
        <v>484</v>
      </c>
      <c r="O1121" s="138" t="s">
        <v>484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2084</v>
      </c>
      <c r="V1121" s="13" t="s">
        <v>2084</v>
      </c>
      <c r="W1121" s="59">
        <f>+J1121/$W$2</f>
        <v>3.923816111063695E-5</v>
      </c>
    </row>
    <row r="1122" spans="1:29">
      <c r="A1122" s="13" t="s">
        <v>405</v>
      </c>
      <c r="B1122" s="13" t="s">
        <v>404</v>
      </c>
      <c r="C1122" s="138">
        <v>46311</v>
      </c>
      <c r="D1122" s="138" t="s">
        <v>424</v>
      </c>
      <c r="E1122" s="28">
        <v>0.95901214000000001</v>
      </c>
      <c r="F1122" s="13"/>
      <c r="G1122" s="18">
        <v>4000000</v>
      </c>
      <c r="H1122" s="18">
        <v>3836048.55</v>
      </c>
      <c r="I1122" s="18">
        <v>4000000</v>
      </c>
      <c r="J1122" s="18">
        <v>3836048.55</v>
      </c>
      <c r="K1122" s="15">
        <v>860</v>
      </c>
      <c r="L1122" s="13" t="s">
        <v>102</v>
      </c>
      <c r="M1122" s="13" t="s">
        <v>103</v>
      </c>
      <c r="N1122" s="138" t="s">
        <v>416</v>
      </c>
      <c r="O1122" s="138" t="s">
        <v>416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2032</v>
      </c>
      <c r="V1122" s="13" t="s">
        <v>2032</v>
      </c>
      <c r="W1122" s="59">
        <f>+J1122/$W$2</f>
        <v>6.2781054209214992E-5</v>
      </c>
    </row>
    <row r="1123" spans="1:29">
      <c r="A1123" s="13" t="s">
        <v>405</v>
      </c>
      <c r="B1123" s="13" t="s">
        <v>404</v>
      </c>
      <c r="C1123" s="138">
        <v>46311</v>
      </c>
      <c r="D1123" s="138" t="s">
        <v>424</v>
      </c>
      <c r="E1123" s="28">
        <v>0.95901223000000002</v>
      </c>
      <c r="F1123" s="13"/>
      <c r="G1123" s="18">
        <v>2500000</v>
      </c>
      <c r="H1123" s="18">
        <v>2397530.5699999998</v>
      </c>
      <c r="I1123" s="18">
        <v>2500000</v>
      </c>
      <c r="J1123" s="18">
        <v>2397530.5699999998</v>
      </c>
      <c r="K1123" s="15">
        <v>913</v>
      </c>
      <c r="L1123" s="13" t="s">
        <v>102</v>
      </c>
      <c r="M1123" s="13" t="s">
        <v>103</v>
      </c>
      <c r="N1123" s="138" t="s">
        <v>639</v>
      </c>
      <c r="O1123" s="138" t="s">
        <v>639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2129</v>
      </c>
      <c r="V1123" s="13" t="s">
        <v>2129</v>
      </c>
      <c r="W1123" s="59">
        <f>+J1123/$W$2</f>
        <v>3.9238162583583599E-5</v>
      </c>
    </row>
    <row r="1124" spans="1:29">
      <c r="A1124" s="13" t="s">
        <v>1417</v>
      </c>
      <c r="B1124" s="13" t="s">
        <v>404</v>
      </c>
      <c r="C1124" s="138">
        <v>46311</v>
      </c>
      <c r="D1124" s="138" t="s">
        <v>424</v>
      </c>
      <c r="E1124" s="28">
        <v>0.95639874000000002</v>
      </c>
      <c r="F1124" s="13"/>
      <c r="G1124" s="18">
        <v>475000000</v>
      </c>
      <c r="H1124" s="18">
        <v>454289401.82999998</v>
      </c>
      <c r="I1124" s="18">
        <v>475000000</v>
      </c>
      <c r="J1124" s="18">
        <v>454289401.82999998</v>
      </c>
      <c r="K1124" s="15">
        <v>930</v>
      </c>
      <c r="L1124" s="13" t="s">
        <v>102</v>
      </c>
      <c r="M1124" s="13" t="s">
        <v>103</v>
      </c>
      <c r="N1124" s="138" t="s">
        <v>421</v>
      </c>
      <c r="O1124" s="138" t="s">
        <v>421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1393</v>
      </c>
      <c r="V1124" s="13" t="s">
        <v>1393</v>
      </c>
      <c r="W1124" s="59">
        <f>+J1124/$W$2</f>
        <v>7.4349339408024658E-3</v>
      </c>
    </row>
    <row r="1125" spans="1:29">
      <c r="A1125" s="13" t="s">
        <v>427</v>
      </c>
      <c r="B1125" s="13" t="s">
        <v>404</v>
      </c>
      <c r="C1125" s="138">
        <v>46311</v>
      </c>
      <c r="D1125" s="138" t="s">
        <v>424</v>
      </c>
      <c r="E1125" s="28">
        <v>0.95379966000000005</v>
      </c>
      <c r="F1125" s="13"/>
      <c r="G1125" s="18">
        <v>100000000</v>
      </c>
      <c r="H1125" s="18">
        <v>95379965.790000007</v>
      </c>
      <c r="I1125" s="18">
        <v>100000000</v>
      </c>
      <c r="J1125" s="18">
        <v>95379965.790000007</v>
      </c>
      <c r="K1125" s="15">
        <v>1982</v>
      </c>
      <c r="L1125" s="13" t="s">
        <v>102</v>
      </c>
      <c r="M1125" s="13" t="s">
        <v>103</v>
      </c>
      <c r="N1125" s="138" t="s">
        <v>346</v>
      </c>
      <c r="O1125" s="138" t="s">
        <v>346</v>
      </c>
      <c r="P1125" s="28">
        <v>34</v>
      </c>
      <c r="Q1125" s="13" t="s">
        <v>54</v>
      </c>
      <c r="R1125" s="13" t="s">
        <v>28</v>
      </c>
      <c r="S1125" s="13"/>
      <c r="T1125" s="13"/>
      <c r="U1125" s="13" t="s">
        <v>1490</v>
      </c>
      <c r="V1125" s="13" t="s">
        <v>1490</v>
      </c>
      <c r="W1125" s="59">
        <f>+J1125/$W$2</f>
        <v>1.5609955725756032E-3</v>
      </c>
    </row>
    <row r="1126" spans="1:29">
      <c r="A1126" s="13" t="s">
        <v>356</v>
      </c>
      <c r="B1126" s="13" t="s">
        <v>404</v>
      </c>
      <c r="C1126" s="138">
        <v>46311</v>
      </c>
      <c r="D1126" s="138" t="s">
        <v>424</v>
      </c>
      <c r="E1126" s="28">
        <v>0.95639870999999999</v>
      </c>
      <c r="F1126" s="13"/>
      <c r="G1126" s="18">
        <v>40000000</v>
      </c>
      <c r="H1126" s="18">
        <v>38255948.219999999</v>
      </c>
      <c r="I1126" s="18">
        <v>40000000</v>
      </c>
      <c r="J1126" s="18">
        <v>38255948.219999999</v>
      </c>
      <c r="K1126" s="15">
        <v>13795909</v>
      </c>
      <c r="L1126" s="13" t="s">
        <v>102</v>
      </c>
      <c r="M1126" s="13" t="s">
        <v>103</v>
      </c>
      <c r="N1126" s="138" t="s">
        <v>390</v>
      </c>
      <c r="O1126" s="138" t="s">
        <v>390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1106</v>
      </c>
      <c r="V1126" s="13" t="s">
        <v>1106</v>
      </c>
      <c r="W1126" s="59">
        <f>+J1126/$W$2</f>
        <v>6.2609967723811582E-4</v>
      </c>
      <c r="AC1126" s="56"/>
    </row>
    <row r="1127" spans="1:29">
      <c r="A1127" s="13" t="s">
        <v>189</v>
      </c>
      <c r="B1127" s="13" t="s">
        <v>404</v>
      </c>
      <c r="C1127" s="138">
        <v>46311</v>
      </c>
      <c r="D1127" s="138" t="s">
        <v>424</v>
      </c>
      <c r="E1127" s="28">
        <v>0.96163991999999998</v>
      </c>
      <c r="F1127" s="13"/>
      <c r="G1127" s="18">
        <v>6838855.7400000002</v>
      </c>
      <c r="H1127" s="18">
        <v>6576516.6900000004</v>
      </c>
      <c r="I1127" s="18">
        <v>6838855.7400000002</v>
      </c>
      <c r="J1127" s="18">
        <v>6576516.6900000004</v>
      </c>
      <c r="K1127" s="15">
        <v>638547</v>
      </c>
      <c r="L1127" s="13" t="s">
        <v>102</v>
      </c>
      <c r="M1127" s="13" t="s">
        <v>103</v>
      </c>
      <c r="N1127" s="138" t="s">
        <v>639</v>
      </c>
      <c r="O1127" s="138" t="s">
        <v>639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2153</v>
      </c>
      <c r="V1127" s="13" t="s">
        <v>2153</v>
      </c>
      <c r="W1127" s="59">
        <f>+J1127/$W$2</f>
        <v>1.0763175842044471E-4</v>
      </c>
    </row>
    <row r="1128" spans="1:29">
      <c r="A1128" s="13" t="s">
        <v>189</v>
      </c>
      <c r="B1128" s="13" t="s">
        <v>404</v>
      </c>
      <c r="C1128" s="138">
        <v>46311</v>
      </c>
      <c r="D1128" s="138" t="s">
        <v>424</v>
      </c>
      <c r="E1128" s="28">
        <v>0.96163991999999998</v>
      </c>
      <c r="F1128" s="13"/>
      <c r="G1128" s="18">
        <v>9836282.4499999993</v>
      </c>
      <c r="H1128" s="18">
        <v>9458961.8900000006</v>
      </c>
      <c r="I1128" s="18">
        <v>9836282.4499999993</v>
      </c>
      <c r="J1128" s="18">
        <v>9458961.8900000006</v>
      </c>
      <c r="K1128" s="15">
        <v>636527</v>
      </c>
      <c r="L1128" s="13" t="s">
        <v>102</v>
      </c>
      <c r="M1128" s="13" t="s">
        <v>103</v>
      </c>
      <c r="N1128" s="138" t="s">
        <v>639</v>
      </c>
      <c r="O1128" s="138" t="s">
        <v>639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2162</v>
      </c>
      <c r="V1128" s="13" t="s">
        <v>2162</v>
      </c>
      <c r="W1128" s="59">
        <f>+J1128/$W$2</f>
        <v>1.5480606969351022E-4</v>
      </c>
      <c r="AC1128" s="56"/>
    </row>
    <row r="1129" spans="1:29">
      <c r="A1129" s="13" t="s">
        <v>189</v>
      </c>
      <c r="B1129" s="13" t="s">
        <v>404</v>
      </c>
      <c r="C1129" s="138">
        <v>46311</v>
      </c>
      <c r="D1129" s="138" t="s">
        <v>424</v>
      </c>
      <c r="E1129" s="28">
        <v>0.96163991999999998</v>
      </c>
      <c r="F1129" s="13"/>
      <c r="G1129" s="18">
        <v>5532603.9199999999</v>
      </c>
      <c r="H1129" s="18">
        <v>5320372.78</v>
      </c>
      <c r="I1129" s="18">
        <v>5532603.9199999999</v>
      </c>
      <c r="J1129" s="18">
        <v>5320372.78</v>
      </c>
      <c r="K1129" s="15">
        <v>636793</v>
      </c>
      <c r="L1129" s="13" t="s">
        <v>102</v>
      </c>
      <c r="M1129" s="13" t="s">
        <v>103</v>
      </c>
      <c r="N1129" s="138" t="s">
        <v>639</v>
      </c>
      <c r="O1129" s="138" t="s">
        <v>639</v>
      </c>
      <c r="P1129" s="28">
        <v>28</v>
      </c>
      <c r="Q1129" s="13" t="s">
        <v>54</v>
      </c>
      <c r="R1129" s="13" t="s">
        <v>28</v>
      </c>
      <c r="S1129" s="13"/>
      <c r="T1129" s="13"/>
      <c r="U1129" s="13" t="s">
        <v>2165</v>
      </c>
      <c r="V1129" s="13" t="s">
        <v>2165</v>
      </c>
      <c r="W1129" s="59">
        <f>+J1129/$W$2</f>
        <v>8.7073614309290202E-5</v>
      </c>
    </row>
    <row r="1130" spans="1:29">
      <c r="A1130" s="13" t="s">
        <v>189</v>
      </c>
      <c r="B1130" s="13" t="s">
        <v>404</v>
      </c>
      <c r="C1130" s="138">
        <v>46311</v>
      </c>
      <c r="D1130" s="138" t="s">
        <v>424</v>
      </c>
      <c r="E1130" s="28">
        <v>0.96163991999999998</v>
      </c>
      <c r="F1130" s="13"/>
      <c r="G1130" s="18">
        <v>6838855.7400000002</v>
      </c>
      <c r="H1130" s="18">
        <v>6576516.6900000004</v>
      </c>
      <c r="I1130" s="18">
        <v>6838855.7400000002</v>
      </c>
      <c r="J1130" s="18">
        <v>6576516.6900000004</v>
      </c>
      <c r="K1130" s="15">
        <v>638540</v>
      </c>
      <c r="L1130" s="13" t="s">
        <v>102</v>
      </c>
      <c r="M1130" s="13" t="s">
        <v>103</v>
      </c>
      <c r="N1130" s="138" t="s">
        <v>639</v>
      </c>
      <c r="O1130" s="138" t="s">
        <v>639</v>
      </c>
      <c r="P1130" s="28">
        <v>28</v>
      </c>
      <c r="Q1130" s="13" t="s">
        <v>54</v>
      </c>
      <c r="R1130" s="13" t="s">
        <v>28</v>
      </c>
      <c r="S1130" s="13"/>
      <c r="T1130" s="13"/>
      <c r="U1130" s="13" t="s">
        <v>2166</v>
      </c>
      <c r="V1130" s="13" t="s">
        <v>2166</v>
      </c>
      <c r="W1130" s="59">
        <f>+J1130/$W$2</f>
        <v>1.0763175842044471E-4</v>
      </c>
    </row>
    <row r="1131" spans="1:29">
      <c r="A1131" s="13" t="s">
        <v>189</v>
      </c>
      <c r="B1131" s="13" t="s">
        <v>404</v>
      </c>
      <c r="C1131" s="138">
        <v>46311</v>
      </c>
      <c r="D1131" s="138" t="s">
        <v>424</v>
      </c>
      <c r="E1131" s="28">
        <v>0.96295918000000003</v>
      </c>
      <c r="F1131" s="13"/>
      <c r="G1131" s="18">
        <v>4764805.54</v>
      </c>
      <c r="H1131" s="18">
        <v>4588313.24</v>
      </c>
      <c r="I1131" s="18">
        <v>4764805.54</v>
      </c>
      <c r="J1131" s="18">
        <v>4588313.24</v>
      </c>
      <c r="K1131" s="15">
        <v>662330</v>
      </c>
      <c r="L1131" s="13" t="s">
        <v>102</v>
      </c>
      <c r="M1131" s="13" t="s">
        <v>103</v>
      </c>
      <c r="N1131" s="138" t="s">
        <v>639</v>
      </c>
      <c r="O1131" s="138" t="s">
        <v>639</v>
      </c>
      <c r="P1131" s="28">
        <v>27</v>
      </c>
      <c r="Q1131" s="13" t="s">
        <v>54</v>
      </c>
      <c r="R1131" s="13" t="s">
        <v>28</v>
      </c>
      <c r="S1131" s="13"/>
      <c r="T1131" s="13"/>
      <c r="U1131" s="13" t="s">
        <v>2136</v>
      </c>
      <c r="V1131" s="13" t="s">
        <v>2136</v>
      </c>
      <c r="W1131" s="59">
        <f>+J1131/$W$2</f>
        <v>7.5092673748693547E-5</v>
      </c>
    </row>
    <row r="1132" spans="1:29">
      <c r="A1132" s="13" t="s">
        <v>174</v>
      </c>
      <c r="B1132" s="13" t="s">
        <v>404</v>
      </c>
      <c r="C1132" s="138">
        <v>46311</v>
      </c>
      <c r="D1132" s="138" t="s">
        <v>424</v>
      </c>
      <c r="E1132" s="28">
        <v>0.94864356000000005</v>
      </c>
      <c r="F1132" s="13"/>
      <c r="G1132" s="18">
        <v>269000000</v>
      </c>
      <c r="H1132" s="18">
        <v>255185118.02000001</v>
      </c>
      <c r="I1132" s="18">
        <v>269000000</v>
      </c>
      <c r="J1132" s="18">
        <v>255185118.02000001</v>
      </c>
      <c r="K1132" s="15">
        <v>70403625</v>
      </c>
      <c r="L1132" s="13" t="s">
        <v>102</v>
      </c>
      <c r="M1132" s="13" t="s">
        <v>103</v>
      </c>
      <c r="N1132" s="138" t="s">
        <v>345</v>
      </c>
      <c r="O1132" s="138" t="s">
        <v>345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2424</v>
      </c>
      <c r="V1132" s="13" t="s">
        <v>2424</v>
      </c>
      <c r="W1132" s="59">
        <f>+J1132/$W$2</f>
        <v>4.1763785100682703E-3</v>
      </c>
      <c r="AC1132" s="56"/>
    </row>
    <row r="1133" spans="1:29">
      <c r="A1133" s="13" t="s">
        <v>2693</v>
      </c>
      <c r="B1133" s="13" t="s">
        <v>404</v>
      </c>
      <c r="C1133" s="138">
        <v>46311</v>
      </c>
      <c r="D1133" s="138" t="s">
        <v>424</v>
      </c>
      <c r="E1133" s="28">
        <v>0.95639892000000004</v>
      </c>
      <c r="F1133" s="13"/>
      <c r="G1133" s="18">
        <v>5072132.87</v>
      </c>
      <c r="H1133" s="18">
        <v>4850982.4000000004</v>
      </c>
      <c r="I1133" s="18">
        <v>5072132.87</v>
      </c>
      <c r="J1133" s="18">
        <v>4850982.4000000004</v>
      </c>
      <c r="K1133" s="15">
        <v>30043166</v>
      </c>
      <c r="L1133" s="13" t="s">
        <v>102</v>
      </c>
      <c r="M1133" s="13" t="s">
        <v>103</v>
      </c>
      <c r="N1133" s="138" t="s">
        <v>424</v>
      </c>
      <c r="O1133" s="138" t="s">
        <v>424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2671</v>
      </c>
      <c r="V1133" s="13" t="s">
        <v>2671</v>
      </c>
      <c r="W1133" s="59">
        <f>+J1133/$W$2</f>
        <v>7.9391536643181403E-5</v>
      </c>
    </row>
    <row r="1134" spans="1:29">
      <c r="A1134" s="13" t="s">
        <v>2043</v>
      </c>
      <c r="B1134" s="13" t="s">
        <v>404</v>
      </c>
      <c r="C1134" s="138">
        <v>46311</v>
      </c>
      <c r="D1134" s="138" t="s">
        <v>424</v>
      </c>
      <c r="E1134" s="28">
        <v>0.96163997999999995</v>
      </c>
      <c r="F1134" s="13"/>
      <c r="G1134" s="18">
        <v>55065217.939999998</v>
      </c>
      <c r="H1134" s="18">
        <v>52952915.329999998</v>
      </c>
      <c r="I1134" s="18">
        <v>55065217.939999998</v>
      </c>
      <c r="J1134" s="18">
        <v>52952915.329999998</v>
      </c>
      <c r="K1134" s="15">
        <v>40293250</v>
      </c>
      <c r="L1134" s="13" t="s">
        <v>102</v>
      </c>
      <c r="M1134" s="13" t="s">
        <v>103</v>
      </c>
      <c r="N1134" s="138" t="s">
        <v>345</v>
      </c>
      <c r="O1134" s="138" t="s">
        <v>345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2419</v>
      </c>
      <c r="V1134" s="13" t="s">
        <v>2419</v>
      </c>
      <c r="W1134" s="59">
        <f>+J1134/$W$2</f>
        <v>8.6663132766364543E-4</v>
      </c>
      <c r="AC1134" s="56"/>
    </row>
    <row r="1135" spans="1:29">
      <c r="A1135" s="13" t="s">
        <v>2043</v>
      </c>
      <c r="B1135" s="13" t="s">
        <v>404</v>
      </c>
      <c r="C1135" s="138">
        <v>46311</v>
      </c>
      <c r="D1135" s="138" t="s">
        <v>424</v>
      </c>
      <c r="E1135" s="28">
        <v>0.96163997999999995</v>
      </c>
      <c r="F1135" s="13"/>
      <c r="G1135" s="18">
        <v>55065217.939999998</v>
      </c>
      <c r="H1135" s="18">
        <v>52952915.329999998</v>
      </c>
      <c r="I1135" s="18">
        <v>55065217.939999998</v>
      </c>
      <c r="J1135" s="18">
        <v>52952915.329999998</v>
      </c>
      <c r="K1135" s="15">
        <v>40293233</v>
      </c>
      <c r="L1135" s="13" t="s">
        <v>102</v>
      </c>
      <c r="M1135" s="13" t="s">
        <v>103</v>
      </c>
      <c r="N1135" s="138" t="s">
        <v>345</v>
      </c>
      <c r="O1135" s="138" t="s">
        <v>345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2420</v>
      </c>
      <c r="V1135" s="13" t="s">
        <v>2420</v>
      </c>
      <c r="W1135" s="59">
        <f>+J1135/$W$2</f>
        <v>8.6663132766364543E-4</v>
      </c>
    </row>
    <row r="1136" spans="1:29">
      <c r="A1136" s="13" t="s">
        <v>897</v>
      </c>
      <c r="B1136" s="13" t="s">
        <v>404</v>
      </c>
      <c r="C1136" s="138">
        <v>46311</v>
      </c>
      <c r="D1136" s="138" t="s">
        <v>424</v>
      </c>
      <c r="E1136" s="28">
        <v>0.95509743000000002</v>
      </c>
      <c r="F1136" s="13"/>
      <c r="G1136" s="18">
        <v>7190687</v>
      </c>
      <c r="H1136" s="18">
        <v>6867806.6500000004</v>
      </c>
      <c r="I1136" s="18">
        <v>7190687</v>
      </c>
      <c r="J1136" s="18">
        <v>6867806.6500000004</v>
      </c>
      <c r="K1136" s="15">
        <v>90001573</v>
      </c>
      <c r="L1136" s="13" t="s">
        <v>102</v>
      </c>
      <c r="M1136" s="13" t="s">
        <v>103</v>
      </c>
      <c r="N1136" s="138" t="s">
        <v>164</v>
      </c>
      <c r="O1136" s="138" t="s">
        <v>164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892</v>
      </c>
      <c r="V1136" s="13" t="s">
        <v>892</v>
      </c>
      <c r="W1136" s="59">
        <f>+J1136/$W$2</f>
        <v>1.1239903144397307E-4</v>
      </c>
    </row>
    <row r="1137" spans="1:29">
      <c r="A1137" s="13" t="s">
        <v>1418</v>
      </c>
      <c r="B1137" s="13" t="s">
        <v>404</v>
      </c>
      <c r="C1137" s="138">
        <v>46311</v>
      </c>
      <c r="D1137" s="138" t="s">
        <v>424</v>
      </c>
      <c r="E1137" s="28">
        <v>0.95639874000000002</v>
      </c>
      <c r="F1137" s="13"/>
      <c r="G1137" s="18">
        <v>9936187.5</v>
      </c>
      <c r="H1137" s="18">
        <v>9502957.2100000009</v>
      </c>
      <c r="I1137" s="18">
        <v>9936187.5</v>
      </c>
      <c r="J1137" s="18">
        <v>9502957.2100000009</v>
      </c>
      <c r="K1137" s="15">
        <v>67195494</v>
      </c>
      <c r="L1137" s="13" t="s">
        <v>102</v>
      </c>
      <c r="M1137" s="13" t="s">
        <v>103</v>
      </c>
      <c r="N1137" s="138" t="s">
        <v>421</v>
      </c>
      <c r="O1137" s="138" t="s">
        <v>421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1374</v>
      </c>
      <c r="V1137" s="13" t="s">
        <v>1374</v>
      </c>
      <c r="W1137" s="59">
        <f>+J1137/$W$2</f>
        <v>1.5552610035367268E-4</v>
      </c>
    </row>
    <row r="1138" spans="1:29">
      <c r="A1138" s="13" t="s">
        <v>302</v>
      </c>
      <c r="B1138" s="13" t="s">
        <v>404</v>
      </c>
      <c r="C1138" s="138">
        <v>46314</v>
      </c>
      <c r="D1138" s="138" t="s">
        <v>424</v>
      </c>
      <c r="E1138" s="28">
        <v>0.94990249999999998</v>
      </c>
      <c r="F1138" s="13"/>
      <c r="G1138" s="18">
        <v>2112995</v>
      </c>
      <c r="H1138" s="18">
        <v>2007139.23</v>
      </c>
      <c r="I1138" s="18">
        <v>2112995</v>
      </c>
      <c r="J1138" s="18">
        <v>2007139.23</v>
      </c>
      <c r="K1138" s="15">
        <v>40773793</v>
      </c>
      <c r="L1138" s="13" t="s">
        <v>102</v>
      </c>
      <c r="M1138" s="13" t="s">
        <v>103</v>
      </c>
      <c r="N1138" s="138" t="s">
        <v>441</v>
      </c>
      <c r="O1138" s="138" t="s">
        <v>441</v>
      </c>
      <c r="P1138" s="28">
        <v>35</v>
      </c>
      <c r="Q1138" s="13" t="s">
        <v>54</v>
      </c>
      <c r="R1138" s="13" t="s">
        <v>28</v>
      </c>
      <c r="S1138" s="13"/>
      <c r="T1138" s="13"/>
      <c r="U1138" s="13" t="s">
        <v>2282</v>
      </c>
      <c r="V1138" s="13" t="s">
        <v>2282</v>
      </c>
      <c r="W1138" s="59">
        <f>+J1138/$W$2</f>
        <v>3.2848989047355003E-5</v>
      </c>
    </row>
    <row r="1139" spans="1:29">
      <c r="A1139" s="13" t="s">
        <v>2343</v>
      </c>
      <c r="B1139" s="13" t="s">
        <v>404</v>
      </c>
      <c r="C1139" s="138">
        <v>46314</v>
      </c>
      <c r="D1139" s="138" t="s">
        <v>424</v>
      </c>
      <c r="E1139" s="28">
        <v>0.94990257</v>
      </c>
      <c r="F1139" s="13"/>
      <c r="G1139" s="18">
        <v>20000000</v>
      </c>
      <c r="H1139" s="18">
        <v>18998051.489999998</v>
      </c>
      <c r="I1139" s="18">
        <v>20000000</v>
      </c>
      <c r="J1139" s="18">
        <v>18998051.489999998</v>
      </c>
      <c r="K1139" s="15">
        <v>10549353</v>
      </c>
      <c r="L1139" s="13" t="s">
        <v>102</v>
      </c>
      <c r="M1139" s="13" t="s">
        <v>103</v>
      </c>
      <c r="N1139" s="138" t="s">
        <v>535</v>
      </c>
      <c r="O1139" s="138" t="s">
        <v>535</v>
      </c>
      <c r="P1139" s="28">
        <v>35</v>
      </c>
      <c r="Q1139" s="13" t="s">
        <v>54</v>
      </c>
      <c r="R1139" s="13" t="s">
        <v>28</v>
      </c>
      <c r="S1139" s="13"/>
      <c r="T1139" s="13"/>
      <c r="U1139" s="13" t="s">
        <v>2326</v>
      </c>
      <c r="V1139" s="13" t="s">
        <v>2326</v>
      </c>
      <c r="W1139" s="59">
        <f>+J1139/$W$2</f>
        <v>3.1092351541357516E-4</v>
      </c>
    </row>
    <row r="1140" spans="1:29">
      <c r="A1140" s="13" t="s">
        <v>744</v>
      </c>
      <c r="B1140" s="13" t="s">
        <v>404</v>
      </c>
      <c r="C1140" s="138">
        <v>46314</v>
      </c>
      <c r="D1140" s="138" t="s">
        <v>424</v>
      </c>
      <c r="E1140" s="28">
        <v>0.94449481999999996</v>
      </c>
      <c r="F1140" s="13"/>
      <c r="G1140" s="18">
        <v>3750000</v>
      </c>
      <c r="H1140" s="18">
        <v>3541855.56</v>
      </c>
      <c r="I1140" s="18">
        <v>3750000</v>
      </c>
      <c r="J1140" s="18">
        <v>3541855.56</v>
      </c>
      <c r="K1140" s="15">
        <v>66917997</v>
      </c>
      <c r="L1140" s="13" t="s">
        <v>102</v>
      </c>
      <c r="M1140" s="13" t="s">
        <v>103</v>
      </c>
      <c r="N1140" s="138" t="s">
        <v>322</v>
      </c>
      <c r="O1140" s="138" t="s">
        <v>322</v>
      </c>
      <c r="P1140" s="28">
        <v>39</v>
      </c>
      <c r="Q1140" s="13" t="s">
        <v>54</v>
      </c>
      <c r="R1140" s="13" t="s">
        <v>28</v>
      </c>
      <c r="S1140" s="13"/>
      <c r="T1140" s="13"/>
      <c r="U1140" s="13" t="s">
        <v>731</v>
      </c>
      <c r="V1140" s="13" t="s">
        <v>731</v>
      </c>
      <c r="W1140" s="59">
        <f>+J1140/$W$2</f>
        <v>5.7966269982054725E-5</v>
      </c>
    </row>
    <row r="1141" spans="1:29">
      <c r="A1141" s="13" t="s">
        <v>537</v>
      </c>
      <c r="B1141" s="13" t="s">
        <v>404</v>
      </c>
      <c r="C1141" s="138">
        <v>46314</v>
      </c>
      <c r="D1141" s="138" t="s">
        <v>424</v>
      </c>
      <c r="E1141" s="28">
        <v>0.95951637000000001</v>
      </c>
      <c r="F1141" s="13"/>
      <c r="G1141" s="18">
        <v>30000000</v>
      </c>
      <c r="H1141" s="18">
        <v>28785491.039999999</v>
      </c>
      <c r="I1141" s="18">
        <v>30000000</v>
      </c>
      <c r="J1141" s="18">
        <v>28785491.039999999</v>
      </c>
      <c r="K1141" s="15">
        <v>29600865</v>
      </c>
      <c r="L1141" s="13" t="s">
        <v>102</v>
      </c>
      <c r="M1141" s="13" t="s">
        <v>103</v>
      </c>
      <c r="N1141" s="138" t="s">
        <v>420</v>
      </c>
      <c r="O1141" s="138" t="s">
        <v>420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1269</v>
      </c>
      <c r="V1141" s="13" t="s">
        <v>1269</v>
      </c>
      <c r="W1141" s="59">
        <f>+J1141/$W$2</f>
        <v>4.7110547477849639E-4</v>
      </c>
    </row>
    <row r="1142" spans="1:29">
      <c r="A1142" s="13" t="s">
        <v>284</v>
      </c>
      <c r="B1142" s="13" t="s">
        <v>404</v>
      </c>
      <c r="C1142" s="138">
        <v>46314</v>
      </c>
      <c r="D1142" s="138" t="s">
        <v>424</v>
      </c>
      <c r="E1142" s="28">
        <v>0.95951635000000002</v>
      </c>
      <c r="F1142" s="13"/>
      <c r="G1142" s="18">
        <v>212000000</v>
      </c>
      <c r="H1142" s="18">
        <v>203417466.77000001</v>
      </c>
      <c r="I1142" s="18">
        <v>212000000</v>
      </c>
      <c r="J1142" s="18">
        <v>203417466.77000001</v>
      </c>
      <c r="K1142" s="15">
        <v>39</v>
      </c>
      <c r="L1142" s="13" t="s">
        <v>102</v>
      </c>
      <c r="M1142" s="13" t="s">
        <v>103</v>
      </c>
      <c r="N1142" s="138" t="s">
        <v>374</v>
      </c>
      <c r="O1142" s="138" t="s">
        <v>374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1209</v>
      </c>
      <c r="V1142" s="13" t="s">
        <v>1209</v>
      </c>
      <c r="W1142" s="59">
        <f>+J1142/$W$2</f>
        <v>3.3291453019770986E-3</v>
      </c>
    </row>
    <row r="1143" spans="1:29">
      <c r="A1143" s="13" t="s">
        <v>271</v>
      </c>
      <c r="B1143" s="13" t="s">
        <v>404</v>
      </c>
      <c r="C1143" s="138">
        <v>46314</v>
      </c>
      <c r="D1143" s="138" t="s">
        <v>424</v>
      </c>
      <c r="E1143" s="28">
        <v>0.95537234000000004</v>
      </c>
      <c r="F1143" s="13"/>
      <c r="G1143" s="18">
        <v>16500000</v>
      </c>
      <c r="H1143" s="18">
        <v>15763643.59</v>
      </c>
      <c r="I1143" s="18">
        <v>16500000</v>
      </c>
      <c r="J1143" s="18">
        <v>15763643.59</v>
      </c>
      <c r="K1143" s="15">
        <v>28676</v>
      </c>
      <c r="L1143" s="13" t="s">
        <v>102</v>
      </c>
      <c r="M1143" s="13" t="s">
        <v>103</v>
      </c>
      <c r="N1143" s="138" t="s">
        <v>331</v>
      </c>
      <c r="O1143" s="138" t="s">
        <v>331</v>
      </c>
      <c r="P1143" s="28">
        <v>31</v>
      </c>
      <c r="Q1143" s="13" t="s">
        <v>54</v>
      </c>
      <c r="R1143" s="13" t="s">
        <v>28</v>
      </c>
      <c r="S1143" s="13"/>
      <c r="T1143" s="13"/>
      <c r="U1143" s="13" t="s">
        <v>665</v>
      </c>
      <c r="V1143" s="13" t="s">
        <v>665</v>
      </c>
      <c r="W1143" s="59">
        <f>+J1143/$W$2</f>
        <v>2.5798895656795962E-4</v>
      </c>
    </row>
    <row r="1144" spans="1:29">
      <c r="A1144" s="13" t="s">
        <v>2232</v>
      </c>
      <c r="B1144" s="13" t="s">
        <v>404</v>
      </c>
      <c r="C1144" s="138">
        <v>46314</v>
      </c>
      <c r="D1144" s="138" t="s">
        <v>424</v>
      </c>
      <c r="E1144" s="28">
        <v>0.95951646999999995</v>
      </c>
      <c r="F1144" s="13"/>
      <c r="G1144" s="18">
        <v>20600000</v>
      </c>
      <c r="H1144" s="18">
        <v>19766039.18</v>
      </c>
      <c r="I1144" s="18">
        <v>20600000</v>
      </c>
      <c r="J1144" s="18">
        <v>19766039.18</v>
      </c>
      <c r="K1144" s="15">
        <v>99803230</v>
      </c>
      <c r="L1144" s="13" t="s">
        <v>102</v>
      </c>
      <c r="M1144" s="13" t="s">
        <v>103</v>
      </c>
      <c r="N1144" s="138" t="s">
        <v>639</v>
      </c>
      <c r="O1144" s="138" t="s">
        <v>639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2180</v>
      </c>
      <c r="V1144" s="13" t="s">
        <v>2180</v>
      </c>
      <c r="W1144" s="59">
        <f>+J1144/$W$2</f>
        <v>3.2349245873362253E-4</v>
      </c>
    </row>
    <row r="1145" spans="1:29">
      <c r="A1145" s="13" t="s">
        <v>410</v>
      </c>
      <c r="B1145" s="13" t="s">
        <v>404</v>
      </c>
      <c r="C1145" s="138">
        <v>46314</v>
      </c>
      <c r="D1145" s="138" t="s">
        <v>424</v>
      </c>
      <c r="E1145" s="28">
        <v>0.94584115000000002</v>
      </c>
      <c r="F1145" s="13"/>
      <c r="G1145" s="18">
        <v>42000000</v>
      </c>
      <c r="H1145" s="18">
        <v>39725328.369999997</v>
      </c>
      <c r="I1145" s="18">
        <v>42000000</v>
      </c>
      <c r="J1145" s="18">
        <v>39725328.369999997</v>
      </c>
      <c r="K1145" s="15">
        <v>160224</v>
      </c>
      <c r="L1145" s="13" t="s">
        <v>102</v>
      </c>
      <c r="M1145" s="13" t="s">
        <v>103</v>
      </c>
      <c r="N1145" s="138" t="s">
        <v>342</v>
      </c>
      <c r="O1145" s="138" t="s">
        <v>342</v>
      </c>
      <c r="P1145" s="28">
        <v>38</v>
      </c>
      <c r="Q1145" s="13" t="s">
        <v>54</v>
      </c>
      <c r="R1145" s="13" t="s">
        <v>28</v>
      </c>
      <c r="S1145" s="13"/>
      <c r="T1145" s="13"/>
      <c r="U1145" s="13" t="s">
        <v>2379</v>
      </c>
      <c r="V1145" s="13" t="s">
        <v>2379</v>
      </c>
      <c r="W1145" s="59">
        <f>+J1145/$W$2</f>
        <v>6.5014766141993597E-4</v>
      </c>
      <c r="AC1145" s="56"/>
    </row>
    <row r="1146" spans="1:29">
      <c r="A1146" s="13" t="s">
        <v>417</v>
      </c>
      <c r="B1146" s="13" t="s">
        <v>404</v>
      </c>
      <c r="C1146" s="138">
        <v>46314</v>
      </c>
      <c r="D1146" s="138" t="s">
        <v>424</v>
      </c>
      <c r="E1146" s="28">
        <v>0.94990249000000004</v>
      </c>
      <c r="F1146" s="13"/>
      <c r="G1146" s="18">
        <v>1500000</v>
      </c>
      <c r="H1146" s="18">
        <v>1424853.74</v>
      </c>
      <c r="I1146" s="18">
        <v>1500000</v>
      </c>
      <c r="J1146" s="18">
        <v>1424853.74</v>
      </c>
      <c r="K1146" s="15">
        <v>4</v>
      </c>
      <c r="L1146" s="13" t="s">
        <v>102</v>
      </c>
      <c r="M1146" s="13" t="s">
        <v>103</v>
      </c>
      <c r="N1146" s="138" t="s">
        <v>352</v>
      </c>
      <c r="O1146" s="138" t="s">
        <v>352</v>
      </c>
      <c r="P1146" s="28">
        <v>35</v>
      </c>
      <c r="Q1146" s="13" t="s">
        <v>54</v>
      </c>
      <c r="R1146" s="13" t="s">
        <v>28</v>
      </c>
      <c r="S1146" s="13"/>
      <c r="T1146" s="13"/>
      <c r="U1146" s="13" t="s">
        <v>628</v>
      </c>
      <c r="V1146" s="13" t="s">
        <v>628</v>
      </c>
      <c r="W1146" s="59">
        <f>+J1146/$W$2</f>
        <v>2.3319261663448638E-5</v>
      </c>
    </row>
    <row r="1147" spans="1:29">
      <c r="A1147" s="13" t="s">
        <v>517</v>
      </c>
      <c r="B1147" s="13" t="s">
        <v>404</v>
      </c>
      <c r="C1147" s="138">
        <v>46314</v>
      </c>
      <c r="D1147" s="138" t="s">
        <v>424</v>
      </c>
      <c r="E1147" s="28">
        <v>0.95126421000000005</v>
      </c>
      <c r="F1147" s="13"/>
      <c r="G1147" s="18">
        <v>10000000</v>
      </c>
      <c r="H1147" s="18">
        <v>9512642.0700000003</v>
      </c>
      <c r="I1147" s="18">
        <v>10000000</v>
      </c>
      <c r="J1147" s="18">
        <v>9512642.0700000003</v>
      </c>
      <c r="K1147" s="15">
        <v>14284509</v>
      </c>
      <c r="L1147" s="13" t="s">
        <v>102</v>
      </c>
      <c r="M1147" s="13" t="s">
        <v>103</v>
      </c>
      <c r="N1147" s="138" t="s">
        <v>464</v>
      </c>
      <c r="O1147" s="138" t="s">
        <v>464</v>
      </c>
      <c r="P1147" s="28">
        <v>34</v>
      </c>
      <c r="Q1147" s="13" t="s">
        <v>54</v>
      </c>
      <c r="R1147" s="13" t="s">
        <v>28</v>
      </c>
      <c r="S1147" s="13"/>
      <c r="T1147" s="13"/>
      <c r="U1147" s="13" t="s">
        <v>2545</v>
      </c>
      <c r="V1147" s="13" t="s">
        <v>2545</v>
      </c>
      <c r="W1147" s="59">
        <f>+J1147/$W$2</f>
        <v>1.556846034885375E-4</v>
      </c>
    </row>
    <row r="1148" spans="1:29">
      <c r="A1148" s="13" t="s">
        <v>466</v>
      </c>
      <c r="B1148" s="13" t="s">
        <v>404</v>
      </c>
      <c r="C1148" s="138">
        <v>46314</v>
      </c>
      <c r="D1148" s="138" t="s">
        <v>424</v>
      </c>
      <c r="E1148" s="28">
        <v>0.95951635999999996</v>
      </c>
      <c r="F1148" s="13"/>
      <c r="G1148" s="18">
        <v>2500000</v>
      </c>
      <c r="H1148" s="18">
        <v>2398790.91</v>
      </c>
      <c r="I1148" s="18">
        <v>2500000</v>
      </c>
      <c r="J1148" s="18">
        <v>2398790.91</v>
      </c>
      <c r="K1148" s="15">
        <v>90031816</v>
      </c>
      <c r="L1148" s="13" t="s">
        <v>102</v>
      </c>
      <c r="M1148" s="13" t="s">
        <v>103</v>
      </c>
      <c r="N1148" s="138" t="s">
        <v>289</v>
      </c>
      <c r="O1148" s="138" t="s">
        <v>289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599</v>
      </c>
      <c r="V1148" s="13" t="s">
        <v>599</v>
      </c>
      <c r="W1148" s="59">
        <f>+J1148/$W$2</f>
        <v>3.9258789401213961E-5</v>
      </c>
    </row>
    <row r="1149" spans="1:29">
      <c r="A1149" s="13" t="s">
        <v>285</v>
      </c>
      <c r="B1149" s="13" t="s">
        <v>404</v>
      </c>
      <c r="C1149" s="138">
        <v>46314</v>
      </c>
      <c r="D1149" s="138" t="s">
        <v>424</v>
      </c>
      <c r="E1149" s="28">
        <v>0.96090569000000003</v>
      </c>
      <c r="F1149" s="13"/>
      <c r="G1149" s="18">
        <v>20000000</v>
      </c>
      <c r="H1149" s="18">
        <v>19218113.75</v>
      </c>
      <c r="I1149" s="18">
        <v>20000000</v>
      </c>
      <c r="J1149" s="18">
        <v>19218113.75</v>
      </c>
      <c r="K1149" s="15">
        <v>68122791</v>
      </c>
      <c r="L1149" s="13" t="s">
        <v>102</v>
      </c>
      <c r="M1149" s="13" t="s">
        <v>103</v>
      </c>
      <c r="N1149" s="138" t="s">
        <v>420</v>
      </c>
      <c r="O1149" s="138" t="s">
        <v>420</v>
      </c>
      <c r="P1149" s="28">
        <v>27</v>
      </c>
      <c r="Q1149" s="13" t="s">
        <v>54</v>
      </c>
      <c r="R1149" s="13" t="s">
        <v>28</v>
      </c>
      <c r="S1149" s="13"/>
      <c r="T1149" s="13"/>
      <c r="U1149" s="13" t="s">
        <v>1298</v>
      </c>
      <c r="V1149" s="13" t="s">
        <v>1298</v>
      </c>
      <c r="W1149" s="59">
        <f>+J1149/$W$2</f>
        <v>3.1452507063228129E-4</v>
      </c>
    </row>
    <row r="1150" spans="1:29">
      <c r="A1150" s="13" t="s">
        <v>285</v>
      </c>
      <c r="B1150" s="13" t="s">
        <v>404</v>
      </c>
      <c r="C1150" s="138">
        <v>46314</v>
      </c>
      <c r="D1150" s="138" t="s">
        <v>424</v>
      </c>
      <c r="E1150" s="28">
        <v>0.96090569999999997</v>
      </c>
      <c r="F1150" s="13"/>
      <c r="G1150" s="18">
        <v>1650000</v>
      </c>
      <c r="H1150" s="18">
        <v>1585494.4</v>
      </c>
      <c r="I1150" s="18">
        <v>1650000</v>
      </c>
      <c r="J1150" s="18">
        <v>1585494.4</v>
      </c>
      <c r="K1150" s="15">
        <v>582</v>
      </c>
      <c r="L1150" s="13" t="s">
        <v>102</v>
      </c>
      <c r="M1150" s="13" t="s">
        <v>103</v>
      </c>
      <c r="N1150" s="138" t="s">
        <v>420</v>
      </c>
      <c r="O1150" s="138" t="s">
        <v>420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1301</v>
      </c>
      <c r="V1150" s="13" t="s">
        <v>1301</v>
      </c>
      <c r="W1150" s="59">
        <f>+J1150/$W$2</f>
        <v>2.594831858288311E-5</v>
      </c>
    </row>
    <row r="1151" spans="1:29">
      <c r="A1151" s="13" t="s">
        <v>375</v>
      </c>
      <c r="B1151" s="13" t="s">
        <v>404</v>
      </c>
      <c r="C1151" s="138">
        <v>46314</v>
      </c>
      <c r="D1151" s="138" t="s">
        <v>424</v>
      </c>
      <c r="E1151" s="28">
        <v>0.95262968000000003</v>
      </c>
      <c r="F1151" s="13"/>
      <c r="G1151" s="18">
        <v>2502550.36</v>
      </c>
      <c r="H1151" s="18">
        <v>2384003.7400000002</v>
      </c>
      <c r="I1151" s="18">
        <v>2502550.36</v>
      </c>
      <c r="J1151" s="18">
        <v>2384003.7400000002</v>
      </c>
      <c r="K1151" s="15">
        <v>3126</v>
      </c>
      <c r="L1151" s="13" t="s">
        <v>102</v>
      </c>
      <c r="M1151" s="13" t="s">
        <v>103</v>
      </c>
      <c r="N1151" s="138" t="s">
        <v>481</v>
      </c>
      <c r="O1151" s="138" t="s">
        <v>481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1766</v>
      </c>
      <c r="V1151" s="13" t="s">
        <v>1766</v>
      </c>
      <c r="W1151" s="59">
        <f>+J1151/$W$2</f>
        <v>3.9016781483621034E-5</v>
      </c>
    </row>
    <row r="1152" spans="1:29">
      <c r="A1152" s="13" t="s">
        <v>375</v>
      </c>
      <c r="B1152" s="13" t="s">
        <v>404</v>
      </c>
      <c r="C1152" s="138">
        <v>46314</v>
      </c>
      <c r="D1152" s="138" t="s">
        <v>424</v>
      </c>
      <c r="E1152" s="28">
        <v>0.95262968000000003</v>
      </c>
      <c r="F1152" s="13"/>
      <c r="G1152" s="18">
        <v>2502550.36</v>
      </c>
      <c r="H1152" s="18">
        <v>2384003.7400000002</v>
      </c>
      <c r="I1152" s="18">
        <v>2502550.36</v>
      </c>
      <c r="J1152" s="18">
        <v>2384003.7400000002</v>
      </c>
      <c r="K1152" s="15">
        <v>3136</v>
      </c>
      <c r="L1152" s="13" t="s">
        <v>102</v>
      </c>
      <c r="M1152" s="13" t="s">
        <v>103</v>
      </c>
      <c r="N1152" s="138" t="s">
        <v>481</v>
      </c>
      <c r="O1152" s="138" t="s">
        <v>481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1767</v>
      </c>
      <c r="V1152" s="13" t="s">
        <v>1767</v>
      </c>
      <c r="W1152" s="59">
        <f>+J1152/$W$2</f>
        <v>3.9016781483621034E-5</v>
      </c>
    </row>
    <row r="1153" spans="1:29">
      <c r="A1153" s="13" t="s">
        <v>405</v>
      </c>
      <c r="B1153" s="13" t="s">
        <v>404</v>
      </c>
      <c r="C1153" s="138">
        <v>46314</v>
      </c>
      <c r="D1153" s="138" t="s">
        <v>424</v>
      </c>
      <c r="E1153" s="28">
        <v>0.95674979000000004</v>
      </c>
      <c r="F1153" s="13"/>
      <c r="G1153" s="18">
        <v>6500000</v>
      </c>
      <c r="H1153" s="18">
        <v>6218873.6100000003</v>
      </c>
      <c r="I1153" s="18">
        <v>6500000</v>
      </c>
      <c r="J1153" s="18">
        <v>6218873.6100000003</v>
      </c>
      <c r="K1153" s="15">
        <v>743</v>
      </c>
      <c r="L1153" s="13" t="s">
        <v>102</v>
      </c>
      <c r="M1153" s="13" t="s">
        <v>103</v>
      </c>
      <c r="N1153" s="138" t="s">
        <v>425</v>
      </c>
      <c r="O1153" s="138" t="s">
        <v>425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1316</v>
      </c>
      <c r="V1153" s="13" t="s">
        <v>1316</v>
      </c>
      <c r="W1153" s="59">
        <f>+J1153/$W$2</f>
        <v>1.0177854532880367E-4</v>
      </c>
    </row>
    <row r="1154" spans="1:29">
      <c r="A1154" s="13" t="s">
        <v>405</v>
      </c>
      <c r="B1154" s="13" t="s">
        <v>404</v>
      </c>
      <c r="C1154" s="138">
        <v>46314</v>
      </c>
      <c r="D1154" s="138" t="s">
        <v>424</v>
      </c>
      <c r="E1154" s="28">
        <v>0.95674974000000002</v>
      </c>
      <c r="F1154" s="13"/>
      <c r="G1154" s="18">
        <v>5000000</v>
      </c>
      <c r="H1154" s="18">
        <v>4783748.6900000004</v>
      </c>
      <c r="I1154" s="18">
        <v>5000000</v>
      </c>
      <c r="J1154" s="18">
        <v>4783748.6900000004</v>
      </c>
      <c r="K1154" s="15">
        <v>792</v>
      </c>
      <c r="L1154" s="13" t="s">
        <v>102</v>
      </c>
      <c r="M1154" s="13" t="s">
        <v>103</v>
      </c>
      <c r="N1154" s="138" t="s">
        <v>421</v>
      </c>
      <c r="O1154" s="138" t="s">
        <v>421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1405</v>
      </c>
      <c r="V1154" s="13" t="s">
        <v>1405</v>
      </c>
      <c r="W1154" s="59">
        <f>+J1154/$W$2</f>
        <v>7.8291184774017335E-5</v>
      </c>
    </row>
    <row r="1155" spans="1:29">
      <c r="A1155" s="13" t="s">
        <v>405</v>
      </c>
      <c r="B1155" s="13" t="s">
        <v>404</v>
      </c>
      <c r="C1155" s="138">
        <v>46314</v>
      </c>
      <c r="D1155" s="138" t="s">
        <v>424</v>
      </c>
      <c r="E1155" s="28">
        <v>0.95674981999999997</v>
      </c>
      <c r="F1155" s="13"/>
      <c r="G1155" s="18">
        <v>2500000</v>
      </c>
      <c r="H1155" s="18">
        <v>2391874.5499999998</v>
      </c>
      <c r="I1155" s="18">
        <v>2500000</v>
      </c>
      <c r="J1155" s="18">
        <v>2391874.5499999998</v>
      </c>
      <c r="K1155" s="15">
        <v>603</v>
      </c>
      <c r="L1155" s="13" t="s">
        <v>102</v>
      </c>
      <c r="M1155" s="13" t="s">
        <v>103</v>
      </c>
      <c r="N1155" s="138" t="s">
        <v>484</v>
      </c>
      <c r="O1155" s="138" t="s">
        <v>484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2075</v>
      </c>
      <c r="V1155" s="13" t="s">
        <v>2075</v>
      </c>
      <c r="W1155" s="59">
        <f>+J1155/$W$2</f>
        <v>3.9145595742053818E-5</v>
      </c>
    </row>
    <row r="1156" spans="1:29">
      <c r="A1156" s="13" t="s">
        <v>405</v>
      </c>
      <c r="B1156" s="13" t="s">
        <v>404</v>
      </c>
      <c r="C1156" s="138">
        <v>46314</v>
      </c>
      <c r="D1156" s="138" t="s">
        <v>424</v>
      </c>
      <c r="E1156" s="28">
        <v>0.95674968000000005</v>
      </c>
      <c r="F1156" s="13"/>
      <c r="G1156" s="18">
        <v>2500000</v>
      </c>
      <c r="H1156" s="18">
        <v>2391874.19</v>
      </c>
      <c r="I1156" s="18">
        <v>2500000</v>
      </c>
      <c r="J1156" s="18">
        <v>2391874.19</v>
      </c>
      <c r="K1156" s="15">
        <v>906</v>
      </c>
      <c r="L1156" s="13" t="s">
        <v>102</v>
      </c>
      <c r="M1156" s="13" t="s">
        <v>103</v>
      </c>
      <c r="N1156" s="138" t="s">
        <v>371</v>
      </c>
      <c r="O1156" s="138" t="s">
        <v>371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2101</v>
      </c>
      <c r="V1156" s="13" t="s">
        <v>2101</v>
      </c>
      <c r="W1156" s="59">
        <f>+J1156/$W$2</f>
        <v>3.91455898502672E-5</v>
      </c>
    </row>
    <row r="1157" spans="1:29">
      <c r="A1157" s="13" t="s">
        <v>405</v>
      </c>
      <c r="B1157" s="13" t="s">
        <v>404</v>
      </c>
      <c r="C1157" s="138">
        <v>46314</v>
      </c>
      <c r="D1157" s="138" t="s">
        <v>424</v>
      </c>
      <c r="E1157" s="28">
        <v>0.95674985000000001</v>
      </c>
      <c r="F1157" s="13"/>
      <c r="G1157" s="18">
        <v>2000000</v>
      </c>
      <c r="H1157" s="18">
        <v>1913499.7</v>
      </c>
      <c r="I1157" s="18">
        <v>2000000</v>
      </c>
      <c r="J1157" s="18">
        <v>1913499.7</v>
      </c>
      <c r="K1157" s="15">
        <v>914</v>
      </c>
      <c r="L1157" s="13" t="s">
        <v>102</v>
      </c>
      <c r="M1157" s="13" t="s">
        <v>103</v>
      </c>
      <c r="N1157" s="138" t="s">
        <v>639</v>
      </c>
      <c r="O1157" s="138" t="s">
        <v>639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2131</v>
      </c>
      <c r="V1157" s="13" t="s">
        <v>2131</v>
      </c>
      <c r="W1157" s="59">
        <f>+J1157/$W$2</f>
        <v>3.1316477575607495E-5</v>
      </c>
      <c r="AC1157" s="56"/>
    </row>
    <row r="1158" spans="1:29">
      <c r="A1158" s="13" t="s">
        <v>375</v>
      </c>
      <c r="B1158" s="13" t="s">
        <v>404</v>
      </c>
      <c r="C1158" s="138">
        <v>46314</v>
      </c>
      <c r="D1158" s="138" t="s">
        <v>424</v>
      </c>
      <c r="E1158" s="28">
        <v>0.94854490999999996</v>
      </c>
      <c r="F1158" s="13"/>
      <c r="G1158" s="18">
        <v>2954385</v>
      </c>
      <c r="H1158" s="18">
        <v>2802366.85</v>
      </c>
      <c r="I1158" s="18">
        <v>2954385</v>
      </c>
      <c r="J1158" s="18">
        <v>2802366.85</v>
      </c>
      <c r="K1158" s="15">
        <v>3296</v>
      </c>
      <c r="L1158" s="13" t="s">
        <v>102</v>
      </c>
      <c r="M1158" s="13" t="s">
        <v>103</v>
      </c>
      <c r="N1158" s="138" t="s">
        <v>464</v>
      </c>
      <c r="O1158" s="138" t="s">
        <v>464</v>
      </c>
      <c r="P1158" s="28">
        <v>36</v>
      </c>
      <c r="Q1158" s="13" t="s">
        <v>54</v>
      </c>
      <c r="R1158" s="13" t="s">
        <v>28</v>
      </c>
      <c r="S1158" s="13"/>
      <c r="T1158" s="13"/>
      <c r="U1158" s="13" t="s">
        <v>2576</v>
      </c>
      <c r="V1158" s="13" t="s">
        <v>2576</v>
      </c>
      <c r="W1158" s="59">
        <f>+J1158/$W$2</f>
        <v>4.5863743075920427E-5</v>
      </c>
    </row>
    <row r="1159" spans="1:29">
      <c r="A1159" s="13" t="s">
        <v>405</v>
      </c>
      <c r="B1159" s="13" t="s">
        <v>404</v>
      </c>
      <c r="C1159" s="138">
        <v>46314</v>
      </c>
      <c r="D1159" s="138" t="s">
        <v>424</v>
      </c>
      <c r="E1159" s="28">
        <v>0.95674974999999995</v>
      </c>
      <c r="F1159" s="13"/>
      <c r="G1159" s="18">
        <v>10000000</v>
      </c>
      <c r="H1159" s="18">
        <v>9567497.5199999996</v>
      </c>
      <c r="I1159" s="18">
        <v>10000000</v>
      </c>
      <c r="J1159" s="18">
        <v>9567497.5199999996</v>
      </c>
      <c r="K1159" s="15">
        <v>726</v>
      </c>
      <c r="L1159" s="13" t="s">
        <v>102</v>
      </c>
      <c r="M1159" s="13" t="s">
        <v>103</v>
      </c>
      <c r="N1159" s="138" t="s">
        <v>163</v>
      </c>
      <c r="O1159" s="138" t="s">
        <v>163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1139</v>
      </c>
      <c r="V1159" s="13" t="s">
        <v>1139</v>
      </c>
      <c r="W1159" s="59">
        <f>+J1159/$W$2</f>
        <v>1.56582371839285E-4</v>
      </c>
      <c r="AC1159" s="56"/>
    </row>
    <row r="1160" spans="1:29">
      <c r="A1160" s="13" t="s">
        <v>2217</v>
      </c>
      <c r="B1160" s="13" t="s">
        <v>404</v>
      </c>
      <c r="C1160" s="138">
        <v>46314</v>
      </c>
      <c r="D1160" s="138" t="s">
        <v>424</v>
      </c>
      <c r="E1160" s="28">
        <v>0.95262970999999996</v>
      </c>
      <c r="F1160" s="13"/>
      <c r="G1160" s="18">
        <v>41359418</v>
      </c>
      <c r="H1160" s="18">
        <v>39400210.43</v>
      </c>
      <c r="I1160" s="18">
        <v>41359418</v>
      </c>
      <c r="J1160" s="18">
        <v>39400210.43</v>
      </c>
      <c r="K1160" s="15">
        <v>397</v>
      </c>
      <c r="L1160" s="13" t="s">
        <v>102</v>
      </c>
      <c r="M1160" s="13" t="s">
        <v>103</v>
      </c>
      <c r="N1160" s="138" t="s">
        <v>639</v>
      </c>
      <c r="O1160" s="138" t="s">
        <v>639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2143</v>
      </c>
      <c r="V1160" s="13" t="s">
        <v>2143</v>
      </c>
      <c r="W1160" s="59">
        <f>+J1160/$W$2</f>
        <v>6.4482675717446487E-4</v>
      </c>
    </row>
    <row r="1161" spans="1:29">
      <c r="A1161" s="13" t="s">
        <v>302</v>
      </c>
      <c r="B1161" s="13" t="s">
        <v>404</v>
      </c>
      <c r="C1161" s="138">
        <v>46315</v>
      </c>
      <c r="D1161" s="138" t="s">
        <v>424</v>
      </c>
      <c r="E1161" s="28">
        <v>0.94903799</v>
      </c>
      <c r="F1161" s="13"/>
      <c r="G1161" s="18">
        <v>4359563.53</v>
      </c>
      <c r="H1161" s="18">
        <v>4137391.39</v>
      </c>
      <c r="I1161" s="18">
        <v>4359563.53</v>
      </c>
      <c r="J1161" s="18">
        <v>4137391.39</v>
      </c>
      <c r="K1161" s="15">
        <v>40773794</v>
      </c>
      <c r="L1161" s="13" t="s">
        <v>102</v>
      </c>
      <c r="M1161" s="13" t="s">
        <v>103</v>
      </c>
      <c r="N1161" s="138" t="s">
        <v>441</v>
      </c>
      <c r="O1161" s="138" t="s">
        <v>441</v>
      </c>
      <c r="P1161" s="28">
        <v>35</v>
      </c>
      <c r="Q1161" s="13" t="s">
        <v>54</v>
      </c>
      <c r="R1161" s="13" t="s">
        <v>28</v>
      </c>
      <c r="S1161" s="13"/>
      <c r="T1161" s="13"/>
      <c r="U1161" s="13" t="s">
        <v>2283</v>
      </c>
      <c r="V1161" s="13" t="s">
        <v>2283</v>
      </c>
      <c r="W1161" s="59">
        <f>+J1161/$W$2</f>
        <v>6.7712853410139816E-5</v>
      </c>
    </row>
    <row r="1162" spans="1:29">
      <c r="A1162" s="13" t="s">
        <v>232</v>
      </c>
      <c r="B1162" s="13" t="s">
        <v>404</v>
      </c>
      <c r="C1162" s="138">
        <v>46315</v>
      </c>
      <c r="D1162" s="138" t="s">
        <v>424</v>
      </c>
      <c r="E1162" s="28">
        <v>0.95180975000000001</v>
      </c>
      <c r="F1162" s="13"/>
      <c r="G1162" s="18">
        <v>45000000</v>
      </c>
      <c r="H1162" s="18">
        <v>42831438.590000004</v>
      </c>
      <c r="I1162" s="18">
        <v>45000000</v>
      </c>
      <c r="J1162" s="18">
        <v>42831438.590000004</v>
      </c>
      <c r="K1162" s="15">
        <v>67764210</v>
      </c>
      <c r="L1162" s="13" t="s">
        <v>102</v>
      </c>
      <c r="M1162" s="13" t="s">
        <v>103</v>
      </c>
      <c r="N1162" s="138" t="s">
        <v>347</v>
      </c>
      <c r="O1162" s="138" t="s">
        <v>347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1055</v>
      </c>
      <c r="V1162" s="13" t="s">
        <v>1055</v>
      </c>
      <c r="W1162" s="59">
        <f>+J1162/$W$2</f>
        <v>7.0098249094825802E-4</v>
      </c>
    </row>
    <row r="1163" spans="1:29">
      <c r="A1163" s="13" t="s">
        <v>1032</v>
      </c>
      <c r="B1163" s="13" t="s">
        <v>404</v>
      </c>
      <c r="C1163" s="138">
        <v>46315</v>
      </c>
      <c r="D1163" s="138" t="s">
        <v>424</v>
      </c>
      <c r="E1163" s="28">
        <v>0.95459795000000003</v>
      </c>
      <c r="F1163" s="13"/>
      <c r="G1163" s="18">
        <v>11371524</v>
      </c>
      <c r="H1163" s="18">
        <v>10855233.470000001</v>
      </c>
      <c r="I1163" s="18">
        <v>11371524</v>
      </c>
      <c r="J1163" s="18">
        <v>10855233.470000001</v>
      </c>
      <c r="K1163" s="15">
        <v>1234</v>
      </c>
      <c r="L1163" s="13" t="s">
        <v>102</v>
      </c>
      <c r="M1163" s="13" t="s">
        <v>103</v>
      </c>
      <c r="N1163" s="138" t="s">
        <v>173</v>
      </c>
      <c r="O1163" s="138" t="s">
        <v>173</v>
      </c>
      <c r="P1163" s="28">
        <v>31</v>
      </c>
      <c r="Q1163" s="13" t="s">
        <v>54</v>
      </c>
      <c r="R1163" s="13" t="s">
        <v>28</v>
      </c>
      <c r="S1163" s="13"/>
      <c r="T1163" s="13"/>
      <c r="U1163" s="13" t="s">
        <v>1999</v>
      </c>
      <c r="V1163" s="13" t="s">
        <v>1999</v>
      </c>
      <c r="W1163" s="59">
        <f>+J1163/$W$2</f>
        <v>1.7765755361301541E-4</v>
      </c>
    </row>
    <row r="1164" spans="1:29">
      <c r="A1164" s="13" t="s">
        <v>521</v>
      </c>
      <c r="B1164" s="13" t="s">
        <v>404</v>
      </c>
      <c r="C1164" s="138">
        <v>46315</v>
      </c>
      <c r="D1164" s="138" t="s">
        <v>424</v>
      </c>
      <c r="E1164" s="28">
        <v>0.94491046999999995</v>
      </c>
      <c r="F1164" s="13"/>
      <c r="G1164" s="18">
        <v>6899161.7699999996</v>
      </c>
      <c r="H1164" s="18">
        <v>6519090.2000000002</v>
      </c>
      <c r="I1164" s="18">
        <v>6899161.7699999996</v>
      </c>
      <c r="J1164" s="18">
        <v>6519090.2000000002</v>
      </c>
      <c r="K1164" s="15">
        <v>65964607</v>
      </c>
      <c r="L1164" s="13" t="s">
        <v>102</v>
      </c>
      <c r="M1164" s="13" t="s">
        <v>103</v>
      </c>
      <c r="N1164" s="138" t="s">
        <v>289</v>
      </c>
      <c r="O1164" s="138" t="s">
        <v>289</v>
      </c>
      <c r="P1164" s="28">
        <v>38</v>
      </c>
      <c r="Q1164" s="13" t="s">
        <v>54</v>
      </c>
      <c r="R1164" s="13" t="s">
        <v>28</v>
      </c>
      <c r="S1164" s="13"/>
      <c r="T1164" s="13"/>
      <c r="U1164" s="13" t="s">
        <v>619</v>
      </c>
      <c r="V1164" s="13" t="s">
        <v>619</v>
      </c>
      <c r="W1164" s="59">
        <f>+J1164/$W$2</f>
        <v>1.0669191223895283E-4</v>
      </c>
    </row>
    <row r="1165" spans="1:29">
      <c r="A1165" s="13" t="s">
        <v>537</v>
      </c>
      <c r="B1165" s="13" t="s">
        <v>404</v>
      </c>
      <c r="C1165" s="138">
        <v>46315</v>
      </c>
      <c r="D1165" s="138" t="s">
        <v>424</v>
      </c>
      <c r="E1165" s="28">
        <v>0.95599796000000004</v>
      </c>
      <c r="F1165" s="13"/>
      <c r="G1165" s="18">
        <v>2000000</v>
      </c>
      <c r="H1165" s="18">
        <v>1911995.92</v>
      </c>
      <c r="I1165" s="18">
        <v>2000000</v>
      </c>
      <c r="J1165" s="18">
        <v>1911995.92</v>
      </c>
      <c r="K1165" s="15">
        <v>13442187</v>
      </c>
      <c r="L1165" s="13" t="s">
        <v>102</v>
      </c>
      <c r="M1165" s="13" t="s">
        <v>103</v>
      </c>
      <c r="N1165" s="138" t="s">
        <v>282</v>
      </c>
      <c r="O1165" s="138" t="s">
        <v>282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824</v>
      </c>
      <c r="V1165" s="13" t="s">
        <v>824</v>
      </c>
      <c r="W1165" s="59">
        <f>+J1165/$W$2</f>
        <v>3.1291866600937023E-5</v>
      </c>
    </row>
    <row r="1166" spans="1:29">
      <c r="A1166" s="13" t="s">
        <v>431</v>
      </c>
      <c r="B1166" s="13" t="s">
        <v>404</v>
      </c>
      <c r="C1166" s="138">
        <v>46315</v>
      </c>
      <c r="D1166" s="138" t="s">
        <v>424</v>
      </c>
      <c r="E1166" s="28">
        <v>0.96306082000000004</v>
      </c>
      <c r="F1166" s="13"/>
      <c r="G1166" s="18">
        <v>100000000</v>
      </c>
      <c r="H1166" s="18">
        <v>96306081.840000004</v>
      </c>
      <c r="I1166" s="18">
        <v>100000000</v>
      </c>
      <c r="J1166" s="18">
        <v>96306081.840000004</v>
      </c>
      <c r="K1166" s="15">
        <v>52811168</v>
      </c>
      <c r="L1166" s="13" t="s">
        <v>102</v>
      </c>
      <c r="M1166" s="13" t="s">
        <v>103</v>
      </c>
      <c r="N1166" s="138" t="s">
        <v>339</v>
      </c>
      <c r="O1166" s="138" t="s">
        <v>339</v>
      </c>
      <c r="P1166" s="28">
        <v>25</v>
      </c>
      <c r="Q1166" s="13" t="s">
        <v>54</v>
      </c>
      <c r="R1166" s="13" t="s">
        <v>28</v>
      </c>
      <c r="S1166" s="13"/>
      <c r="T1166" s="13"/>
      <c r="U1166" s="13" t="s">
        <v>1544</v>
      </c>
      <c r="V1166" s="13" t="s">
        <v>1544</v>
      </c>
      <c r="W1166" s="59">
        <f>+J1166/$W$2</f>
        <v>1.5761524563275239E-3</v>
      </c>
    </row>
    <row r="1167" spans="1:29">
      <c r="A1167" s="13" t="s">
        <v>2210</v>
      </c>
      <c r="B1167" s="13" t="s">
        <v>404</v>
      </c>
      <c r="C1167" s="138">
        <v>46315</v>
      </c>
      <c r="D1167" s="138" t="s">
        <v>424</v>
      </c>
      <c r="E1167" s="28">
        <v>0.95881066000000004</v>
      </c>
      <c r="F1167" s="13"/>
      <c r="G1167" s="18">
        <v>7098063.4299999997</v>
      </c>
      <c r="H1167" s="18">
        <v>6805698.8899999997</v>
      </c>
      <c r="I1167" s="18">
        <v>7098063.4299999997</v>
      </c>
      <c r="J1167" s="18">
        <v>6805698.8899999997</v>
      </c>
      <c r="K1167" s="15">
        <v>90027049</v>
      </c>
      <c r="L1167" s="13" t="s">
        <v>102</v>
      </c>
      <c r="M1167" s="13" t="s">
        <v>103</v>
      </c>
      <c r="N1167" s="138" t="s">
        <v>639</v>
      </c>
      <c r="O1167" s="138" t="s">
        <v>639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2201</v>
      </c>
      <c r="V1167" s="13" t="s">
        <v>2201</v>
      </c>
      <c r="W1167" s="59">
        <f>+J1167/$W$2</f>
        <v>1.1138257125152505E-4</v>
      </c>
      <c r="AC1167"/>
    </row>
    <row r="1168" spans="1:29">
      <c r="A1168" s="13" t="s">
        <v>466</v>
      </c>
      <c r="B1168" s="13" t="s">
        <v>404</v>
      </c>
      <c r="C1168" s="138">
        <v>46315</v>
      </c>
      <c r="D1168" s="138" t="s">
        <v>424</v>
      </c>
      <c r="E1168" s="28">
        <v>0.95881059000000002</v>
      </c>
      <c r="F1168" s="13"/>
      <c r="G1168" s="18">
        <v>2500000</v>
      </c>
      <c r="H1168" s="18">
        <v>2397026.48</v>
      </c>
      <c r="I1168" s="18">
        <v>2500000</v>
      </c>
      <c r="J1168" s="18">
        <v>2397026.48</v>
      </c>
      <c r="K1168" s="15">
        <v>90031817</v>
      </c>
      <c r="L1168" s="13" t="s">
        <v>102</v>
      </c>
      <c r="M1168" s="13" t="s">
        <v>103</v>
      </c>
      <c r="N1168" s="138" t="s">
        <v>289</v>
      </c>
      <c r="O1168" s="138" t="s">
        <v>289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596</v>
      </c>
      <c r="V1168" s="13" t="s">
        <v>596</v>
      </c>
      <c r="W1168" s="59">
        <f>+J1168/$W$2</f>
        <v>3.9229912609370865E-5</v>
      </c>
    </row>
    <row r="1169" spans="1:29">
      <c r="A1169" s="13" t="s">
        <v>466</v>
      </c>
      <c r="B1169" s="13" t="s">
        <v>404</v>
      </c>
      <c r="C1169" s="138">
        <v>46315</v>
      </c>
      <c r="D1169" s="138" t="s">
        <v>424</v>
      </c>
      <c r="E1169" s="28">
        <v>0.95881055999999998</v>
      </c>
      <c r="F1169" s="13"/>
      <c r="G1169" s="18">
        <v>25000000</v>
      </c>
      <c r="H1169" s="18">
        <v>23970264.02</v>
      </c>
      <c r="I1169" s="18">
        <v>25000000</v>
      </c>
      <c r="J1169" s="18">
        <v>23970264.02</v>
      </c>
      <c r="K1169" s="15">
        <v>360572</v>
      </c>
      <c r="L1169" s="13" t="s">
        <v>102</v>
      </c>
      <c r="M1169" s="13" t="s">
        <v>103</v>
      </c>
      <c r="N1169" s="138" t="s">
        <v>308</v>
      </c>
      <c r="O1169" s="138" t="s">
        <v>308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552</v>
      </c>
      <c r="V1169" s="13" t="s">
        <v>552</v>
      </c>
      <c r="W1169" s="59">
        <f>+J1169/$W$2</f>
        <v>3.9229911332817094E-4</v>
      </c>
      <c r="AC1169" s="56"/>
    </row>
    <row r="1170" spans="1:29">
      <c r="A1170" s="13" t="s">
        <v>285</v>
      </c>
      <c r="B1170" s="13" t="s">
        <v>404</v>
      </c>
      <c r="C1170" s="138">
        <v>46315</v>
      </c>
      <c r="D1170" s="138" t="s">
        <v>424</v>
      </c>
      <c r="E1170" s="28">
        <v>0.96306080000000005</v>
      </c>
      <c r="F1170" s="13"/>
      <c r="G1170" s="18">
        <v>10000000</v>
      </c>
      <c r="H1170" s="18">
        <v>9630607.9800000004</v>
      </c>
      <c r="I1170" s="18">
        <v>10000000</v>
      </c>
      <c r="J1170" s="18">
        <v>9630607.9800000004</v>
      </c>
      <c r="K1170" s="15">
        <v>68341633</v>
      </c>
      <c r="L1170" s="13" t="s">
        <v>102</v>
      </c>
      <c r="M1170" s="13" t="s">
        <v>103</v>
      </c>
      <c r="N1170" s="138" t="s">
        <v>383</v>
      </c>
      <c r="O1170" s="138" t="s">
        <v>383</v>
      </c>
      <c r="P1170" s="28">
        <v>25</v>
      </c>
      <c r="Q1170" s="13" t="s">
        <v>54</v>
      </c>
      <c r="R1170" s="13" t="s">
        <v>28</v>
      </c>
      <c r="S1170" s="13"/>
      <c r="T1170" s="13"/>
      <c r="U1170" s="13" t="s">
        <v>1607</v>
      </c>
      <c r="V1170" s="13" t="s">
        <v>1607</v>
      </c>
      <c r="W1170" s="59">
        <f>+J1170/$W$2</f>
        <v>1.5761524229407332E-4</v>
      </c>
    </row>
    <row r="1171" spans="1:29">
      <c r="A1171" s="13" t="s">
        <v>285</v>
      </c>
      <c r="B1171" s="13" t="s">
        <v>404</v>
      </c>
      <c r="C1171" s="138">
        <v>46315</v>
      </c>
      <c r="D1171" s="138" t="s">
        <v>424</v>
      </c>
      <c r="E1171" s="28">
        <v>0.96306080000000005</v>
      </c>
      <c r="F1171" s="13"/>
      <c r="G1171" s="18">
        <v>10000000</v>
      </c>
      <c r="H1171" s="18">
        <v>9630607.9800000004</v>
      </c>
      <c r="I1171" s="18">
        <v>10000000</v>
      </c>
      <c r="J1171" s="18">
        <v>9630607.9800000004</v>
      </c>
      <c r="K1171" s="15">
        <v>5295</v>
      </c>
      <c r="L1171" s="13" t="s">
        <v>102</v>
      </c>
      <c r="M1171" s="13" t="s">
        <v>103</v>
      </c>
      <c r="N1171" s="138" t="s">
        <v>383</v>
      </c>
      <c r="O1171" s="138" t="s">
        <v>383</v>
      </c>
      <c r="P1171" s="28">
        <v>25</v>
      </c>
      <c r="Q1171" s="13" t="s">
        <v>54</v>
      </c>
      <c r="R1171" s="13" t="s">
        <v>28</v>
      </c>
      <c r="S1171" s="13"/>
      <c r="T1171" s="13"/>
      <c r="U1171" s="13" t="s">
        <v>1623</v>
      </c>
      <c r="V1171" s="13" t="s">
        <v>1623</v>
      </c>
      <c r="W1171" s="59">
        <f>+J1171/$W$2</f>
        <v>1.5761524229407332E-4</v>
      </c>
    </row>
    <row r="1172" spans="1:29">
      <c r="A1172" s="13" t="s">
        <v>285</v>
      </c>
      <c r="B1172" s="13" t="s">
        <v>404</v>
      </c>
      <c r="C1172" s="138">
        <v>46315</v>
      </c>
      <c r="D1172" s="138" t="s">
        <v>424</v>
      </c>
      <c r="E1172" s="28">
        <v>0.96306080000000005</v>
      </c>
      <c r="F1172" s="13"/>
      <c r="G1172" s="18">
        <v>8650000</v>
      </c>
      <c r="H1172" s="18">
        <v>8330475.9100000001</v>
      </c>
      <c r="I1172" s="18">
        <v>8650000</v>
      </c>
      <c r="J1172" s="18">
        <v>8330475.9100000001</v>
      </c>
      <c r="K1172" s="15">
        <v>34388</v>
      </c>
      <c r="L1172" s="13" t="s">
        <v>102</v>
      </c>
      <c r="M1172" s="13" t="s">
        <v>103</v>
      </c>
      <c r="N1172" s="138" t="s">
        <v>383</v>
      </c>
      <c r="O1172" s="138" t="s">
        <v>383</v>
      </c>
      <c r="P1172" s="28">
        <v>25</v>
      </c>
      <c r="Q1172" s="13" t="s">
        <v>54</v>
      </c>
      <c r="R1172" s="13" t="s">
        <v>28</v>
      </c>
      <c r="S1172" s="13"/>
      <c r="T1172" s="13"/>
      <c r="U1172" s="13" t="s">
        <v>1625</v>
      </c>
      <c r="V1172" s="13" t="s">
        <v>1625</v>
      </c>
      <c r="W1172" s="59">
        <f>+J1172/$W$2</f>
        <v>1.3633718470384574E-4</v>
      </c>
    </row>
    <row r="1173" spans="1:29">
      <c r="A1173" s="13" t="s">
        <v>285</v>
      </c>
      <c r="B1173" s="13" t="s">
        <v>404</v>
      </c>
      <c r="C1173" s="138">
        <v>46315</v>
      </c>
      <c r="D1173" s="138" t="s">
        <v>424</v>
      </c>
      <c r="E1173" s="28">
        <v>0.96163993000000003</v>
      </c>
      <c r="F1173" s="13"/>
      <c r="G1173" s="18">
        <v>15000000</v>
      </c>
      <c r="H1173" s="18">
        <v>14424598.970000001</v>
      </c>
      <c r="I1173" s="18">
        <v>15000000</v>
      </c>
      <c r="J1173" s="18">
        <v>14424598.970000001</v>
      </c>
      <c r="K1173" s="15">
        <v>9621092</v>
      </c>
      <c r="L1173" s="13" t="s">
        <v>102</v>
      </c>
      <c r="M1173" s="13" t="s">
        <v>103</v>
      </c>
      <c r="N1173" s="138" t="s">
        <v>339</v>
      </c>
      <c r="O1173" s="138" t="s">
        <v>339</v>
      </c>
      <c r="P1173" s="28">
        <v>26</v>
      </c>
      <c r="Q1173" s="13" t="s">
        <v>54</v>
      </c>
      <c r="R1173" s="13" t="s">
        <v>28</v>
      </c>
      <c r="S1173" s="13"/>
      <c r="T1173" s="13"/>
      <c r="U1173" s="13" t="s">
        <v>1592</v>
      </c>
      <c r="V1173" s="13" t="s">
        <v>1592</v>
      </c>
      <c r="W1173" s="59">
        <f>+J1173/$W$2</f>
        <v>2.3607405330721294E-4</v>
      </c>
    </row>
    <row r="1174" spans="1:29">
      <c r="A1174" s="13" t="s">
        <v>285</v>
      </c>
      <c r="B1174" s="13" t="s">
        <v>404</v>
      </c>
      <c r="C1174" s="138">
        <v>46315</v>
      </c>
      <c r="D1174" s="138" t="s">
        <v>424</v>
      </c>
      <c r="E1174" s="28">
        <v>0.96022311999999999</v>
      </c>
      <c r="F1174" s="13"/>
      <c r="G1174" s="18">
        <v>15000000</v>
      </c>
      <c r="H1174" s="18">
        <v>14403346.779999999</v>
      </c>
      <c r="I1174" s="18">
        <v>15000000</v>
      </c>
      <c r="J1174" s="18">
        <v>14403346.779999999</v>
      </c>
      <c r="K1174" s="15">
        <v>68122840</v>
      </c>
      <c r="L1174" s="13" t="s">
        <v>102</v>
      </c>
      <c r="M1174" s="13" t="s">
        <v>103</v>
      </c>
      <c r="N1174" s="138" t="s">
        <v>420</v>
      </c>
      <c r="O1174" s="138" t="s">
        <v>420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1297</v>
      </c>
      <c r="V1174" s="13" t="s">
        <v>1297</v>
      </c>
      <c r="W1174" s="59">
        <f>+J1174/$W$2</f>
        <v>2.3572623839427222E-4</v>
      </c>
    </row>
    <row r="1175" spans="1:29">
      <c r="A1175" s="13" t="s">
        <v>285</v>
      </c>
      <c r="B1175" s="13" t="s">
        <v>404</v>
      </c>
      <c r="C1175" s="138">
        <v>46315</v>
      </c>
      <c r="D1175" s="138" t="s">
        <v>424</v>
      </c>
      <c r="E1175" s="28">
        <v>0.96022311999999999</v>
      </c>
      <c r="F1175" s="13"/>
      <c r="G1175" s="18">
        <v>10000000</v>
      </c>
      <c r="H1175" s="18">
        <v>9602231.1899999995</v>
      </c>
      <c r="I1175" s="18">
        <v>10000000</v>
      </c>
      <c r="J1175" s="18">
        <v>9602231.1899999995</v>
      </c>
      <c r="K1175" s="15">
        <v>2011</v>
      </c>
      <c r="L1175" s="13" t="s">
        <v>102</v>
      </c>
      <c r="M1175" s="13" t="s">
        <v>103</v>
      </c>
      <c r="N1175" s="138" t="s">
        <v>420</v>
      </c>
      <c r="O1175" s="138" t="s">
        <v>420</v>
      </c>
      <c r="P1175" s="28">
        <v>27</v>
      </c>
      <c r="Q1175" s="13" t="s">
        <v>54</v>
      </c>
      <c r="R1175" s="13" t="s">
        <v>28</v>
      </c>
      <c r="S1175" s="13"/>
      <c r="T1175" s="13"/>
      <c r="U1175" s="13" t="s">
        <v>1303</v>
      </c>
      <c r="V1175" s="13" t="s">
        <v>1303</v>
      </c>
      <c r="W1175" s="59">
        <f>+J1175/$W$2</f>
        <v>1.5715082565073506E-4</v>
      </c>
    </row>
    <row r="1176" spans="1:29">
      <c r="A1176" s="13" t="s">
        <v>285</v>
      </c>
      <c r="B1176" s="13" t="s">
        <v>404</v>
      </c>
      <c r="C1176" s="138">
        <v>46315</v>
      </c>
      <c r="D1176" s="138" t="s">
        <v>424</v>
      </c>
      <c r="E1176" s="28">
        <v>0.96022319</v>
      </c>
      <c r="F1176" s="13"/>
      <c r="G1176" s="18">
        <v>15000000</v>
      </c>
      <c r="H1176" s="18">
        <v>14403347.84</v>
      </c>
      <c r="I1176" s="18">
        <v>15000000</v>
      </c>
      <c r="J1176" s="18">
        <v>14403347.84</v>
      </c>
      <c r="K1176" s="15">
        <v>11349966</v>
      </c>
      <c r="L1176" s="13" t="s">
        <v>102</v>
      </c>
      <c r="M1176" s="13" t="s">
        <v>103</v>
      </c>
      <c r="N1176" s="138" t="s">
        <v>346</v>
      </c>
      <c r="O1176" s="138" t="s">
        <v>346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1536</v>
      </c>
      <c r="V1176" s="13" t="s">
        <v>1536</v>
      </c>
      <c r="W1176" s="59">
        <f>+J1176/$W$2</f>
        <v>2.3572625574231062E-4</v>
      </c>
    </row>
    <row r="1177" spans="1:29">
      <c r="A1177" s="13" t="s">
        <v>285</v>
      </c>
      <c r="B1177" s="13" t="s">
        <v>404</v>
      </c>
      <c r="C1177" s="138">
        <v>46315</v>
      </c>
      <c r="D1177" s="138" t="s">
        <v>424</v>
      </c>
      <c r="E1177" s="28">
        <v>0.95599805000000004</v>
      </c>
      <c r="F1177" s="13"/>
      <c r="G1177" s="18">
        <v>5000000</v>
      </c>
      <c r="H1177" s="18">
        <v>4779990.2699999996</v>
      </c>
      <c r="I1177" s="18">
        <v>5000000</v>
      </c>
      <c r="J1177" s="18">
        <v>4779990.2699999996</v>
      </c>
      <c r="K1177" s="15">
        <v>8778</v>
      </c>
      <c r="L1177" s="13" t="s">
        <v>102</v>
      </c>
      <c r="M1177" s="13" t="s">
        <v>103</v>
      </c>
      <c r="N1177" s="138" t="s">
        <v>342</v>
      </c>
      <c r="O1177" s="138" t="s">
        <v>342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2384</v>
      </c>
      <c r="V1177" s="13" t="s">
        <v>2384</v>
      </c>
      <c r="W1177" s="59">
        <f>+J1177/$W$2</f>
        <v>7.8229674194397304E-5</v>
      </c>
    </row>
    <row r="1178" spans="1:29">
      <c r="A1178" s="13" t="s">
        <v>405</v>
      </c>
      <c r="B1178" s="13" t="s">
        <v>404</v>
      </c>
      <c r="C1178" s="138">
        <v>46315</v>
      </c>
      <c r="D1178" s="138" t="s">
        <v>424</v>
      </c>
      <c r="E1178" s="28">
        <v>0.95599800000000001</v>
      </c>
      <c r="F1178" s="13"/>
      <c r="G1178" s="18">
        <v>2500000</v>
      </c>
      <c r="H1178" s="18">
        <v>2389994.9900000002</v>
      </c>
      <c r="I1178" s="18">
        <v>2500000</v>
      </c>
      <c r="J1178" s="18">
        <v>2389994.9900000002</v>
      </c>
      <c r="K1178" s="15">
        <v>456</v>
      </c>
      <c r="L1178" s="13" t="s">
        <v>102</v>
      </c>
      <c r="M1178" s="13" t="s">
        <v>103</v>
      </c>
      <c r="N1178" s="138" t="s">
        <v>484</v>
      </c>
      <c r="O1178" s="138" t="s">
        <v>484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2085</v>
      </c>
      <c r="V1178" s="13" t="s">
        <v>2085</v>
      </c>
      <c r="W1178" s="59">
        <f>+J1178/$W$2</f>
        <v>3.9114834724117943E-5</v>
      </c>
    </row>
    <row r="1179" spans="1:29">
      <c r="A1179" s="13" t="s">
        <v>405</v>
      </c>
      <c r="B1179" s="13" t="s">
        <v>404</v>
      </c>
      <c r="C1179" s="138">
        <v>46315</v>
      </c>
      <c r="D1179" s="138" t="s">
        <v>424</v>
      </c>
      <c r="E1179" s="28">
        <v>0.95599809000000002</v>
      </c>
      <c r="F1179" s="13"/>
      <c r="G1179" s="18">
        <v>3300000</v>
      </c>
      <c r="H1179" s="18">
        <v>3154793.7</v>
      </c>
      <c r="I1179" s="18">
        <v>3300000</v>
      </c>
      <c r="J1179" s="18">
        <v>3154793.7</v>
      </c>
      <c r="K1179" s="15">
        <v>925</v>
      </c>
      <c r="L1179" s="13" t="s">
        <v>102</v>
      </c>
      <c r="M1179" s="13" t="s">
        <v>103</v>
      </c>
      <c r="N1179" s="138" t="s">
        <v>422</v>
      </c>
      <c r="O1179" s="138" t="s">
        <v>422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2253</v>
      </c>
      <c r="V1179" s="13" t="s">
        <v>2253</v>
      </c>
      <c r="W1179" s="59">
        <f>+J1179/$W$2</f>
        <v>5.1631586961690035E-5</v>
      </c>
    </row>
    <row r="1180" spans="1:29">
      <c r="A1180" s="13" t="s">
        <v>405</v>
      </c>
      <c r="B1180" s="13" t="s">
        <v>404</v>
      </c>
      <c r="C1180" s="138">
        <v>46315</v>
      </c>
      <c r="D1180" s="138" t="s">
        <v>424</v>
      </c>
      <c r="E1180" s="28">
        <v>0.95599805999999998</v>
      </c>
      <c r="F1180" s="13"/>
      <c r="G1180" s="18">
        <v>2500000</v>
      </c>
      <c r="H1180" s="18">
        <v>2389995.14</v>
      </c>
      <c r="I1180" s="18">
        <v>2500000</v>
      </c>
      <c r="J1180" s="18">
        <v>2389995.14</v>
      </c>
      <c r="K1180" s="15">
        <v>907</v>
      </c>
      <c r="L1180" s="13" t="s">
        <v>102</v>
      </c>
      <c r="M1180" s="13" t="s">
        <v>103</v>
      </c>
      <c r="N1180" s="138" t="s">
        <v>371</v>
      </c>
      <c r="O1180" s="138" t="s">
        <v>371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2102</v>
      </c>
      <c r="V1180" s="13" t="s">
        <v>2102</v>
      </c>
      <c r="W1180" s="59">
        <f>+J1180/$W$2</f>
        <v>3.9114837179029028E-5</v>
      </c>
    </row>
    <row r="1181" spans="1:29">
      <c r="A1181" s="13" t="s">
        <v>405</v>
      </c>
      <c r="B1181" s="13" t="s">
        <v>404</v>
      </c>
      <c r="C1181" s="138">
        <v>46315</v>
      </c>
      <c r="D1181" s="138" t="s">
        <v>424</v>
      </c>
      <c r="E1181" s="28">
        <v>0.95320190000000005</v>
      </c>
      <c r="F1181" s="13"/>
      <c r="G1181" s="18">
        <v>3000000</v>
      </c>
      <c r="H1181" s="18">
        <v>2859605.71</v>
      </c>
      <c r="I1181" s="18">
        <v>3000000</v>
      </c>
      <c r="J1181" s="18">
        <v>2859605.71</v>
      </c>
      <c r="K1181" s="15">
        <v>1040</v>
      </c>
      <c r="L1181" s="13" t="s">
        <v>102</v>
      </c>
      <c r="M1181" s="13" t="s">
        <v>103</v>
      </c>
      <c r="N1181" s="138" t="s">
        <v>424</v>
      </c>
      <c r="O1181" s="138" t="s">
        <v>424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2613</v>
      </c>
      <c r="V1181" s="13" t="s">
        <v>2613</v>
      </c>
      <c r="W1181" s="59">
        <f>+J1181/$W$2</f>
        <v>4.6800518490958812E-5</v>
      </c>
    </row>
    <row r="1182" spans="1:29">
      <c r="A1182" s="13" t="s">
        <v>229</v>
      </c>
      <c r="B1182" s="13" t="s">
        <v>404</v>
      </c>
      <c r="C1182" s="138">
        <v>46315</v>
      </c>
      <c r="D1182" s="138" t="s">
        <v>424</v>
      </c>
      <c r="E1182" s="28">
        <v>0.95320172999999997</v>
      </c>
      <c r="F1182" s="13"/>
      <c r="G1182" s="18">
        <v>50000000</v>
      </c>
      <c r="H1182" s="18">
        <v>47660086.289999999</v>
      </c>
      <c r="I1182" s="18">
        <v>50000000</v>
      </c>
      <c r="J1182" s="18">
        <v>47660086.289999999</v>
      </c>
      <c r="K1182" s="15">
        <v>5026</v>
      </c>
      <c r="L1182" s="13" t="s">
        <v>102</v>
      </c>
      <c r="M1182" s="13" t="s">
        <v>103</v>
      </c>
      <c r="N1182" s="138" t="s">
        <v>161</v>
      </c>
      <c r="O1182" s="138" t="s">
        <v>161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1677</v>
      </c>
      <c r="V1182" s="13" t="s">
        <v>1677</v>
      </c>
      <c r="W1182" s="59">
        <f>+J1182/$W$2</f>
        <v>7.800084962397972E-4</v>
      </c>
    </row>
    <row r="1183" spans="1:29">
      <c r="A1183" s="13" t="s">
        <v>144</v>
      </c>
      <c r="B1183" s="13" t="s">
        <v>404</v>
      </c>
      <c r="C1183" s="138">
        <v>46315</v>
      </c>
      <c r="D1183" s="138" t="s">
        <v>424</v>
      </c>
      <c r="E1183" s="28">
        <v>0.95042201000000004</v>
      </c>
      <c r="F1183" s="13"/>
      <c r="G1183" s="18">
        <v>20000000</v>
      </c>
      <c r="H1183" s="18">
        <v>19008440.140000001</v>
      </c>
      <c r="I1183" s="18">
        <v>20000000</v>
      </c>
      <c r="J1183" s="18">
        <v>19008440.140000001</v>
      </c>
      <c r="K1183" s="15">
        <v>4404</v>
      </c>
      <c r="L1183" s="13" t="s">
        <v>102</v>
      </c>
      <c r="M1183" s="13" t="s">
        <v>103</v>
      </c>
      <c r="N1183" s="138" t="s">
        <v>339</v>
      </c>
      <c r="O1183" s="138" t="s">
        <v>339</v>
      </c>
      <c r="P1183" s="28">
        <v>34</v>
      </c>
      <c r="Q1183" s="13" t="s">
        <v>54</v>
      </c>
      <c r="R1183" s="13" t="s">
        <v>28</v>
      </c>
      <c r="S1183" s="13"/>
      <c r="T1183" s="13"/>
      <c r="U1183" s="13" t="s">
        <v>1579</v>
      </c>
      <c r="V1183" s="13" t="s">
        <v>1579</v>
      </c>
      <c r="W1183" s="59">
        <f>+J1183/$W$2</f>
        <v>3.1109353682761873E-4</v>
      </c>
    </row>
    <row r="1184" spans="1:29">
      <c r="A1184" s="13" t="s">
        <v>2317</v>
      </c>
      <c r="B1184" s="13" t="s">
        <v>404</v>
      </c>
      <c r="C1184" s="138">
        <v>46315</v>
      </c>
      <c r="D1184" s="138" t="s">
        <v>424</v>
      </c>
      <c r="E1184" s="28">
        <v>0.95881057000000003</v>
      </c>
      <c r="F1184" s="13"/>
      <c r="G1184" s="18">
        <v>150000000</v>
      </c>
      <c r="H1184" s="18">
        <v>143821585.40000001</v>
      </c>
      <c r="I1184" s="18">
        <v>150000000</v>
      </c>
      <c r="J1184" s="18">
        <v>143821585.40000001</v>
      </c>
      <c r="K1184" s="15">
        <v>82</v>
      </c>
      <c r="L1184" s="13" t="s">
        <v>102</v>
      </c>
      <c r="M1184" s="13" t="s">
        <v>103</v>
      </c>
      <c r="N1184" s="138" t="s">
        <v>441</v>
      </c>
      <c r="O1184" s="138" t="s">
        <v>441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2304</v>
      </c>
      <c r="V1184" s="13" t="s">
        <v>2304</v>
      </c>
      <c r="W1184" s="59">
        <f>+J1184/$W$2</f>
        <v>2.3537947009176006E-3</v>
      </c>
    </row>
    <row r="1185" spans="1:29">
      <c r="A1185" s="13" t="s">
        <v>2516</v>
      </c>
      <c r="B1185" s="13" t="s">
        <v>404</v>
      </c>
      <c r="C1185" s="138">
        <v>46315</v>
      </c>
      <c r="D1185" s="138" t="s">
        <v>424</v>
      </c>
      <c r="E1185" s="28">
        <v>0.94491042999999997</v>
      </c>
      <c r="F1185" s="13"/>
      <c r="G1185" s="18">
        <v>215500000</v>
      </c>
      <c r="H1185" s="18">
        <v>203628198.05000001</v>
      </c>
      <c r="I1185" s="18">
        <v>215500000</v>
      </c>
      <c r="J1185" s="18">
        <v>203628198.05000001</v>
      </c>
      <c r="K1185" s="15">
        <v>70389094</v>
      </c>
      <c r="L1185" s="13" t="s">
        <v>102</v>
      </c>
      <c r="M1185" s="13" t="s">
        <v>103</v>
      </c>
      <c r="N1185" s="138" t="s">
        <v>170</v>
      </c>
      <c r="O1185" s="138" t="s">
        <v>170</v>
      </c>
      <c r="P1185" s="28">
        <v>38</v>
      </c>
      <c r="Q1185" s="13" t="s">
        <v>54</v>
      </c>
      <c r="R1185" s="13" t="s">
        <v>28</v>
      </c>
      <c r="S1185" s="13"/>
      <c r="T1185" s="13"/>
      <c r="U1185" s="13" t="s">
        <v>2471</v>
      </c>
      <c r="V1185" s="13" t="s">
        <v>2471</v>
      </c>
      <c r="W1185" s="59">
        <f>+J1185/$W$2</f>
        <v>3.3325941456871862E-3</v>
      </c>
    </row>
    <row r="1186" spans="1:29">
      <c r="A1186" s="13" t="s">
        <v>2527</v>
      </c>
      <c r="B1186" s="13" t="s">
        <v>404</v>
      </c>
      <c r="C1186" s="138">
        <v>46315</v>
      </c>
      <c r="D1186" s="138" t="s">
        <v>424</v>
      </c>
      <c r="E1186" s="28">
        <v>0.95320179000000005</v>
      </c>
      <c r="F1186" s="13"/>
      <c r="G1186" s="18">
        <v>18239769.260000002</v>
      </c>
      <c r="H1186" s="18">
        <v>17386180.699999999</v>
      </c>
      <c r="I1186" s="18">
        <v>18239769.260000002</v>
      </c>
      <c r="J1186" s="18">
        <v>17386180.699999999</v>
      </c>
      <c r="K1186" s="15">
        <v>3494370</v>
      </c>
      <c r="L1186" s="13" t="s">
        <v>102</v>
      </c>
      <c r="M1186" s="13" t="s">
        <v>103</v>
      </c>
      <c r="N1186" s="138" t="s">
        <v>463</v>
      </c>
      <c r="O1186" s="138" t="s">
        <v>463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2524</v>
      </c>
      <c r="V1186" s="13" t="s">
        <v>2524</v>
      </c>
      <c r="W1186" s="59">
        <f>+J1186/$W$2</f>
        <v>2.8454351888166469E-4</v>
      </c>
    </row>
    <row r="1187" spans="1:29">
      <c r="A1187" s="13" t="s">
        <v>742</v>
      </c>
      <c r="B1187" s="13" t="s">
        <v>404</v>
      </c>
      <c r="C1187" s="138">
        <v>46316</v>
      </c>
      <c r="D1187" s="138" t="s">
        <v>424</v>
      </c>
      <c r="E1187" s="28">
        <v>0.95240594999999995</v>
      </c>
      <c r="F1187" s="13"/>
      <c r="G1187" s="18">
        <v>100000000</v>
      </c>
      <c r="H1187" s="18">
        <v>95240594.620000005</v>
      </c>
      <c r="I1187" s="18">
        <v>100000000</v>
      </c>
      <c r="J1187" s="18">
        <v>95240594.620000005</v>
      </c>
      <c r="K1187" s="15">
        <v>160</v>
      </c>
      <c r="L1187" s="13" t="s">
        <v>102</v>
      </c>
      <c r="M1187" s="13" t="s">
        <v>103</v>
      </c>
      <c r="N1187" s="138" t="s">
        <v>161</v>
      </c>
      <c r="O1187" s="138" t="s">
        <v>161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1679</v>
      </c>
      <c r="V1187" s="13" t="s">
        <v>1679</v>
      </c>
      <c r="W1187" s="59">
        <f>+J1187/$W$2</f>
        <v>1.5587146137021886E-3</v>
      </c>
    </row>
    <row r="1188" spans="1:29">
      <c r="A1188" s="13" t="s">
        <v>138</v>
      </c>
      <c r="B1188" s="13" t="s">
        <v>404</v>
      </c>
      <c r="C1188" s="138">
        <v>46316</v>
      </c>
      <c r="D1188" s="138" t="s">
        <v>424</v>
      </c>
      <c r="E1188" s="28">
        <v>0.95099146999999995</v>
      </c>
      <c r="F1188" s="13"/>
      <c r="G1188" s="18">
        <v>125000000</v>
      </c>
      <c r="H1188" s="18">
        <v>118873933.83</v>
      </c>
      <c r="I1188" s="18">
        <v>125000000</v>
      </c>
      <c r="J1188" s="18">
        <v>118873933.83</v>
      </c>
      <c r="K1188" s="15">
        <v>9451</v>
      </c>
      <c r="L1188" s="13" t="s">
        <v>102</v>
      </c>
      <c r="M1188" s="13" t="s">
        <v>103</v>
      </c>
      <c r="N1188" s="138" t="s">
        <v>383</v>
      </c>
      <c r="O1188" s="138" t="s">
        <v>383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1667</v>
      </c>
      <c r="V1188" s="13" t="s">
        <v>1667</v>
      </c>
      <c r="W1188" s="59">
        <f>+J1188/$W$2</f>
        <v>1.9454995906774608E-3</v>
      </c>
    </row>
    <row r="1189" spans="1:29">
      <c r="A1189" s="13" t="s">
        <v>522</v>
      </c>
      <c r="B1189" s="13" t="s">
        <v>404</v>
      </c>
      <c r="C1189" s="138">
        <v>46316</v>
      </c>
      <c r="D1189" s="138" t="s">
        <v>424</v>
      </c>
      <c r="E1189" s="28">
        <v>0.94398181000000003</v>
      </c>
      <c r="F1189" s="13"/>
      <c r="G1189" s="18">
        <v>7133529.1399999997</v>
      </c>
      <c r="H1189" s="18">
        <v>6733921.7400000002</v>
      </c>
      <c r="I1189" s="18">
        <v>7133529.1399999997</v>
      </c>
      <c r="J1189" s="18">
        <v>6733921.7400000002</v>
      </c>
      <c r="K1189" s="15">
        <v>90000170</v>
      </c>
      <c r="L1189" s="13" t="s">
        <v>102</v>
      </c>
      <c r="M1189" s="13" t="s">
        <v>103</v>
      </c>
      <c r="N1189" s="138" t="s">
        <v>289</v>
      </c>
      <c r="O1189" s="138" t="s">
        <v>289</v>
      </c>
      <c r="P1189" s="28">
        <v>38</v>
      </c>
      <c r="Q1189" s="13" t="s">
        <v>54</v>
      </c>
      <c r="R1189" s="13" t="s">
        <v>28</v>
      </c>
      <c r="S1189" s="13"/>
      <c r="T1189" s="13"/>
      <c r="U1189" s="13" t="s">
        <v>623</v>
      </c>
      <c r="V1189" s="13" t="s">
        <v>623</v>
      </c>
      <c r="W1189" s="59">
        <f>+J1189/$W$2</f>
        <v>1.1020786110737608E-4</v>
      </c>
      <c r="AC1189" s="56"/>
    </row>
    <row r="1190" spans="1:29">
      <c r="A1190" s="13" t="s">
        <v>798</v>
      </c>
      <c r="B1190" s="13" t="s">
        <v>404</v>
      </c>
      <c r="C1190" s="138">
        <v>46316</v>
      </c>
      <c r="D1190" s="138" t="s">
        <v>424</v>
      </c>
      <c r="E1190" s="28">
        <v>0.95240590999999997</v>
      </c>
      <c r="F1190" s="13"/>
      <c r="G1190" s="18">
        <v>2558197.12</v>
      </c>
      <c r="H1190" s="18">
        <v>2436442.0499999998</v>
      </c>
      <c r="I1190" s="18">
        <v>2558197.12</v>
      </c>
      <c r="J1190" s="18">
        <v>2436442.0499999998</v>
      </c>
      <c r="K1190" s="15">
        <v>355</v>
      </c>
      <c r="L1190" s="13" t="s">
        <v>102</v>
      </c>
      <c r="M1190" s="13" t="s">
        <v>103</v>
      </c>
      <c r="N1190" s="138" t="s">
        <v>341</v>
      </c>
      <c r="O1190" s="138" t="s">
        <v>341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1948</v>
      </c>
      <c r="V1190" s="13" t="s">
        <v>1948</v>
      </c>
      <c r="W1190" s="59">
        <f>+J1190/$W$2</f>
        <v>3.9874990742403642E-5</v>
      </c>
    </row>
    <row r="1191" spans="1:29">
      <c r="A1191" s="13" t="s">
        <v>410</v>
      </c>
      <c r="B1191" s="13" t="s">
        <v>404</v>
      </c>
      <c r="C1191" s="138">
        <v>46316</v>
      </c>
      <c r="D1191" s="138" t="s">
        <v>424</v>
      </c>
      <c r="E1191" s="28">
        <v>0.94398190000000004</v>
      </c>
      <c r="F1191" s="13"/>
      <c r="G1191" s="18">
        <v>40400000</v>
      </c>
      <c r="H1191" s="18">
        <v>38136868.649999999</v>
      </c>
      <c r="I1191" s="18">
        <v>40400000</v>
      </c>
      <c r="J1191" s="18">
        <v>38136868.649999999</v>
      </c>
      <c r="K1191" s="15">
        <v>160226</v>
      </c>
      <c r="L1191" s="13" t="s">
        <v>102</v>
      </c>
      <c r="M1191" s="13" t="s">
        <v>103</v>
      </c>
      <c r="N1191" s="138" t="s">
        <v>342</v>
      </c>
      <c r="O1191" s="138" t="s">
        <v>342</v>
      </c>
      <c r="P1191" s="28">
        <v>38</v>
      </c>
      <c r="Q1191" s="13" t="s">
        <v>54</v>
      </c>
      <c r="R1191" s="13" t="s">
        <v>28</v>
      </c>
      <c r="S1191" s="13"/>
      <c r="T1191" s="13"/>
      <c r="U1191" s="13" t="s">
        <v>2380</v>
      </c>
      <c r="V1191" s="13" t="s">
        <v>2380</v>
      </c>
      <c r="W1191" s="59">
        <f>+J1191/$W$2</f>
        <v>6.2415081219067525E-4</v>
      </c>
    </row>
    <row r="1192" spans="1:29">
      <c r="A1192" s="13" t="s">
        <v>410</v>
      </c>
      <c r="B1192" s="13" t="s">
        <v>404</v>
      </c>
      <c r="C1192" s="138">
        <v>46316</v>
      </c>
      <c r="D1192" s="138" t="s">
        <v>424</v>
      </c>
      <c r="E1192" s="28">
        <v>0.94398190000000004</v>
      </c>
      <c r="F1192" s="13"/>
      <c r="G1192" s="18">
        <v>40400000</v>
      </c>
      <c r="H1192" s="18">
        <v>38136868.649999999</v>
      </c>
      <c r="I1192" s="18">
        <v>40400000</v>
      </c>
      <c r="J1192" s="18">
        <v>38136868.649999999</v>
      </c>
      <c r="K1192" s="15">
        <v>160227</v>
      </c>
      <c r="L1192" s="13" t="s">
        <v>102</v>
      </c>
      <c r="M1192" s="13" t="s">
        <v>103</v>
      </c>
      <c r="N1192" s="138" t="s">
        <v>342</v>
      </c>
      <c r="O1192" s="138" t="s">
        <v>342</v>
      </c>
      <c r="P1192" s="28">
        <v>38</v>
      </c>
      <c r="Q1192" s="13" t="s">
        <v>54</v>
      </c>
      <c r="R1192" s="13" t="s">
        <v>28</v>
      </c>
      <c r="S1192" s="13"/>
      <c r="T1192" s="13"/>
      <c r="U1192" s="13" t="s">
        <v>2381</v>
      </c>
      <c r="V1192" s="13" t="s">
        <v>2381</v>
      </c>
      <c r="W1192" s="59">
        <f>+J1192/$W$2</f>
        <v>6.2415081219067525E-4</v>
      </c>
    </row>
    <row r="1193" spans="1:29">
      <c r="A1193" s="13" t="s">
        <v>466</v>
      </c>
      <c r="B1193" s="13" t="s">
        <v>404</v>
      </c>
      <c r="C1193" s="138">
        <v>46316</v>
      </c>
      <c r="D1193" s="138" t="s">
        <v>424</v>
      </c>
      <c r="E1193" s="28">
        <v>0.95810591000000001</v>
      </c>
      <c r="F1193" s="13"/>
      <c r="G1193" s="18">
        <v>25000000</v>
      </c>
      <c r="H1193" s="18">
        <v>23952647.670000002</v>
      </c>
      <c r="I1193" s="18">
        <v>25000000</v>
      </c>
      <c r="J1193" s="18">
        <v>23952647.670000002</v>
      </c>
      <c r="K1193" s="15">
        <v>360573</v>
      </c>
      <c r="L1193" s="13" t="s">
        <v>102</v>
      </c>
      <c r="M1193" s="13" t="s">
        <v>103</v>
      </c>
      <c r="N1193" s="138" t="s">
        <v>308</v>
      </c>
      <c r="O1193" s="138" t="s">
        <v>308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554</v>
      </c>
      <c r="V1193" s="13" t="s">
        <v>554</v>
      </c>
      <c r="W1193" s="59">
        <f>+J1193/$W$2</f>
        <v>3.9201080284150664E-4</v>
      </c>
    </row>
    <row r="1194" spans="1:29">
      <c r="A1194" s="13" t="s">
        <v>537</v>
      </c>
      <c r="B1194" s="13" t="s">
        <v>404</v>
      </c>
      <c r="C1194" s="138">
        <v>46316</v>
      </c>
      <c r="D1194" s="138" t="s">
        <v>424</v>
      </c>
      <c r="E1194" s="28">
        <v>0.95810592999999999</v>
      </c>
      <c r="F1194" s="13"/>
      <c r="G1194" s="18">
        <v>20000000</v>
      </c>
      <c r="H1194" s="18">
        <v>19162118.620000001</v>
      </c>
      <c r="I1194" s="18">
        <v>20000000</v>
      </c>
      <c r="J1194" s="18">
        <v>19162118.620000001</v>
      </c>
      <c r="K1194" s="15">
        <v>10262986</v>
      </c>
      <c r="L1194" s="13" t="s">
        <v>102</v>
      </c>
      <c r="M1194" s="13" t="s">
        <v>103</v>
      </c>
      <c r="N1194" s="138" t="s">
        <v>419</v>
      </c>
      <c r="O1194" s="138" t="s">
        <v>419</v>
      </c>
      <c r="P1194" s="28">
        <v>28</v>
      </c>
      <c r="Q1194" s="13" t="s">
        <v>54</v>
      </c>
      <c r="R1194" s="13" t="s">
        <v>28</v>
      </c>
      <c r="S1194" s="13"/>
      <c r="T1194" s="13"/>
      <c r="U1194" s="13" t="s">
        <v>1242</v>
      </c>
      <c r="V1194" s="13" t="s">
        <v>1242</v>
      </c>
      <c r="W1194" s="59">
        <f>+J1194/$W$2</f>
        <v>3.1360865019438509E-4</v>
      </c>
    </row>
    <row r="1195" spans="1:29">
      <c r="A1195" s="13" t="s">
        <v>285</v>
      </c>
      <c r="B1195" s="13" t="s">
        <v>404</v>
      </c>
      <c r="C1195" s="138">
        <v>46316</v>
      </c>
      <c r="D1195" s="138" t="s">
        <v>424</v>
      </c>
      <c r="E1195" s="28">
        <v>0.96242594000000004</v>
      </c>
      <c r="F1195" s="13"/>
      <c r="G1195" s="18">
        <v>28000000</v>
      </c>
      <c r="H1195" s="18">
        <v>26947926.210000001</v>
      </c>
      <c r="I1195" s="18">
        <v>28000000</v>
      </c>
      <c r="J1195" s="18">
        <v>26947926.210000001</v>
      </c>
      <c r="K1195" s="15">
        <v>68393695</v>
      </c>
      <c r="L1195" s="13" t="s">
        <v>102</v>
      </c>
      <c r="M1195" s="13" t="s">
        <v>103</v>
      </c>
      <c r="N1195" s="138" t="s">
        <v>339</v>
      </c>
      <c r="O1195" s="138" t="s">
        <v>339</v>
      </c>
      <c r="P1195" s="28">
        <v>25</v>
      </c>
      <c r="Q1195" s="13" t="s">
        <v>54</v>
      </c>
      <c r="R1195" s="13" t="s">
        <v>28</v>
      </c>
      <c r="S1195" s="13"/>
      <c r="T1195" s="13"/>
      <c r="U1195" s="13" t="s">
        <v>1598</v>
      </c>
      <c r="V1195" s="13" t="s">
        <v>1598</v>
      </c>
      <c r="W1195" s="59">
        <f>+J1195/$W$2</f>
        <v>4.4103175289998242E-4</v>
      </c>
    </row>
    <row r="1196" spans="1:29">
      <c r="A1196" s="13" t="s">
        <v>375</v>
      </c>
      <c r="B1196" s="13" t="s">
        <v>404</v>
      </c>
      <c r="C1196" s="138">
        <v>46316</v>
      </c>
      <c r="D1196" s="138" t="s">
        <v>424</v>
      </c>
      <c r="E1196" s="28">
        <v>0.95099144000000002</v>
      </c>
      <c r="F1196" s="13"/>
      <c r="G1196" s="18">
        <v>2502550.36</v>
      </c>
      <c r="H1196" s="18">
        <v>2379903.96</v>
      </c>
      <c r="I1196" s="18">
        <v>2502550.36</v>
      </c>
      <c r="J1196" s="18">
        <v>2379903.96</v>
      </c>
      <c r="K1196" s="15">
        <v>3137</v>
      </c>
      <c r="L1196" s="13" t="s">
        <v>102</v>
      </c>
      <c r="M1196" s="13" t="s">
        <v>103</v>
      </c>
      <c r="N1196" s="138" t="s">
        <v>481</v>
      </c>
      <c r="O1196" s="138" t="s">
        <v>481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1768</v>
      </c>
      <c r="V1196" s="13" t="s">
        <v>1768</v>
      </c>
      <c r="W1196" s="59">
        <f>+J1196/$W$2</f>
        <v>3.8949684181000641E-5</v>
      </c>
    </row>
    <row r="1197" spans="1:29">
      <c r="A1197" s="13" t="s">
        <v>285</v>
      </c>
      <c r="B1197" s="13" t="s">
        <v>404</v>
      </c>
      <c r="C1197" s="138">
        <v>46316</v>
      </c>
      <c r="D1197" s="138" t="s">
        <v>424</v>
      </c>
      <c r="E1197" s="28">
        <v>0.95954159000000006</v>
      </c>
      <c r="F1197" s="13"/>
      <c r="G1197" s="18">
        <v>15000000</v>
      </c>
      <c r="H1197" s="18">
        <v>14393123.779999999</v>
      </c>
      <c r="I1197" s="18">
        <v>15000000</v>
      </c>
      <c r="J1197" s="18">
        <v>14393123.779999999</v>
      </c>
      <c r="K1197" s="15">
        <v>11349967</v>
      </c>
      <c r="L1197" s="13" t="s">
        <v>102</v>
      </c>
      <c r="M1197" s="13" t="s">
        <v>103</v>
      </c>
      <c r="N1197" s="138" t="s">
        <v>346</v>
      </c>
      <c r="O1197" s="138" t="s">
        <v>346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1535</v>
      </c>
      <c r="V1197" s="13" t="s">
        <v>1535</v>
      </c>
      <c r="W1197" s="59">
        <f>+J1197/$W$2</f>
        <v>2.3555892802037699E-4</v>
      </c>
    </row>
    <row r="1198" spans="1:29">
      <c r="A1198" s="13" t="s">
        <v>285</v>
      </c>
      <c r="B1198" s="13" t="s">
        <v>404</v>
      </c>
      <c r="C1198" s="138">
        <v>46316</v>
      </c>
      <c r="D1198" s="138" t="s">
        <v>424</v>
      </c>
      <c r="E1198" s="28">
        <v>0.95954159000000006</v>
      </c>
      <c r="F1198" s="13"/>
      <c r="G1198" s="18">
        <v>20000000</v>
      </c>
      <c r="H1198" s="18">
        <v>19190831.699999999</v>
      </c>
      <c r="I1198" s="18">
        <v>20000000</v>
      </c>
      <c r="J1198" s="18">
        <v>19190831.699999999</v>
      </c>
      <c r="K1198" s="15">
        <v>13869224</v>
      </c>
      <c r="L1198" s="13" t="s">
        <v>102</v>
      </c>
      <c r="M1198" s="13" t="s">
        <v>103</v>
      </c>
      <c r="N1198" s="138" t="s">
        <v>346</v>
      </c>
      <c r="O1198" s="138" t="s">
        <v>346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1541</v>
      </c>
      <c r="V1198" s="13" t="s">
        <v>1541</v>
      </c>
      <c r="W1198" s="59">
        <f>+J1198/$W$2</f>
        <v>3.1407857058472879E-4</v>
      </c>
    </row>
    <row r="1199" spans="1:29">
      <c r="A1199" s="13" t="s">
        <v>405</v>
      </c>
      <c r="B1199" s="13" t="s">
        <v>404</v>
      </c>
      <c r="C1199" s="138">
        <v>46316</v>
      </c>
      <c r="D1199" s="138" t="s">
        <v>424</v>
      </c>
      <c r="E1199" s="28">
        <v>0.95524743999999995</v>
      </c>
      <c r="F1199" s="13"/>
      <c r="G1199" s="18">
        <v>3300000</v>
      </c>
      <c r="H1199" s="18">
        <v>3152316.56</v>
      </c>
      <c r="I1199" s="18">
        <v>3300000</v>
      </c>
      <c r="J1199" s="18">
        <v>3152316.56</v>
      </c>
      <c r="K1199" s="15">
        <v>926</v>
      </c>
      <c r="L1199" s="13" t="s">
        <v>102</v>
      </c>
      <c r="M1199" s="13" t="s">
        <v>103</v>
      </c>
      <c r="N1199" s="138" t="s">
        <v>422</v>
      </c>
      <c r="O1199" s="138" t="s">
        <v>422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2247</v>
      </c>
      <c r="V1199" s="13" t="s">
        <v>2247</v>
      </c>
      <c r="W1199" s="59">
        <f>+J1199/$W$2</f>
        <v>5.15910459052887E-5</v>
      </c>
    </row>
    <row r="1200" spans="1:29">
      <c r="A1200" s="13" t="s">
        <v>229</v>
      </c>
      <c r="B1200" s="13" t="s">
        <v>404</v>
      </c>
      <c r="C1200" s="138">
        <v>46316</v>
      </c>
      <c r="D1200" s="138" t="s">
        <v>424</v>
      </c>
      <c r="E1200" s="28">
        <v>0.95240594999999995</v>
      </c>
      <c r="F1200" s="13"/>
      <c r="G1200" s="18">
        <v>50000000</v>
      </c>
      <c r="H1200" s="18">
        <v>47620297.310000002</v>
      </c>
      <c r="I1200" s="18">
        <v>50000000</v>
      </c>
      <c r="J1200" s="18">
        <v>47620297.310000002</v>
      </c>
      <c r="K1200" s="15">
        <v>5027</v>
      </c>
      <c r="L1200" s="13" t="s">
        <v>102</v>
      </c>
      <c r="M1200" s="13" t="s">
        <v>103</v>
      </c>
      <c r="N1200" s="138" t="s">
        <v>161</v>
      </c>
      <c r="O1200" s="138" t="s">
        <v>161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1678</v>
      </c>
      <c r="V1200" s="13" t="s">
        <v>1678</v>
      </c>
      <c r="W1200" s="59">
        <f>+J1200/$W$2</f>
        <v>7.7935730685109428E-4</v>
      </c>
    </row>
    <row r="1201" spans="1:29">
      <c r="A1201" s="13" t="s">
        <v>375</v>
      </c>
      <c r="B1201" s="13" t="s">
        <v>404</v>
      </c>
      <c r="C1201" s="138">
        <v>46316</v>
      </c>
      <c r="D1201" s="138" t="s">
        <v>424</v>
      </c>
      <c r="E1201" s="28">
        <v>0.95099144000000002</v>
      </c>
      <c r="F1201" s="13"/>
      <c r="G1201" s="18">
        <v>2502550.36</v>
      </c>
      <c r="H1201" s="18">
        <v>2379903.96</v>
      </c>
      <c r="I1201" s="18">
        <v>2502550.36</v>
      </c>
      <c r="J1201" s="18">
        <v>2379903.96</v>
      </c>
      <c r="K1201" s="15">
        <v>3127</v>
      </c>
      <c r="L1201" s="13" t="s">
        <v>102</v>
      </c>
      <c r="M1201" s="13" t="s">
        <v>103</v>
      </c>
      <c r="N1201" s="138" t="s">
        <v>481</v>
      </c>
      <c r="O1201" s="138" t="s">
        <v>481</v>
      </c>
      <c r="P1201" s="28">
        <v>33</v>
      </c>
      <c r="Q1201" s="13" t="s">
        <v>54</v>
      </c>
      <c r="R1201" s="13" t="s">
        <v>28</v>
      </c>
      <c r="S1201" s="13"/>
      <c r="T1201" s="13"/>
      <c r="U1201" s="13" t="s">
        <v>1761</v>
      </c>
      <c r="V1201" s="13" t="s">
        <v>1761</v>
      </c>
      <c r="W1201" s="59">
        <f>+J1201/$W$2</f>
        <v>3.8949684181000641E-5</v>
      </c>
    </row>
    <row r="1202" spans="1:29">
      <c r="A1202" s="13" t="s">
        <v>2688</v>
      </c>
      <c r="B1202" s="13" t="s">
        <v>404</v>
      </c>
      <c r="C1202" s="138">
        <v>46316</v>
      </c>
      <c r="D1202" s="138" t="s">
        <v>424</v>
      </c>
      <c r="E1202" s="28">
        <v>0.95240592000000002</v>
      </c>
      <c r="F1202" s="13"/>
      <c r="G1202" s="18">
        <v>6331582.3099999996</v>
      </c>
      <c r="H1202" s="18">
        <v>6030236.4400000004</v>
      </c>
      <c r="I1202" s="18">
        <v>6331582.3099999996</v>
      </c>
      <c r="J1202" s="18">
        <v>6030236.4400000004</v>
      </c>
      <c r="K1202" s="15">
        <v>11231838</v>
      </c>
      <c r="L1202" s="13" t="s">
        <v>102</v>
      </c>
      <c r="M1202" s="13" t="s">
        <v>103</v>
      </c>
      <c r="N1202" s="138" t="s">
        <v>424</v>
      </c>
      <c r="O1202" s="138" t="s">
        <v>424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2658</v>
      </c>
      <c r="V1202" s="13" t="s">
        <v>2658</v>
      </c>
      <c r="W1202" s="59">
        <f>+J1202/$W$2</f>
        <v>9.8691295456629114E-5</v>
      </c>
    </row>
    <row r="1203" spans="1:29">
      <c r="A1203" s="13" t="s">
        <v>2689</v>
      </c>
      <c r="B1203" s="13" t="s">
        <v>404</v>
      </c>
      <c r="C1203" s="138">
        <v>46316</v>
      </c>
      <c r="D1203" s="138" t="s">
        <v>424</v>
      </c>
      <c r="E1203" s="28">
        <v>0.95240590999999997</v>
      </c>
      <c r="F1203" s="13"/>
      <c r="G1203" s="18">
        <v>12000000</v>
      </c>
      <c r="H1203" s="18">
        <v>11428870.960000001</v>
      </c>
      <c r="I1203" s="18">
        <v>12000000</v>
      </c>
      <c r="J1203" s="18">
        <v>11428870.960000001</v>
      </c>
      <c r="K1203" s="15">
        <v>68962672</v>
      </c>
      <c r="L1203" s="13" t="s">
        <v>102</v>
      </c>
      <c r="M1203" s="13" t="s">
        <v>103</v>
      </c>
      <c r="N1203" s="138" t="s">
        <v>424</v>
      </c>
      <c r="O1203" s="138" t="s">
        <v>424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2662</v>
      </c>
      <c r="V1203" s="13" t="s">
        <v>2662</v>
      </c>
      <c r="W1203" s="59">
        <f>+J1203/$W$2</f>
        <v>1.8704574718948308E-4</v>
      </c>
    </row>
    <row r="1204" spans="1:29">
      <c r="A1204" s="13" t="s">
        <v>2691</v>
      </c>
      <c r="B1204" s="13" t="s">
        <v>404</v>
      </c>
      <c r="C1204" s="138">
        <v>46316</v>
      </c>
      <c r="D1204" s="138" t="s">
        <v>424</v>
      </c>
      <c r="E1204" s="28">
        <v>0.95240592000000002</v>
      </c>
      <c r="F1204" s="13"/>
      <c r="G1204" s="18">
        <v>8475000</v>
      </c>
      <c r="H1204" s="18">
        <v>8071640.1299999999</v>
      </c>
      <c r="I1204" s="18">
        <v>8475000</v>
      </c>
      <c r="J1204" s="18">
        <v>8071640.1299999999</v>
      </c>
      <c r="K1204" s="15">
        <v>29838177</v>
      </c>
      <c r="L1204" s="13" t="s">
        <v>102</v>
      </c>
      <c r="M1204" s="13" t="s">
        <v>103</v>
      </c>
      <c r="N1204" s="138" t="s">
        <v>424</v>
      </c>
      <c r="O1204" s="138" t="s">
        <v>424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2669</v>
      </c>
      <c r="V1204" s="13" t="s">
        <v>2669</v>
      </c>
      <c r="W1204" s="59">
        <f>+J1204/$W$2</f>
        <v>1.3210105918988048E-4</v>
      </c>
    </row>
    <row r="1205" spans="1:29">
      <c r="A1205" s="13" t="s">
        <v>743</v>
      </c>
      <c r="B1205" s="13" t="s">
        <v>404</v>
      </c>
      <c r="C1205" s="138">
        <v>46316</v>
      </c>
      <c r="D1205" s="138" t="s">
        <v>424</v>
      </c>
      <c r="E1205" s="28">
        <v>0.95240590999999997</v>
      </c>
      <c r="F1205" s="13"/>
      <c r="G1205" s="18">
        <v>27150000</v>
      </c>
      <c r="H1205" s="18">
        <v>25857820.48</v>
      </c>
      <c r="I1205" s="18">
        <v>27150000</v>
      </c>
      <c r="J1205" s="18">
        <v>25857820.48</v>
      </c>
      <c r="K1205" s="15">
        <v>29768697</v>
      </c>
      <c r="L1205" s="13" t="s">
        <v>102</v>
      </c>
      <c r="M1205" s="13" t="s">
        <v>103</v>
      </c>
      <c r="N1205" s="138" t="s">
        <v>341</v>
      </c>
      <c r="O1205" s="138" t="s">
        <v>341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1946</v>
      </c>
      <c r="V1205" s="13" t="s">
        <v>1946</v>
      </c>
      <c r="W1205" s="59">
        <f>+J1205/$W$2</f>
        <v>4.2319100191967845E-4</v>
      </c>
    </row>
    <row r="1206" spans="1:29">
      <c r="A1206" s="13" t="s">
        <v>523</v>
      </c>
      <c r="B1206" s="13" t="s">
        <v>404</v>
      </c>
      <c r="C1206" s="138">
        <v>46316</v>
      </c>
      <c r="D1206" s="138" t="s">
        <v>424</v>
      </c>
      <c r="E1206" s="28">
        <v>0.95524735000000005</v>
      </c>
      <c r="F1206" s="13"/>
      <c r="G1206" s="18">
        <v>11923076.92</v>
      </c>
      <c r="H1206" s="18">
        <v>11389487.630000001</v>
      </c>
      <c r="I1206" s="18">
        <v>11923076.92</v>
      </c>
      <c r="J1206" s="18">
        <v>11389487.630000001</v>
      </c>
      <c r="K1206" s="15">
        <v>90021989</v>
      </c>
      <c r="L1206" s="13" t="s">
        <v>102</v>
      </c>
      <c r="M1206" s="13" t="s">
        <v>103</v>
      </c>
      <c r="N1206" s="138" t="s">
        <v>315</v>
      </c>
      <c r="O1206" s="138" t="s">
        <v>315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713</v>
      </c>
      <c r="V1206" s="13" t="s">
        <v>713</v>
      </c>
      <c r="W1206" s="59">
        <f>+J1206/$W$2</f>
        <v>1.8640119669867413E-4</v>
      </c>
    </row>
    <row r="1207" spans="1:29">
      <c r="A1207" s="13" t="s">
        <v>413</v>
      </c>
      <c r="B1207" s="13" t="s">
        <v>404</v>
      </c>
      <c r="C1207" s="138">
        <v>46316</v>
      </c>
      <c r="D1207" s="138" t="s">
        <v>424</v>
      </c>
      <c r="E1207" s="28">
        <v>0.95240594999999995</v>
      </c>
      <c r="F1207" s="13"/>
      <c r="G1207" s="18">
        <v>10655603.25</v>
      </c>
      <c r="H1207" s="18">
        <v>10148459.93</v>
      </c>
      <c r="I1207" s="18">
        <v>10655603.25</v>
      </c>
      <c r="J1207" s="18">
        <v>10148459.93</v>
      </c>
      <c r="K1207" s="15">
        <v>30826</v>
      </c>
      <c r="L1207" s="13" t="s">
        <v>102</v>
      </c>
      <c r="M1207" s="13" t="s">
        <v>103</v>
      </c>
      <c r="N1207" s="138" t="s">
        <v>421</v>
      </c>
      <c r="O1207" s="138" t="s">
        <v>421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1362</v>
      </c>
      <c r="V1207" s="13" t="s">
        <v>1362</v>
      </c>
      <c r="W1207" s="59">
        <f>+J1207/$W$2</f>
        <v>1.6609044559808198E-4</v>
      </c>
    </row>
    <row r="1208" spans="1:29">
      <c r="A1208" s="13" t="s">
        <v>232</v>
      </c>
      <c r="B1208" s="13" t="s">
        <v>404</v>
      </c>
      <c r="C1208" s="138">
        <v>46317</v>
      </c>
      <c r="D1208" s="138" t="s">
        <v>424</v>
      </c>
      <c r="E1208" s="28">
        <v>0.95017450000000003</v>
      </c>
      <c r="F1208" s="13"/>
      <c r="G1208" s="18">
        <v>45000000</v>
      </c>
      <c r="H1208" s="18">
        <v>42757852.380000003</v>
      </c>
      <c r="I1208" s="18">
        <v>45000000</v>
      </c>
      <c r="J1208" s="18">
        <v>42757852.380000003</v>
      </c>
      <c r="K1208" s="15">
        <v>67838018</v>
      </c>
      <c r="L1208" s="13" t="s">
        <v>102</v>
      </c>
      <c r="M1208" s="13" t="s">
        <v>103</v>
      </c>
      <c r="N1208" s="138" t="s">
        <v>340</v>
      </c>
      <c r="O1208" s="138" t="s">
        <v>340</v>
      </c>
      <c r="P1208" s="28">
        <v>33</v>
      </c>
      <c r="Q1208" s="13" t="s">
        <v>54</v>
      </c>
      <c r="R1208" s="13" t="s">
        <v>28</v>
      </c>
      <c r="S1208" s="13"/>
      <c r="T1208" s="13"/>
      <c r="U1208" s="13" t="s">
        <v>1065</v>
      </c>
      <c r="V1208" s="13" t="s">
        <v>1065</v>
      </c>
      <c r="W1208" s="59">
        <f>+J1208/$W$2</f>
        <v>6.9977817359438601E-4</v>
      </c>
    </row>
    <row r="1209" spans="1:29">
      <c r="A1209" s="13" t="s">
        <v>744</v>
      </c>
      <c r="B1209" s="13" t="s">
        <v>404</v>
      </c>
      <c r="C1209" s="138">
        <v>46317</v>
      </c>
      <c r="D1209" s="138" t="s">
        <v>424</v>
      </c>
      <c r="E1209" s="28">
        <v>0.94164395000000001</v>
      </c>
      <c r="F1209" s="13"/>
      <c r="G1209" s="18">
        <v>3750000</v>
      </c>
      <c r="H1209" s="18">
        <v>3531164.82</v>
      </c>
      <c r="I1209" s="18">
        <v>3750000</v>
      </c>
      <c r="J1209" s="18">
        <v>3531164.82</v>
      </c>
      <c r="K1209" s="15">
        <v>66918105</v>
      </c>
      <c r="L1209" s="13" t="s">
        <v>102</v>
      </c>
      <c r="M1209" s="13" t="s">
        <v>103</v>
      </c>
      <c r="N1209" s="138" t="s">
        <v>322</v>
      </c>
      <c r="O1209" s="138" t="s">
        <v>322</v>
      </c>
      <c r="P1209" s="28">
        <v>39</v>
      </c>
      <c r="Q1209" s="13" t="s">
        <v>54</v>
      </c>
      <c r="R1209" s="13" t="s">
        <v>28</v>
      </c>
      <c r="S1209" s="13"/>
      <c r="T1209" s="13"/>
      <c r="U1209" s="13" t="s">
        <v>735</v>
      </c>
      <c r="V1209" s="13" t="s">
        <v>735</v>
      </c>
      <c r="W1209" s="59">
        <f>+J1209/$W$2</f>
        <v>5.7791304540734478E-5</v>
      </c>
    </row>
    <row r="1210" spans="1:29">
      <c r="A1210" s="13" t="s">
        <v>772</v>
      </c>
      <c r="B1210" s="13" t="s">
        <v>404</v>
      </c>
      <c r="C1210" s="138">
        <v>46317</v>
      </c>
      <c r="D1210" s="138" t="s">
        <v>424</v>
      </c>
      <c r="E1210" s="28">
        <v>0.95017448000000004</v>
      </c>
      <c r="F1210" s="13"/>
      <c r="G1210" s="18">
        <v>1000000</v>
      </c>
      <c r="H1210" s="18">
        <v>950174.48</v>
      </c>
      <c r="I1210" s="18">
        <v>1000000</v>
      </c>
      <c r="J1210" s="18">
        <v>950174.48</v>
      </c>
      <c r="K1210" s="15">
        <v>519</v>
      </c>
      <c r="L1210" s="13" t="s">
        <v>102</v>
      </c>
      <c r="M1210" s="13" t="s">
        <v>103</v>
      </c>
      <c r="N1210" s="138" t="s">
        <v>422</v>
      </c>
      <c r="O1210" s="138" t="s">
        <v>422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2237</v>
      </c>
      <c r="V1210" s="13" t="s">
        <v>2237</v>
      </c>
      <c r="W1210" s="59">
        <f>+J1210/$W$2</f>
        <v>1.555062579619663E-5</v>
      </c>
      <c r="AC1210" s="56"/>
    </row>
    <row r="1211" spans="1:29">
      <c r="A1211" s="13" t="s">
        <v>285</v>
      </c>
      <c r="B1211" s="13" t="s">
        <v>404</v>
      </c>
      <c r="C1211" s="138">
        <v>46317</v>
      </c>
      <c r="D1211" s="138" t="s">
        <v>424</v>
      </c>
      <c r="E1211" s="28">
        <v>0.95449793000000005</v>
      </c>
      <c r="F1211" s="13"/>
      <c r="G1211" s="18">
        <v>3000000</v>
      </c>
      <c r="H1211" s="18">
        <v>2863493.78</v>
      </c>
      <c r="I1211" s="18">
        <v>3000000</v>
      </c>
      <c r="J1211" s="18">
        <v>2863493.78</v>
      </c>
      <c r="K1211" s="15">
        <v>12759458</v>
      </c>
      <c r="L1211" s="13" t="s">
        <v>102</v>
      </c>
      <c r="M1211" s="13" t="s">
        <v>103</v>
      </c>
      <c r="N1211" s="138" t="s">
        <v>342</v>
      </c>
      <c r="O1211" s="138" t="s">
        <v>342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2396</v>
      </c>
      <c r="V1211" s="13" t="s">
        <v>2396</v>
      </c>
      <c r="W1211" s="59">
        <f>+J1211/$W$2</f>
        <v>4.6864150932065224E-5</v>
      </c>
    </row>
    <row r="1212" spans="1:29">
      <c r="A1212" s="13" t="s">
        <v>565</v>
      </c>
      <c r="B1212" s="13" t="s">
        <v>404</v>
      </c>
      <c r="C1212" s="138">
        <v>46317</v>
      </c>
      <c r="D1212" s="138" t="s">
        <v>424</v>
      </c>
      <c r="E1212" s="28">
        <v>0.96032419999999996</v>
      </c>
      <c r="F1212" s="13"/>
      <c r="G1212" s="18">
        <v>20000000</v>
      </c>
      <c r="H1212" s="18">
        <v>19206484.079999998</v>
      </c>
      <c r="I1212" s="18">
        <v>20000000</v>
      </c>
      <c r="J1212" s="18">
        <v>19206484.079999998</v>
      </c>
      <c r="K1212" s="15">
        <v>9508921</v>
      </c>
      <c r="L1212" s="13" t="s">
        <v>102</v>
      </c>
      <c r="M1212" s="13" t="s">
        <v>103</v>
      </c>
      <c r="N1212" s="138" t="s">
        <v>339</v>
      </c>
      <c r="O1212" s="138" t="s">
        <v>339</v>
      </c>
      <c r="P1212" s="28">
        <v>26</v>
      </c>
      <c r="Q1212" s="13" t="s">
        <v>54</v>
      </c>
      <c r="R1212" s="13" t="s">
        <v>28</v>
      </c>
      <c r="S1212" s="13"/>
      <c r="T1212" s="13"/>
      <c r="U1212" s="13" t="s">
        <v>1564</v>
      </c>
      <c r="V1212" s="13" t="s">
        <v>1564</v>
      </c>
      <c r="W1212" s="59">
        <f>+J1212/$W$2</f>
        <v>3.1433473859315592E-4</v>
      </c>
    </row>
    <row r="1213" spans="1:29">
      <c r="A1213" s="13" t="s">
        <v>466</v>
      </c>
      <c r="B1213" s="13" t="s">
        <v>404</v>
      </c>
      <c r="C1213" s="138">
        <v>46317</v>
      </c>
      <c r="D1213" s="138" t="s">
        <v>424</v>
      </c>
      <c r="E1213" s="28">
        <v>0.95740221999999997</v>
      </c>
      <c r="F1213" s="13"/>
      <c r="G1213" s="18">
        <v>2500000</v>
      </c>
      <c r="H1213" s="18">
        <v>2393505.56</v>
      </c>
      <c r="I1213" s="18">
        <v>2500000</v>
      </c>
      <c r="J1213" s="18">
        <v>2393505.56</v>
      </c>
      <c r="K1213" s="15">
        <v>90031818</v>
      </c>
      <c r="L1213" s="13" t="s">
        <v>102</v>
      </c>
      <c r="M1213" s="13" t="s">
        <v>103</v>
      </c>
      <c r="N1213" s="138" t="s">
        <v>289</v>
      </c>
      <c r="O1213" s="138" t="s">
        <v>289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584</v>
      </c>
      <c r="V1213" s="13" t="s">
        <v>584</v>
      </c>
      <c r="W1213" s="59">
        <f>+J1213/$W$2</f>
        <v>3.9172288972311754E-5</v>
      </c>
      <c r="AC1213" s="56"/>
    </row>
    <row r="1214" spans="1:29">
      <c r="A1214" s="13" t="s">
        <v>285</v>
      </c>
      <c r="B1214" s="13" t="s">
        <v>404</v>
      </c>
      <c r="C1214" s="138">
        <v>46317</v>
      </c>
      <c r="D1214" s="138" t="s">
        <v>424</v>
      </c>
      <c r="E1214" s="28">
        <v>0.96179186999999999</v>
      </c>
      <c r="F1214" s="13"/>
      <c r="G1214" s="18">
        <v>8650000</v>
      </c>
      <c r="H1214" s="18">
        <v>8319499.6500000004</v>
      </c>
      <c r="I1214" s="18">
        <v>8650000</v>
      </c>
      <c r="J1214" s="18">
        <v>8319499.6500000004</v>
      </c>
      <c r="K1214" s="15">
        <v>34389</v>
      </c>
      <c r="L1214" s="13" t="s">
        <v>102</v>
      </c>
      <c r="M1214" s="13" t="s">
        <v>103</v>
      </c>
      <c r="N1214" s="138" t="s">
        <v>383</v>
      </c>
      <c r="O1214" s="138" t="s">
        <v>383</v>
      </c>
      <c r="P1214" s="28">
        <v>25</v>
      </c>
      <c r="Q1214" s="13" t="s">
        <v>54</v>
      </c>
      <c r="R1214" s="13" t="s">
        <v>28</v>
      </c>
      <c r="S1214" s="13"/>
      <c r="T1214" s="13"/>
      <c r="U1214" s="13" t="s">
        <v>1626</v>
      </c>
      <c r="V1214" s="13" t="s">
        <v>1626</v>
      </c>
      <c r="W1214" s="59">
        <f>+J1214/$W$2</f>
        <v>1.3615754642109398E-4</v>
      </c>
    </row>
    <row r="1215" spans="1:29">
      <c r="A1215" s="13" t="s">
        <v>285</v>
      </c>
      <c r="B1215" s="13" t="s">
        <v>404</v>
      </c>
      <c r="C1215" s="138">
        <v>46317</v>
      </c>
      <c r="D1215" s="138" t="s">
        <v>424</v>
      </c>
      <c r="E1215" s="28">
        <v>0.95886095000000005</v>
      </c>
      <c r="F1215" s="13"/>
      <c r="G1215" s="18">
        <v>15000000</v>
      </c>
      <c r="H1215" s="18">
        <v>14382914.220000001</v>
      </c>
      <c r="I1215" s="18">
        <v>15000000</v>
      </c>
      <c r="J1215" s="18">
        <v>14382914.220000001</v>
      </c>
      <c r="K1215" s="15">
        <v>11349968</v>
      </c>
      <c r="L1215" s="13" t="s">
        <v>102</v>
      </c>
      <c r="M1215" s="13" t="s">
        <v>103</v>
      </c>
      <c r="N1215" s="138" t="s">
        <v>346</v>
      </c>
      <c r="O1215" s="138" t="s">
        <v>346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1534</v>
      </c>
      <c r="V1215" s="13" t="s">
        <v>1534</v>
      </c>
      <c r="W1215" s="59">
        <f>+J1215/$W$2</f>
        <v>2.353918376065155E-4</v>
      </c>
    </row>
    <row r="1216" spans="1:29">
      <c r="A1216" s="13" t="s">
        <v>285</v>
      </c>
      <c r="B1216" s="13" t="s">
        <v>404</v>
      </c>
      <c r="C1216" s="138">
        <v>46317</v>
      </c>
      <c r="D1216" s="138" t="s">
        <v>424</v>
      </c>
      <c r="E1216" s="28">
        <v>0.96179188999999998</v>
      </c>
      <c r="F1216" s="13"/>
      <c r="G1216" s="18">
        <v>11000000</v>
      </c>
      <c r="H1216" s="18">
        <v>10579710.789999999</v>
      </c>
      <c r="I1216" s="18">
        <v>11000000</v>
      </c>
      <c r="J1216" s="18">
        <v>10579710.789999999</v>
      </c>
      <c r="K1216" s="15">
        <v>189</v>
      </c>
      <c r="L1216" s="13" t="s">
        <v>102</v>
      </c>
      <c r="M1216" s="13" t="s">
        <v>103</v>
      </c>
      <c r="N1216" s="138" t="s">
        <v>339</v>
      </c>
      <c r="O1216" s="138" t="s">
        <v>339</v>
      </c>
      <c r="P1216" s="28">
        <v>25</v>
      </c>
      <c r="Q1216" s="13" t="s">
        <v>54</v>
      </c>
      <c r="R1216" s="13" t="s">
        <v>28</v>
      </c>
      <c r="S1216" s="13"/>
      <c r="T1216" s="13"/>
      <c r="U1216" s="13" t="s">
        <v>1555</v>
      </c>
      <c r="V1216" s="13" t="s">
        <v>1555</v>
      </c>
      <c r="W1216" s="59">
        <f>+J1216/$W$2</f>
        <v>1.7314832905980995E-4</v>
      </c>
    </row>
    <row r="1217" spans="1:29">
      <c r="A1217" s="13" t="s">
        <v>405</v>
      </c>
      <c r="B1217" s="13" t="s">
        <v>404</v>
      </c>
      <c r="C1217" s="138">
        <v>46317</v>
      </c>
      <c r="D1217" s="138" t="s">
        <v>424</v>
      </c>
      <c r="E1217" s="28">
        <v>0.95449804999999999</v>
      </c>
      <c r="F1217" s="13"/>
      <c r="G1217" s="18">
        <v>6500000</v>
      </c>
      <c r="H1217" s="18">
        <v>6204237.3300000001</v>
      </c>
      <c r="I1217" s="18">
        <v>6500000</v>
      </c>
      <c r="J1217" s="18">
        <v>6204237.3300000001</v>
      </c>
      <c r="K1217" s="15">
        <v>744</v>
      </c>
      <c r="L1217" s="13" t="s">
        <v>102</v>
      </c>
      <c r="M1217" s="13" t="s">
        <v>103</v>
      </c>
      <c r="N1217" s="138" t="s">
        <v>425</v>
      </c>
      <c r="O1217" s="138" t="s">
        <v>425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1320</v>
      </c>
      <c r="V1217" s="13" t="s">
        <v>1320</v>
      </c>
      <c r="W1217" s="59">
        <f>+J1217/$W$2</f>
        <v>1.0153900688810764E-4</v>
      </c>
    </row>
    <row r="1218" spans="1:29">
      <c r="A1218" s="13" t="s">
        <v>405</v>
      </c>
      <c r="B1218" s="13" t="s">
        <v>404</v>
      </c>
      <c r="C1218" s="138">
        <v>46317</v>
      </c>
      <c r="D1218" s="138" t="s">
        <v>424</v>
      </c>
      <c r="E1218" s="28">
        <v>0.95449799999999996</v>
      </c>
      <c r="F1218" s="13"/>
      <c r="G1218" s="18">
        <v>5000000</v>
      </c>
      <c r="H1218" s="18">
        <v>4772490.0199999996</v>
      </c>
      <c r="I1218" s="18">
        <v>5000000</v>
      </c>
      <c r="J1218" s="18">
        <v>4772490.0199999996</v>
      </c>
      <c r="K1218" s="15">
        <v>793</v>
      </c>
      <c r="L1218" s="13" t="s">
        <v>102</v>
      </c>
      <c r="M1218" s="13" t="s">
        <v>103</v>
      </c>
      <c r="N1218" s="138" t="s">
        <v>421</v>
      </c>
      <c r="O1218" s="138" t="s">
        <v>421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1407</v>
      </c>
      <c r="V1218" s="13" t="s">
        <v>1407</v>
      </c>
      <c r="W1218" s="59">
        <f>+J1218/$W$2</f>
        <v>7.8106924548323968E-5</v>
      </c>
    </row>
    <row r="1219" spans="1:29">
      <c r="A1219" s="13" t="s">
        <v>405</v>
      </c>
      <c r="B1219" s="13" t="s">
        <v>404</v>
      </c>
      <c r="C1219" s="138">
        <v>46317</v>
      </c>
      <c r="D1219" s="138" t="s">
        <v>424</v>
      </c>
      <c r="E1219" s="28">
        <v>0.95161125000000002</v>
      </c>
      <c r="F1219" s="13"/>
      <c r="G1219" s="18">
        <v>3000000</v>
      </c>
      <c r="H1219" s="18">
        <v>2854833.76</v>
      </c>
      <c r="I1219" s="18">
        <v>3000000</v>
      </c>
      <c r="J1219" s="18">
        <v>2854833.76</v>
      </c>
      <c r="K1219" s="15">
        <v>1041</v>
      </c>
      <c r="L1219" s="13" t="s">
        <v>102</v>
      </c>
      <c r="M1219" s="13" t="s">
        <v>103</v>
      </c>
      <c r="N1219" s="138" t="s">
        <v>424</v>
      </c>
      <c r="O1219" s="138" t="s">
        <v>424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2614</v>
      </c>
      <c r="V1219" s="13" t="s">
        <v>2614</v>
      </c>
      <c r="W1219" s="59">
        <f>+J1219/$W$2</f>
        <v>4.6722420404417737E-5</v>
      </c>
    </row>
    <row r="1220" spans="1:29">
      <c r="A1220" s="13" t="s">
        <v>375</v>
      </c>
      <c r="B1220" s="13" t="s">
        <v>404</v>
      </c>
      <c r="C1220" s="138">
        <v>46317</v>
      </c>
      <c r="D1220" s="138" t="s">
        <v>424</v>
      </c>
      <c r="E1220" s="28">
        <v>0.94874210000000003</v>
      </c>
      <c r="F1220" s="13"/>
      <c r="G1220" s="18">
        <v>990902.64</v>
      </c>
      <c r="H1220" s="18">
        <v>940111.05</v>
      </c>
      <c r="I1220" s="18">
        <v>990902.64</v>
      </c>
      <c r="J1220" s="18">
        <v>940111.05</v>
      </c>
      <c r="K1220" s="15">
        <v>2951</v>
      </c>
      <c r="L1220" s="13" t="s">
        <v>102</v>
      </c>
      <c r="M1220" s="13" t="s">
        <v>103</v>
      </c>
      <c r="N1220" s="138" t="s">
        <v>343</v>
      </c>
      <c r="O1220" s="138" t="s">
        <v>343</v>
      </c>
      <c r="P1220" s="28">
        <v>34</v>
      </c>
      <c r="Q1220" s="13" t="s">
        <v>54</v>
      </c>
      <c r="R1220" s="13" t="s">
        <v>28</v>
      </c>
      <c r="S1220" s="13"/>
      <c r="T1220" s="13"/>
      <c r="U1220" s="13" t="s">
        <v>1434</v>
      </c>
      <c r="V1220" s="13" t="s">
        <v>1434</v>
      </c>
      <c r="W1220" s="59">
        <f>+J1220/$W$2</f>
        <v>1.5385926956720094E-5</v>
      </c>
    </row>
    <row r="1221" spans="1:29">
      <c r="A1221" s="13" t="s">
        <v>375</v>
      </c>
      <c r="B1221" s="13" t="s">
        <v>404</v>
      </c>
      <c r="C1221" s="138">
        <v>46317</v>
      </c>
      <c r="D1221" s="138" t="s">
        <v>424</v>
      </c>
      <c r="E1221" s="28">
        <v>0.94874208000000004</v>
      </c>
      <c r="F1221" s="13"/>
      <c r="G1221" s="18">
        <v>1020845.65</v>
      </c>
      <c r="H1221" s="18">
        <v>968519.22</v>
      </c>
      <c r="I1221" s="18">
        <v>1020845.65</v>
      </c>
      <c r="J1221" s="18">
        <v>968519.22</v>
      </c>
      <c r="K1221" s="15">
        <v>2901</v>
      </c>
      <c r="L1221" s="13" t="s">
        <v>102</v>
      </c>
      <c r="M1221" s="13" t="s">
        <v>103</v>
      </c>
      <c r="N1221" s="138" t="s">
        <v>343</v>
      </c>
      <c r="O1221" s="138" t="s">
        <v>343</v>
      </c>
      <c r="P1221" s="28">
        <v>34</v>
      </c>
      <c r="Q1221" s="13" t="s">
        <v>54</v>
      </c>
      <c r="R1221" s="13" t="s">
        <v>28</v>
      </c>
      <c r="S1221" s="13"/>
      <c r="T1221" s="13"/>
      <c r="U1221" s="13" t="s">
        <v>1435</v>
      </c>
      <c r="V1221" s="13" t="s">
        <v>1435</v>
      </c>
      <c r="W1221" s="59">
        <f>+J1221/$W$2</f>
        <v>1.585085716745859E-5</v>
      </c>
    </row>
    <row r="1222" spans="1:29">
      <c r="A1222" s="13" t="s">
        <v>405</v>
      </c>
      <c r="B1222" s="13" t="s">
        <v>404</v>
      </c>
      <c r="C1222" s="138">
        <v>46317</v>
      </c>
      <c r="D1222" s="138" t="s">
        <v>424</v>
      </c>
      <c r="E1222" s="28">
        <v>0.95449801999999995</v>
      </c>
      <c r="F1222" s="13"/>
      <c r="G1222" s="18">
        <v>10000000</v>
      </c>
      <c r="H1222" s="18">
        <v>9544980.1500000004</v>
      </c>
      <c r="I1222" s="18">
        <v>10000000</v>
      </c>
      <c r="J1222" s="18">
        <v>9544980.1500000004</v>
      </c>
      <c r="K1222" s="15">
        <v>727</v>
      </c>
      <c r="L1222" s="13" t="s">
        <v>102</v>
      </c>
      <c r="M1222" s="13" t="s">
        <v>103</v>
      </c>
      <c r="N1222" s="138" t="s">
        <v>163</v>
      </c>
      <c r="O1222" s="138" t="s">
        <v>163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1141</v>
      </c>
      <c r="V1222" s="13" t="s">
        <v>1141</v>
      </c>
      <c r="W1222" s="59">
        <f>+J1222/$W$2</f>
        <v>1.562138508969161E-4</v>
      </c>
      <c r="AC1222" s="56"/>
    </row>
    <row r="1223" spans="1:29">
      <c r="A1223" s="13" t="s">
        <v>2213</v>
      </c>
      <c r="B1223" s="13" t="s">
        <v>404</v>
      </c>
      <c r="C1223" s="138">
        <v>46317</v>
      </c>
      <c r="D1223" s="138" t="s">
        <v>424</v>
      </c>
      <c r="E1223" s="28">
        <v>0.95161125000000002</v>
      </c>
      <c r="F1223" s="13"/>
      <c r="G1223" s="18">
        <v>7485785.1900000004</v>
      </c>
      <c r="H1223" s="18">
        <v>7123557.4199999999</v>
      </c>
      <c r="I1223" s="18">
        <v>7485785.1900000004</v>
      </c>
      <c r="J1223" s="18">
        <v>7123557.4199999999</v>
      </c>
      <c r="K1223" s="15">
        <v>72607219</v>
      </c>
      <c r="L1223" s="13" t="s">
        <v>102</v>
      </c>
      <c r="M1223" s="13" t="s">
        <v>103</v>
      </c>
      <c r="N1223" s="138" t="s">
        <v>424</v>
      </c>
      <c r="O1223" s="138" t="s">
        <v>424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2665</v>
      </c>
      <c r="V1223" s="13" t="s">
        <v>2665</v>
      </c>
      <c r="W1223" s="59">
        <f>+J1223/$W$2</f>
        <v>1.1658466745617068E-4</v>
      </c>
    </row>
    <row r="1224" spans="1:29">
      <c r="A1224" s="13" t="s">
        <v>2582</v>
      </c>
      <c r="B1224" s="13" t="s">
        <v>404</v>
      </c>
      <c r="C1224" s="138">
        <v>46317</v>
      </c>
      <c r="D1224" s="138" t="s">
        <v>424</v>
      </c>
      <c r="E1224" s="28">
        <v>0.94589018000000002</v>
      </c>
      <c r="F1224" s="13"/>
      <c r="G1224" s="18">
        <v>3250000</v>
      </c>
      <c r="H1224" s="18">
        <v>3074143.08</v>
      </c>
      <c r="I1224" s="18">
        <v>3250000</v>
      </c>
      <c r="J1224" s="18">
        <v>3074143.08</v>
      </c>
      <c r="K1224" s="15">
        <v>65</v>
      </c>
      <c r="L1224" s="13" t="s">
        <v>102</v>
      </c>
      <c r="M1224" s="13" t="s">
        <v>103</v>
      </c>
      <c r="N1224" s="138" t="s">
        <v>464</v>
      </c>
      <c r="O1224" s="138" t="s">
        <v>464</v>
      </c>
      <c r="P1224" s="28">
        <v>36</v>
      </c>
      <c r="Q1224" s="13" t="s">
        <v>54</v>
      </c>
      <c r="R1224" s="13" t="s">
        <v>28</v>
      </c>
      <c r="S1224" s="13"/>
      <c r="T1224" s="13"/>
      <c r="U1224" s="13" t="s">
        <v>2572</v>
      </c>
      <c r="V1224" s="13" t="s">
        <v>2572</v>
      </c>
      <c r="W1224" s="59">
        <f>+J1224/$W$2</f>
        <v>5.0311652951410944E-5</v>
      </c>
    </row>
    <row r="1225" spans="1:29">
      <c r="A1225" s="13" t="s">
        <v>413</v>
      </c>
      <c r="B1225" s="13" t="s">
        <v>404</v>
      </c>
      <c r="C1225" s="138">
        <v>46317</v>
      </c>
      <c r="D1225" s="138" t="s">
        <v>424</v>
      </c>
      <c r="E1225" s="28">
        <v>0.95161132000000004</v>
      </c>
      <c r="F1225" s="13"/>
      <c r="G1225" s="18">
        <v>10655603.279999999</v>
      </c>
      <c r="H1225" s="18">
        <v>10139992.720000001</v>
      </c>
      <c r="I1225" s="18">
        <v>10655603.279999999</v>
      </c>
      <c r="J1225" s="18">
        <v>10139992.720000001</v>
      </c>
      <c r="K1225" s="15">
        <v>30827</v>
      </c>
      <c r="L1225" s="13" t="s">
        <v>102</v>
      </c>
      <c r="M1225" s="13" t="s">
        <v>103</v>
      </c>
      <c r="N1225" s="138" t="s">
        <v>421</v>
      </c>
      <c r="O1225" s="138" t="s">
        <v>421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1363</v>
      </c>
      <c r="V1225" s="13" t="s">
        <v>1363</v>
      </c>
      <c r="W1225" s="59">
        <f>+J1225/$W$2</f>
        <v>1.65951870613151E-4</v>
      </c>
    </row>
    <row r="1226" spans="1:29">
      <c r="A1226" s="13" t="s">
        <v>523</v>
      </c>
      <c r="B1226" s="13" t="s">
        <v>404</v>
      </c>
      <c r="C1226" s="138">
        <v>46317</v>
      </c>
      <c r="D1226" s="138" t="s">
        <v>424</v>
      </c>
      <c r="E1226" s="28">
        <v>0.95740216</v>
      </c>
      <c r="F1226" s="13"/>
      <c r="G1226" s="18">
        <v>20000000</v>
      </c>
      <c r="H1226" s="18">
        <v>19148043.23</v>
      </c>
      <c r="I1226" s="18">
        <v>20000000</v>
      </c>
      <c r="J1226" s="18">
        <v>19148043.23</v>
      </c>
      <c r="K1226" s="15">
        <v>11092146</v>
      </c>
      <c r="L1226" s="13" t="s">
        <v>102</v>
      </c>
      <c r="M1226" s="13" t="s">
        <v>103</v>
      </c>
      <c r="N1226" s="138" t="s">
        <v>282</v>
      </c>
      <c r="O1226" s="138" t="s">
        <v>282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818</v>
      </c>
      <c r="V1226" s="13" t="s">
        <v>818</v>
      </c>
      <c r="W1226" s="59">
        <f>+J1226/$W$2</f>
        <v>3.1337829132090165E-4</v>
      </c>
    </row>
    <row r="1227" spans="1:29">
      <c r="A1227" s="13" t="s">
        <v>1905</v>
      </c>
      <c r="B1227" s="13" t="s">
        <v>404</v>
      </c>
      <c r="C1227" s="138">
        <v>46317</v>
      </c>
      <c r="D1227" s="138" t="s">
        <v>424</v>
      </c>
      <c r="E1227" s="28">
        <v>0.94731392000000003</v>
      </c>
      <c r="F1227" s="13"/>
      <c r="G1227" s="18">
        <v>1066766.07</v>
      </c>
      <c r="H1227" s="18">
        <v>1010562.35</v>
      </c>
      <c r="I1227" s="18">
        <v>1066766.07</v>
      </c>
      <c r="J1227" s="18">
        <v>1010562.35</v>
      </c>
      <c r="K1227" s="15">
        <v>30095688</v>
      </c>
      <c r="L1227" s="13" t="s">
        <v>102</v>
      </c>
      <c r="M1227" s="13" t="s">
        <v>103</v>
      </c>
      <c r="N1227" s="138" t="s">
        <v>170</v>
      </c>
      <c r="O1227" s="138" t="s">
        <v>170</v>
      </c>
      <c r="P1227" s="28">
        <v>35</v>
      </c>
      <c r="Q1227" s="13" t="s">
        <v>54</v>
      </c>
      <c r="R1227" s="13" t="s">
        <v>28</v>
      </c>
      <c r="S1227" s="13"/>
      <c r="T1227" s="13"/>
      <c r="U1227" s="13" t="s">
        <v>2452</v>
      </c>
      <c r="V1227" s="13" t="s">
        <v>2452</v>
      </c>
      <c r="W1227" s="59">
        <f>+J1227/$W$2</f>
        <v>1.6538938141734859E-5</v>
      </c>
    </row>
    <row r="1228" spans="1:29">
      <c r="A1228" s="13" t="s">
        <v>1349</v>
      </c>
      <c r="B1228" s="13" t="s">
        <v>404</v>
      </c>
      <c r="C1228" s="138">
        <v>46318</v>
      </c>
      <c r="D1228" s="138" t="s">
        <v>424</v>
      </c>
      <c r="E1228" s="28">
        <v>0.95374970000000003</v>
      </c>
      <c r="F1228" s="13"/>
      <c r="G1228" s="18">
        <v>1556161.8</v>
      </c>
      <c r="H1228" s="18">
        <v>1484188.85</v>
      </c>
      <c r="I1228" s="18">
        <v>1556161.8</v>
      </c>
      <c r="J1228" s="18">
        <v>1484188.85</v>
      </c>
      <c r="K1228" s="15">
        <v>9802</v>
      </c>
      <c r="L1228" s="13" t="s">
        <v>102</v>
      </c>
      <c r="M1228" s="13" t="s">
        <v>103</v>
      </c>
      <c r="N1228" s="138" t="s">
        <v>173</v>
      </c>
      <c r="O1228" s="138" t="s">
        <v>173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2005</v>
      </c>
      <c r="V1228" s="13" t="s">
        <v>2005</v>
      </c>
      <c r="W1228" s="59">
        <f>+J1228/$W$2</f>
        <v>2.4290344460985112E-5</v>
      </c>
    </row>
    <row r="1229" spans="1:29">
      <c r="A1229" s="13" t="s">
        <v>763</v>
      </c>
      <c r="B1229" s="13" t="s">
        <v>404</v>
      </c>
      <c r="C1229" s="138">
        <v>46318</v>
      </c>
      <c r="D1229" s="138" t="s">
        <v>424</v>
      </c>
      <c r="E1229" s="28">
        <v>0.94790432999999996</v>
      </c>
      <c r="F1229" s="13"/>
      <c r="G1229" s="18">
        <v>5000300.25</v>
      </c>
      <c r="H1229" s="18">
        <v>4739806.28</v>
      </c>
      <c r="I1229" s="18">
        <v>5000300.25</v>
      </c>
      <c r="J1229" s="18">
        <v>4739806.28</v>
      </c>
      <c r="K1229" s="15">
        <v>372</v>
      </c>
      <c r="L1229" s="13" t="s">
        <v>102</v>
      </c>
      <c r="M1229" s="13" t="s">
        <v>103</v>
      </c>
      <c r="N1229" s="138" t="s">
        <v>343</v>
      </c>
      <c r="O1229" s="138" t="s">
        <v>343</v>
      </c>
      <c r="P1229" s="28">
        <v>34</v>
      </c>
      <c r="Q1229" s="13" t="s">
        <v>54</v>
      </c>
      <c r="R1229" s="13" t="s">
        <v>28</v>
      </c>
      <c r="S1229" s="13"/>
      <c r="T1229" s="13"/>
      <c r="U1229" s="13" t="s">
        <v>1476</v>
      </c>
      <c r="V1229" s="13" t="s">
        <v>1476</v>
      </c>
      <c r="W1229" s="59">
        <f>+J1229/$W$2</f>
        <v>7.7572020042827067E-5</v>
      </c>
    </row>
    <row r="1230" spans="1:29">
      <c r="A1230" s="13" t="s">
        <v>772</v>
      </c>
      <c r="B1230" s="13" t="s">
        <v>404</v>
      </c>
      <c r="C1230" s="138">
        <v>46318</v>
      </c>
      <c r="D1230" s="138" t="s">
        <v>424</v>
      </c>
      <c r="E1230" s="28">
        <v>0.94935886000000003</v>
      </c>
      <c r="F1230" s="13"/>
      <c r="G1230" s="18">
        <v>1000000</v>
      </c>
      <c r="H1230" s="18">
        <v>949358.86</v>
      </c>
      <c r="I1230" s="18">
        <v>1000000</v>
      </c>
      <c r="J1230" s="18">
        <v>949358.86</v>
      </c>
      <c r="K1230" s="15">
        <v>520</v>
      </c>
      <c r="L1230" s="13" t="s">
        <v>102</v>
      </c>
      <c r="M1230" s="13" t="s">
        <v>103</v>
      </c>
      <c r="N1230" s="138" t="s">
        <v>422</v>
      </c>
      <c r="O1230" s="138" t="s">
        <v>422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2238</v>
      </c>
      <c r="V1230" s="13" t="s">
        <v>2238</v>
      </c>
      <c r="W1230" s="59">
        <f>+J1230/$W$2</f>
        <v>1.5537277298969157E-5</v>
      </c>
    </row>
    <row r="1231" spans="1:29">
      <c r="A1231" s="13" t="s">
        <v>517</v>
      </c>
      <c r="B1231" s="13" t="s">
        <v>404</v>
      </c>
      <c r="C1231" s="138">
        <v>46318</v>
      </c>
      <c r="D1231" s="138" t="s">
        <v>424</v>
      </c>
      <c r="E1231" s="28">
        <v>0.94790439000000004</v>
      </c>
      <c r="F1231" s="13"/>
      <c r="G1231" s="18">
        <v>10000000</v>
      </c>
      <c r="H1231" s="18">
        <v>9479043.9100000001</v>
      </c>
      <c r="I1231" s="18">
        <v>10000000</v>
      </c>
      <c r="J1231" s="18">
        <v>9479043.9100000001</v>
      </c>
      <c r="K1231" s="15">
        <v>14284510</v>
      </c>
      <c r="L1231" s="13" t="s">
        <v>102</v>
      </c>
      <c r="M1231" s="13" t="s">
        <v>103</v>
      </c>
      <c r="N1231" s="138" t="s">
        <v>464</v>
      </c>
      <c r="O1231" s="138" t="s">
        <v>464</v>
      </c>
      <c r="P1231" s="28">
        <v>34</v>
      </c>
      <c r="Q1231" s="13" t="s">
        <v>54</v>
      </c>
      <c r="R1231" s="13" t="s">
        <v>28</v>
      </c>
      <c r="S1231" s="13"/>
      <c r="T1231" s="13"/>
      <c r="U1231" s="13" t="s">
        <v>2547</v>
      </c>
      <c r="V1231" s="13" t="s">
        <v>2547</v>
      </c>
      <c r="W1231" s="59">
        <f>+J1231/$W$2</f>
        <v>1.5513473351770778E-4</v>
      </c>
    </row>
    <row r="1232" spans="1:29">
      <c r="A1232" s="13" t="s">
        <v>466</v>
      </c>
      <c r="B1232" s="13" t="s">
        <v>404</v>
      </c>
      <c r="C1232" s="138">
        <v>46318</v>
      </c>
      <c r="D1232" s="138" t="s">
        <v>424</v>
      </c>
      <c r="E1232" s="28">
        <v>0.95669956</v>
      </c>
      <c r="F1232" s="13"/>
      <c r="G1232" s="18">
        <v>2500000</v>
      </c>
      <c r="H1232" s="18">
        <v>2391748.91</v>
      </c>
      <c r="I1232" s="18">
        <v>2500000</v>
      </c>
      <c r="J1232" s="18">
        <v>2391748.91</v>
      </c>
      <c r="K1232" s="15">
        <v>90031819</v>
      </c>
      <c r="L1232" s="13" t="s">
        <v>102</v>
      </c>
      <c r="M1232" s="13" t="s">
        <v>103</v>
      </c>
      <c r="N1232" s="138" t="s">
        <v>289</v>
      </c>
      <c r="O1232" s="138" t="s">
        <v>289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586</v>
      </c>
      <c r="V1232" s="13" t="s">
        <v>586</v>
      </c>
      <c r="W1232" s="59">
        <f>+J1232/$W$2</f>
        <v>3.9143539508523923E-5</v>
      </c>
    </row>
    <row r="1233" spans="1:29">
      <c r="A1233" s="13" t="s">
        <v>285</v>
      </c>
      <c r="B1233" s="13" t="s">
        <v>404</v>
      </c>
      <c r="C1233" s="138">
        <v>46318</v>
      </c>
      <c r="D1233" s="138" t="s">
        <v>424</v>
      </c>
      <c r="E1233" s="28">
        <v>0.95818135000000004</v>
      </c>
      <c r="F1233" s="13"/>
      <c r="G1233" s="18">
        <v>24500000</v>
      </c>
      <c r="H1233" s="18">
        <v>23475443.059999999</v>
      </c>
      <c r="I1233" s="18">
        <v>24500000</v>
      </c>
      <c r="J1233" s="18">
        <v>23475443.059999999</v>
      </c>
      <c r="K1233" s="15">
        <v>34221</v>
      </c>
      <c r="L1233" s="13" t="s">
        <v>102</v>
      </c>
      <c r="M1233" s="13" t="s">
        <v>103</v>
      </c>
      <c r="N1233" s="138" t="s">
        <v>420</v>
      </c>
      <c r="O1233" s="138" t="s">
        <v>420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1286</v>
      </c>
      <c r="V1233" s="13" t="s">
        <v>1286</v>
      </c>
      <c r="W1233" s="59">
        <f>+J1233/$W$2</f>
        <v>3.842008369094286E-4</v>
      </c>
    </row>
    <row r="1234" spans="1:29">
      <c r="A1234" s="13" t="s">
        <v>375</v>
      </c>
      <c r="B1234" s="13" t="s">
        <v>404</v>
      </c>
      <c r="C1234" s="138">
        <v>46318</v>
      </c>
      <c r="D1234" s="138" t="s">
        <v>424</v>
      </c>
      <c r="E1234" s="28">
        <v>0.94935901</v>
      </c>
      <c r="F1234" s="13"/>
      <c r="G1234" s="18">
        <v>2502550.36</v>
      </c>
      <c r="H1234" s="18">
        <v>2375818.73</v>
      </c>
      <c r="I1234" s="18">
        <v>2502550.36</v>
      </c>
      <c r="J1234" s="18">
        <v>2375818.73</v>
      </c>
      <c r="K1234" s="15">
        <v>3138</v>
      </c>
      <c r="L1234" s="13" t="s">
        <v>102</v>
      </c>
      <c r="M1234" s="13" t="s">
        <v>103</v>
      </c>
      <c r="N1234" s="138" t="s">
        <v>481</v>
      </c>
      <c r="O1234" s="138" t="s">
        <v>481</v>
      </c>
      <c r="P1234" s="28">
        <v>33</v>
      </c>
      <c r="Q1234" s="13" t="s">
        <v>54</v>
      </c>
      <c r="R1234" s="13" t="s">
        <v>28</v>
      </c>
      <c r="S1234" s="13"/>
      <c r="T1234" s="13"/>
      <c r="U1234" s="13" t="s">
        <v>1769</v>
      </c>
      <c r="V1234" s="13" t="s">
        <v>1769</v>
      </c>
      <c r="W1234" s="59">
        <f>+J1234/$W$2</f>
        <v>3.8882825004756085E-5</v>
      </c>
    </row>
    <row r="1235" spans="1:29">
      <c r="A1235" s="13" t="s">
        <v>375</v>
      </c>
      <c r="B1235" s="13" t="s">
        <v>404</v>
      </c>
      <c r="C1235" s="138">
        <v>46318</v>
      </c>
      <c r="D1235" s="138" t="s">
        <v>424</v>
      </c>
      <c r="E1235" s="28">
        <v>0.94935901</v>
      </c>
      <c r="F1235" s="13"/>
      <c r="G1235" s="18">
        <v>2502550.36</v>
      </c>
      <c r="H1235" s="18">
        <v>2375818.73</v>
      </c>
      <c r="I1235" s="18">
        <v>2502550.36</v>
      </c>
      <c r="J1235" s="18">
        <v>2375818.73</v>
      </c>
      <c r="K1235" s="15">
        <v>3128</v>
      </c>
      <c r="L1235" s="13" t="s">
        <v>102</v>
      </c>
      <c r="M1235" s="13" t="s">
        <v>103</v>
      </c>
      <c r="N1235" s="138" t="s">
        <v>481</v>
      </c>
      <c r="O1235" s="138" t="s">
        <v>481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1770</v>
      </c>
      <c r="V1235" s="13" t="s">
        <v>1770</v>
      </c>
      <c r="W1235" s="59">
        <f>+J1235/$W$2</f>
        <v>3.8882825004756085E-5</v>
      </c>
    </row>
    <row r="1236" spans="1:29">
      <c r="A1236" s="13" t="s">
        <v>285</v>
      </c>
      <c r="B1236" s="13" t="s">
        <v>404</v>
      </c>
      <c r="C1236" s="138">
        <v>46318</v>
      </c>
      <c r="D1236" s="138" t="s">
        <v>424</v>
      </c>
      <c r="E1236" s="28">
        <v>0.95818141999999995</v>
      </c>
      <c r="F1236" s="13"/>
      <c r="G1236" s="18">
        <v>20000000</v>
      </c>
      <c r="H1236" s="18">
        <v>19163628.449999999</v>
      </c>
      <c r="I1236" s="18">
        <v>20000000</v>
      </c>
      <c r="J1236" s="18">
        <v>19163628.449999999</v>
      </c>
      <c r="K1236" s="15">
        <v>885</v>
      </c>
      <c r="L1236" s="13" t="s">
        <v>102</v>
      </c>
      <c r="M1236" s="13" t="s">
        <v>103</v>
      </c>
      <c r="N1236" s="138" t="s">
        <v>346</v>
      </c>
      <c r="O1236" s="138" t="s">
        <v>346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1539</v>
      </c>
      <c r="V1236" s="13" t="s">
        <v>1539</v>
      </c>
      <c r="W1236" s="59">
        <f>+J1236/$W$2</f>
        <v>3.1363336018380288E-4</v>
      </c>
    </row>
    <row r="1237" spans="1:29">
      <c r="A1237" s="13" t="s">
        <v>405</v>
      </c>
      <c r="B1237" s="13" t="s">
        <v>404</v>
      </c>
      <c r="C1237" s="138">
        <v>46318</v>
      </c>
      <c r="D1237" s="138" t="s">
        <v>424</v>
      </c>
      <c r="E1237" s="28">
        <v>0.95374972999999996</v>
      </c>
      <c r="F1237" s="13"/>
      <c r="G1237" s="18">
        <v>5000000</v>
      </c>
      <c r="H1237" s="18">
        <v>4768748.6500000004</v>
      </c>
      <c r="I1237" s="18">
        <v>5000000</v>
      </c>
      <c r="J1237" s="18">
        <v>4768748.6500000004</v>
      </c>
      <c r="K1237" s="15">
        <v>794</v>
      </c>
      <c r="L1237" s="13" t="s">
        <v>102</v>
      </c>
      <c r="M1237" s="13" t="s">
        <v>103</v>
      </c>
      <c r="N1237" s="138" t="s">
        <v>421</v>
      </c>
      <c r="O1237" s="138" t="s">
        <v>421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1412</v>
      </c>
      <c r="V1237" s="13" t="s">
        <v>1412</v>
      </c>
      <c r="W1237" s="59">
        <f>+J1237/$W$2</f>
        <v>7.8045693010264655E-5</v>
      </c>
      <c r="AC1237" s="56"/>
    </row>
    <row r="1238" spans="1:29">
      <c r="A1238" s="13" t="s">
        <v>405</v>
      </c>
      <c r="B1238" s="13" t="s">
        <v>404</v>
      </c>
      <c r="C1238" s="138">
        <v>46318</v>
      </c>
      <c r="D1238" s="138" t="s">
        <v>424</v>
      </c>
      <c r="E1238" s="28">
        <v>0.95374981000000003</v>
      </c>
      <c r="F1238" s="13"/>
      <c r="G1238" s="18">
        <v>2500000</v>
      </c>
      <c r="H1238" s="18">
        <v>2384374.52</v>
      </c>
      <c r="I1238" s="18">
        <v>2500000</v>
      </c>
      <c r="J1238" s="18">
        <v>2384374.52</v>
      </c>
      <c r="K1238" s="15">
        <v>895</v>
      </c>
      <c r="L1238" s="13" t="s">
        <v>102</v>
      </c>
      <c r="M1238" s="13" t="s">
        <v>103</v>
      </c>
      <c r="N1238" s="138" t="s">
        <v>484</v>
      </c>
      <c r="O1238" s="138" t="s">
        <v>484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2077</v>
      </c>
      <c r="V1238" s="13" t="s">
        <v>2077</v>
      </c>
      <c r="W1238" s="59">
        <f>+J1238/$W$2</f>
        <v>3.9022849696516747E-5</v>
      </c>
    </row>
    <row r="1239" spans="1:29">
      <c r="A1239" s="13" t="s">
        <v>405</v>
      </c>
      <c r="B1239" s="13" t="s">
        <v>404</v>
      </c>
      <c r="C1239" s="138">
        <v>46318</v>
      </c>
      <c r="D1239" s="138" t="s">
        <v>424</v>
      </c>
      <c r="E1239" s="28">
        <v>0.95374974999999995</v>
      </c>
      <c r="F1239" s="13"/>
      <c r="G1239" s="18">
        <v>4000000</v>
      </c>
      <c r="H1239" s="18">
        <v>3814998.99</v>
      </c>
      <c r="I1239" s="18">
        <v>4000000</v>
      </c>
      <c r="J1239" s="18">
        <v>3814998.99</v>
      </c>
      <c r="K1239" s="15">
        <v>861</v>
      </c>
      <c r="L1239" s="13" t="s">
        <v>102</v>
      </c>
      <c r="M1239" s="13" t="s">
        <v>103</v>
      </c>
      <c r="N1239" s="138" t="s">
        <v>416</v>
      </c>
      <c r="O1239" s="138" t="s">
        <v>416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2036</v>
      </c>
      <c r="V1239" s="13" t="s">
        <v>2036</v>
      </c>
      <c r="W1239" s="59">
        <f>+J1239/$W$2</f>
        <v>6.2436555553836899E-5</v>
      </c>
    </row>
    <row r="1240" spans="1:29">
      <c r="A1240" s="13" t="s">
        <v>405</v>
      </c>
      <c r="B1240" s="13" t="s">
        <v>404</v>
      </c>
      <c r="C1240" s="138">
        <v>46318</v>
      </c>
      <c r="D1240" s="138" t="s">
        <v>424</v>
      </c>
      <c r="E1240" s="28">
        <v>0.95081821</v>
      </c>
      <c r="F1240" s="13"/>
      <c r="G1240" s="18">
        <v>3000000</v>
      </c>
      <c r="H1240" s="18">
        <v>2852454.62</v>
      </c>
      <c r="I1240" s="18">
        <v>3000000</v>
      </c>
      <c r="J1240" s="18">
        <v>2852454.62</v>
      </c>
      <c r="K1240" s="15">
        <v>1042</v>
      </c>
      <c r="L1240" s="13" t="s">
        <v>102</v>
      </c>
      <c r="M1240" s="13" t="s">
        <v>103</v>
      </c>
      <c r="N1240" s="138" t="s">
        <v>424</v>
      </c>
      <c r="O1240" s="138" t="s">
        <v>424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2601</v>
      </c>
      <c r="V1240" s="13" t="s">
        <v>2601</v>
      </c>
      <c r="W1240" s="59">
        <f>+J1240/$W$2</f>
        <v>4.6683483223262585E-5</v>
      </c>
    </row>
    <row r="1241" spans="1:29">
      <c r="A1241" s="13" t="s">
        <v>375</v>
      </c>
      <c r="B1241" s="13" t="s">
        <v>404</v>
      </c>
      <c r="C1241" s="138">
        <v>46318</v>
      </c>
      <c r="D1241" s="138" t="s">
        <v>424</v>
      </c>
      <c r="E1241" s="28">
        <v>0.94790430000000003</v>
      </c>
      <c r="F1241" s="13"/>
      <c r="G1241" s="18">
        <v>1020845.65</v>
      </c>
      <c r="H1241" s="18">
        <v>967663.98</v>
      </c>
      <c r="I1241" s="18">
        <v>1020845.65</v>
      </c>
      <c r="J1241" s="18">
        <v>967663.98</v>
      </c>
      <c r="K1241" s="15">
        <v>2902</v>
      </c>
      <c r="L1241" s="13" t="s">
        <v>102</v>
      </c>
      <c r="M1241" s="13" t="s">
        <v>103</v>
      </c>
      <c r="N1241" s="138" t="s">
        <v>343</v>
      </c>
      <c r="O1241" s="138" t="s">
        <v>343</v>
      </c>
      <c r="P1241" s="28">
        <v>34</v>
      </c>
      <c r="Q1241" s="13" t="s">
        <v>54</v>
      </c>
      <c r="R1241" s="13" t="s">
        <v>28</v>
      </c>
      <c r="S1241" s="13"/>
      <c r="T1241" s="13"/>
      <c r="U1241" s="13" t="s">
        <v>1440</v>
      </c>
      <c r="V1241" s="13" t="s">
        <v>1440</v>
      </c>
      <c r="W1241" s="59">
        <f>+J1241/$W$2</f>
        <v>1.5836860246381591E-5</v>
      </c>
    </row>
    <row r="1242" spans="1:29">
      <c r="A1242" s="13" t="s">
        <v>375</v>
      </c>
      <c r="B1242" s="13" t="s">
        <v>404</v>
      </c>
      <c r="C1242" s="138">
        <v>46318</v>
      </c>
      <c r="D1242" s="138" t="s">
        <v>424</v>
      </c>
      <c r="E1242" s="28">
        <v>0.94790432000000002</v>
      </c>
      <c r="F1242" s="13"/>
      <c r="G1242" s="18">
        <v>990902.64</v>
      </c>
      <c r="H1242" s="18">
        <v>939280.89</v>
      </c>
      <c r="I1242" s="18">
        <v>990902.64</v>
      </c>
      <c r="J1242" s="18">
        <v>939280.89</v>
      </c>
      <c r="K1242" s="15">
        <v>2952</v>
      </c>
      <c r="L1242" s="13" t="s">
        <v>102</v>
      </c>
      <c r="M1242" s="13" t="s">
        <v>103</v>
      </c>
      <c r="N1242" s="138" t="s">
        <v>343</v>
      </c>
      <c r="O1242" s="138" t="s">
        <v>343</v>
      </c>
      <c r="P1242" s="28">
        <v>34</v>
      </c>
      <c r="Q1242" s="13" t="s">
        <v>54</v>
      </c>
      <c r="R1242" s="13" t="s">
        <v>28</v>
      </c>
      <c r="S1242" s="13"/>
      <c r="T1242" s="13"/>
      <c r="U1242" s="13" t="s">
        <v>1441</v>
      </c>
      <c r="V1242" s="13" t="s">
        <v>1441</v>
      </c>
      <c r="W1242" s="59">
        <f>+J1242/$W$2</f>
        <v>1.5372340496777527E-5</v>
      </c>
    </row>
    <row r="1243" spans="1:29">
      <c r="A1243" s="13" t="s">
        <v>144</v>
      </c>
      <c r="B1243" s="13" t="s">
        <v>404</v>
      </c>
      <c r="C1243" s="138">
        <v>46318</v>
      </c>
      <c r="D1243" s="138" t="s">
        <v>424</v>
      </c>
      <c r="E1243" s="28">
        <v>0.94790432000000002</v>
      </c>
      <c r="F1243" s="13"/>
      <c r="G1243" s="18">
        <v>10000000</v>
      </c>
      <c r="H1243" s="18">
        <v>9479043.2300000004</v>
      </c>
      <c r="I1243" s="18">
        <v>10000000</v>
      </c>
      <c r="J1243" s="18">
        <v>9479043.2300000004</v>
      </c>
      <c r="K1243" s="15">
        <v>4408</v>
      </c>
      <c r="L1243" s="13" t="s">
        <v>102</v>
      </c>
      <c r="M1243" s="13" t="s">
        <v>103</v>
      </c>
      <c r="N1243" s="138" t="s">
        <v>387</v>
      </c>
      <c r="O1243" s="138" t="s">
        <v>387</v>
      </c>
      <c r="P1243" s="28">
        <v>34</v>
      </c>
      <c r="Q1243" s="13" t="s">
        <v>54</v>
      </c>
      <c r="R1243" s="13" t="s">
        <v>28</v>
      </c>
      <c r="S1243" s="13"/>
      <c r="T1243" s="13"/>
      <c r="U1243" s="13" t="s">
        <v>1708</v>
      </c>
      <c r="V1243" s="13" t="s">
        <v>1708</v>
      </c>
      <c r="W1243" s="59">
        <f>+J1243/$W$2</f>
        <v>1.5513472238877751E-4</v>
      </c>
    </row>
    <row r="1244" spans="1:29">
      <c r="A1244" s="13" t="s">
        <v>2582</v>
      </c>
      <c r="B1244" s="13" t="s">
        <v>404</v>
      </c>
      <c r="C1244" s="138">
        <v>46318</v>
      </c>
      <c r="D1244" s="138" t="s">
        <v>424</v>
      </c>
      <c r="E1244" s="28">
        <v>0.94500846000000005</v>
      </c>
      <c r="F1244" s="13"/>
      <c r="G1244" s="18">
        <v>3250000</v>
      </c>
      <c r="H1244" s="18">
        <v>3071277.5</v>
      </c>
      <c r="I1244" s="18">
        <v>3250000</v>
      </c>
      <c r="J1244" s="18">
        <v>3071277.5</v>
      </c>
      <c r="K1244" s="15">
        <v>66</v>
      </c>
      <c r="L1244" s="13" t="s">
        <v>102</v>
      </c>
      <c r="M1244" s="13" t="s">
        <v>103</v>
      </c>
      <c r="N1244" s="138" t="s">
        <v>464</v>
      </c>
      <c r="O1244" s="138" t="s">
        <v>464</v>
      </c>
      <c r="P1244" s="28">
        <v>36</v>
      </c>
      <c r="Q1244" s="13" t="s">
        <v>54</v>
      </c>
      <c r="R1244" s="13" t="s">
        <v>28</v>
      </c>
      <c r="S1244" s="13"/>
      <c r="T1244" s="13"/>
      <c r="U1244" s="13" t="s">
        <v>2574</v>
      </c>
      <c r="V1244" s="13" t="s">
        <v>2574</v>
      </c>
      <c r="W1244" s="59">
        <f>+J1244/$W$2</f>
        <v>5.0264754657248101E-5</v>
      </c>
    </row>
    <row r="1245" spans="1:29">
      <c r="A1245" s="13" t="s">
        <v>413</v>
      </c>
      <c r="B1245" s="13" t="s">
        <v>404</v>
      </c>
      <c r="C1245" s="138">
        <v>46318</v>
      </c>
      <c r="D1245" s="138" t="s">
        <v>424</v>
      </c>
      <c r="E1245" s="28">
        <v>0.95081802000000004</v>
      </c>
      <c r="F1245" s="13"/>
      <c r="G1245" s="18">
        <v>10655603.279999999</v>
      </c>
      <c r="H1245" s="18">
        <v>10131539.609999999</v>
      </c>
      <c r="I1245" s="18">
        <v>10655603.279999999</v>
      </c>
      <c r="J1245" s="18">
        <v>10131539.609999999</v>
      </c>
      <c r="K1245" s="15">
        <v>30828</v>
      </c>
      <c r="L1245" s="13" t="s">
        <v>102</v>
      </c>
      <c r="M1245" s="13" t="s">
        <v>103</v>
      </c>
      <c r="N1245" s="138" t="s">
        <v>421</v>
      </c>
      <c r="O1245" s="138" t="s">
        <v>421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1364</v>
      </c>
      <c r="V1245" s="13" t="s">
        <v>1364</v>
      </c>
      <c r="W1245" s="59">
        <f>+J1245/$W$2</f>
        <v>1.6581352638986256E-4</v>
      </c>
    </row>
    <row r="1246" spans="1:29">
      <c r="A1246" s="13" t="s">
        <v>743</v>
      </c>
      <c r="B1246" s="13" t="s">
        <v>404</v>
      </c>
      <c r="C1246" s="138">
        <v>46318</v>
      </c>
      <c r="D1246" s="138" t="s">
        <v>424</v>
      </c>
      <c r="E1246" s="28">
        <v>0.95081815999999997</v>
      </c>
      <c r="F1246" s="13"/>
      <c r="G1246" s="18">
        <v>27125210.43</v>
      </c>
      <c r="H1246" s="18">
        <v>25791142.780000001</v>
      </c>
      <c r="I1246" s="18">
        <v>27125210.43</v>
      </c>
      <c r="J1246" s="18">
        <v>25791142.780000001</v>
      </c>
      <c r="K1246" s="15">
        <v>29768698</v>
      </c>
      <c r="L1246" s="13" t="s">
        <v>102</v>
      </c>
      <c r="M1246" s="13" t="s">
        <v>103</v>
      </c>
      <c r="N1246" s="138" t="s">
        <v>341</v>
      </c>
      <c r="O1246" s="138" t="s">
        <v>341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1947</v>
      </c>
      <c r="V1246" s="13" t="s">
        <v>1947</v>
      </c>
      <c r="W1246" s="59">
        <f>+J1246/$W$2</f>
        <v>4.2209974975128617E-4</v>
      </c>
    </row>
    <row r="1247" spans="1:29">
      <c r="A1247" s="13" t="s">
        <v>1810</v>
      </c>
      <c r="B1247" s="13" t="s">
        <v>404</v>
      </c>
      <c r="C1247" s="138">
        <v>46318</v>
      </c>
      <c r="D1247" s="138" t="s">
        <v>424</v>
      </c>
      <c r="E1247" s="28">
        <v>0.94935886999999997</v>
      </c>
      <c r="F1247" s="13"/>
      <c r="G1247" s="18">
        <v>24012581.18</v>
      </c>
      <c r="H1247" s="18">
        <v>22796556.949999999</v>
      </c>
      <c r="I1247" s="18">
        <v>24012581.18</v>
      </c>
      <c r="J1247" s="18">
        <v>22796556.949999999</v>
      </c>
      <c r="K1247" s="15">
        <v>10180813</v>
      </c>
      <c r="L1247" s="13" t="s">
        <v>102</v>
      </c>
      <c r="M1247" s="13" t="s">
        <v>103</v>
      </c>
      <c r="N1247" s="138" t="s">
        <v>384</v>
      </c>
      <c r="O1247" s="138" t="s">
        <v>384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1800</v>
      </c>
      <c r="V1247" s="13" t="s">
        <v>1800</v>
      </c>
      <c r="W1247" s="59">
        <f>+J1247/$W$2</f>
        <v>3.730901366358898E-4</v>
      </c>
    </row>
    <row r="1248" spans="1:29">
      <c r="A1248" s="13" t="s">
        <v>916</v>
      </c>
      <c r="B1248" s="13" t="s">
        <v>404</v>
      </c>
      <c r="C1248" s="138">
        <v>46321</v>
      </c>
      <c r="D1248" s="138" t="s">
        <v>424</v>
      </c>
      <c r="E1248" s="28">
        <v>0.95151209000000003</v>
      </c>
      <c r="F1248" s="13"/>
      <c r="G1248" s="18">
        <v>100000000</v>
      </c>
      <c r="H1248" s="18">
        <v>95151209.319999993</v>
      </c>
      <c r="I1248" s="18">
        <v>100000000</v>
      </c>
      <c r="J1248" s="18">
        <v>95151209.319999993</v>
      </c>
      <c r="K1248" s="15">
        <v>90004009</v>
      </c>
      <c r="L1248" s="13" t="s">
        <v>102</v>
      </c>
      <c r="M1248" s="13" t="s">
        <v>103</v>
      </c>
      <c r="N1248" s="138" t="s">
        <v>441</v>
      </c>
      <c r="O1248" s="138" t="s">
        <v>441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2287</v>
      </c>
      <c r="V1248" s="13" t="s">
        <v>2287</v>
      </c>
      <c r="W1248" s="59">
        <f>+J1248/$W$2</f>
        <v>1.5572517272731815E-3</v>
      </c>
    </row>
    <row r="1249" spans="1:29">
      <c r="A1249" s="13" t="s">
        <v>916</v>
      </c>
      <c r="B1249" s="13" t="s">
        <v>404</v>
      </c>
      <c r="C1249" s="138">
        <v>46321</v>
      </c>
      <c r="D1249" s="138" t="s">
        <v>424</v>
      </c>
      <c r="E1249" s="28">
        <v>0.95151209000000003</v>
      </c>
      <c r="F1249" s="13"/>
      <c r="G1249" s="18">
        <v>100000000</v>
      </c>
      <c r="H1249" s="18">
        <v>95151209.319999993</v>
      </c>
      <c r="I1249" s="18">
        <v>100000000</v>
      </c>
      <c r="J1249" s="18">
        <v>95151209.319999993</v>
      </c>
      <c r="K1249" s="15">
        <v>90004010</v>
      </c>
      <c r="L1249" s="13" t="s">
        <v>102</v>
      </c>
      <c r="M1249" s="13" t="s">
        <v>103</v>
      </c>
      <c r="N1249" s="138" t="s">
        <v>441</v>
      </c>
      <c r="O1249" s="138" t="s">
        <v>441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2288</v>
      </c>
      <c r="V1249" s="13" t="s">
        <v>2288</v>
      </c>
      <c r="W1249" s="59">
        <f>+J1249/$W$2</f>
        <v>1.5572517272731815E-3</v>
      </c>
    </row>
    <row r="1250" spans="1:29">
      <c r="A1250" s="13" t="s">
        <v>302</v>
      </c>
      <c r="B1250" s="13" t="s">
        <v>404</v>
      </c>
      <c r="C1250" s="138">
        <v>46321</v>
      </c>
      <c r="D1250" s="138" t="s">
        <v>424</v>
      </c>
      <c r="E1250" s="28">
        <v>0.94388426000000003</v>
      </c>
      <c r="F1250" s="13"/>
      <c r="G1250" s="18">
        <v>3072441.47</v>
      </c>
      <c r="H1250" s="18">
        <v>2900029.15</v>
      </c>
      <c r="I1250" s="18">
        <v>3072441.47</v>
      </c>
      <c r="J1250" s="18">
        <v>2900029.15</v>
      </c>
      <c r="K1250" s="15">
        <v>40773797</v>
      </c>
      <c r="L1250" s="13" t="s">
        <v>102</v>
      </c>
      <c r="M1250" s="13" t="s">
        <v>103</v>
      </c>
      <c r="N1250" s="138" t="s">
        <v>441</v>
      </c>
      <c r="O1250" s="138" t="s">
        <v>441</v>
      </c>
      <c r="P1250" s="28">
        <v>35</v>
      </c>
      <c r="Q1250" s="13" t="s">
        <v>54</v>
      </c>
      <c r="R1250" s="13" t="s">
        <v>28</v>
      </c>
      <c r="S1250" s="13"/>
      <c r="T1250" s="13"/>
      <c r="U1250" s="13" t="s">
        <v>2284</v>
      </c>
      <c r="V1250" s="13" t="s">
        <v>2284</v>
      </c>
      <c r="W1250" s="59">
        <f>+J1250/$W$2</f>
        <v>4.7462091498934156E-5</v>
      </c>
    </row>
    <row r="1251" spans="1:29">
      <c r="A1251" s="13" t="s">
        <v>626</v>
      </c>
      <c r="B1251" s="13" t="s">
        <v>404</v>
      </c>
      <c r="C1251" s="138">
        <v>46321</v>
      </c>
      <c r="D1251" s="138" t="s">
        <v>424</v>
      </c>
      <c r="E1251" s="28">
        <v>0.94692056000000002</v>
      </c>
      <c r="F1251" s="13"/>
      <c r="G1251" s="18">
        <v>6500236.5700000003</v>
      </c>
      <c r="H1251" s="18">
        <v>6155207.6699999999</v>
      </c>
      <c r="I1251" s="18">
        <v>6500236.5700000003</v>
      </c>
      <c r="J1251" s="18">
        <v>6155207.6699999999</v>
      </c>
      <c r="K1251" s="15">
        <v>90000581</v>
      </c>
      <c r="L1251" s="13" t="s">
        <v>102</v>
      </c>
      <c r="M1251" s="13" t="s">
        <v>103</v>
      </c>
      <c r="N1251" s="138" t="s">
        <v>164</v>
      </c>
      <c r="O1251" s="138" t="s">
        <v>164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882</v>
      </c>
      <c r="V1251" s="13" t="s">
        <v>882</v>
      </c>
      <c r="W1251" s="59">
        <f>+J1251/$W$2</f>
        <v>1.0073658384726282E-4</v>
      </c>
    </row>
    <row r="1252" spans="1:29">
      <c r="A1252" s="13" t="s">
        <v>744</v>
      </c>
      <c r="B1252" s="13" t="s">
        <v>404</v>
      </c>
      <c r="C1252" s="138">
        <v>46321</v>
      </c>
      <c r="D1252" s="138" t="s">
        <v>424</v>
      </c>
      <c r="E1252" s="28">
        <v>0.93786944000000005</v>
      </c>
      <c r="F1252" s="13"/>
      <c r="G1252" s="18">
        <v>3750000</v>
      </c>
      <c r="H1252" s="18">
        <v>3517010.41</v>
      </c>
      <c r="I1252" s="18">
        <v>3750000</v>
      </c>
      <c r="J1252" s="18">
        <v>3517010.41</v>
      </c>
      <c r="K1252" s="15">
        <v>66918134</v>
      </c>
      <c r="L1252" s="13" t="s">
        <v>102</v>
      </c>
      <c r="M1252" s="13" t="s">
        <v>103</v>
      </c>
      <c r="N1252" s="138" t="s">
        <v>322</v>
      </c>
      <c r="O1252" s="138" t="s">
        <v>322</v>
      </c>
      <c r="P1252" s="28">
        <v>39</v>
      </c>
      <c r="Q1252" s="13" t="s">
        <v>54</v>
      </c>
      <c r="R1252" s="13" t="s">
        <v>28</v>
      </c>
      <c r="S1252" s="13"/>
      <c r="T1252" s="13"/>
      <c r="U1252" s="13" t="s">
        <v>736</v>
      </c>
      <c r="V1252" s="13" t="s">
        <v>736</v>
      </c>
      <c r="W1252" s="59">
        <f>+J1252/$W$2</f>
        <v>5.7559652420088239E-5</v>
      </c>
      <c r="AC1252"/>
    </row>
    <row r="1253" spans="1:29">
      <c r="A1253" s="13" t="s">
        <v>763</v>
      </c>
      <c r="B1253" s="13" t="s">
        <v>404</v>
      </c>
      <c r="C1253" s="138">
        <v>46321</v>
      </c>
      <c r="D1253" s="138" t="s">
        <v>424</v>
      </c>
      <c r="E1253" s="28">
        <v>0.94540005999999999</v>
      </c>
      <c r="F1253" s="13"/>
      <c r="G1253" s="18">
        <v>5000300.25</v>
      </c>
      <c r="H1253" s="18">
        <v>4727284.16</v>
      </c>
      <c r="I1253" s="18">
        <v>5000300.25</v>
      </c>
      <c r="J1253" s="18">
        <v>4727284.16</v>
      </c>
      <c r="K1253" s="15">
        <v>373</v>
      </c>
      <c r="L1253" s="13" t="s">
        <v>102</v>
      </c>
      <c r="M1253" s="13" t="s">
        <v>103</v>
      </c>
      <c r="N1253" s="138" t="s">
        <v>343</v>
      </c>
      <c r="O1253" s="138" t="s">
        <v>343</v>
      </c>
      <c r="P1253" s="28">
        <v>34</v>
      </c>
      <c r="Q1253" s="13" t="s">
        <v>54</v>
      </c>
      <c r="R1253" s="13" t="s">
        <v>28</v>
      </c>
      <c r="S1253" s="13"/>
      <c r="T1253" s="13"/>
      <c r="U1253" s="13" t="s">
        <v>1477</v>
      </c>
      <c r="V1253" s="13" t="s">
        <v>1477</v>
      </c>
      <c r="W1253" s="59">
        <f>+J1253/$W$2</f>
        <v>7.7367082101013399E-5</v>
      </c>
    </row>
    <row r="1254" spans="1:29">
      <c r="A1254" s="13" t="s">
        <v>772</v>
      </c>
      <c r="B1254" s="13" t="s">
        <v>404</v>
      </c>
      <c r="C1254" s="138">
        <v>46321</v>
      </c>
      <c r="D1254" s="138" t="s">
        <v>424</v>
      </c>
      <c r="E1254" s="28">
        <v>0.94692061999999999</v>
      </c>
      <c r="F1254" s="13"/>
      <c r="G1254" s="18">
        <v>1000000</v>
      </c>
      <c r="H1254" s="18">
        <v>946920.62</v>
      </c>
      <c r="I1254" s="18">
        <v>1000000</v>
      </c>
      <c r="J1254" s="18">
        <v>946920.62</v>
      </c>
      <c r="K1254" s="15">
        <v>521</v>
      </c>
      <c r="L1254" s="13" t="s">
        <v>102</v>
      </c>
      <c r="M1254" s="13" t="s">
        <v>103</v>
      </c>
      <c r="N1254" s="138" t="s">
        <v>422</v>
      </c>
      <c r="O1254" s="138" t="s">
        <v>422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2239</v>
      </c>
      <c r="V1254" s="13" t="s">
        <v>2239</v>
      </c>
      <c r="W1254" s="59">
        <f>+J1254/$W$2</f>
        <v>1.5497372882844113E-5</v>
      </c>
    </row>
    <row r="1255" spans="1:29">
      <c r="A1255" s="13" t="s">
        <v>284</v>
      </c>
      <c r="B1255" s="13" t="s">
        <v>404</v>
      </c>
      <c r="C1255" s="138">
        <v>46321</v>
      </c>
      <c r="D1255" s="138" t="s">
        <v>424</v>
      </c>
      <c r="E1255" s="28">
        <v>0.95305245000000005</v>
      </c>
      <c r="F1255" s="13"/>
      <c r="G1255" s="18">
        <v>7511409.4699999997</v>
      </c>
      <c r="H1255" s="18">
        <v>7158767.1799999997</v>
      </c>
      <c r="I1255" s="18">
        <v>7511409.4699999997</v>
      </c>
      <c r="J1255" s="18">
        <v>7158767.1799999997</v>
      </c>
      <c r="K1255" s="15">
        <v>90000775</v>
      </c>
      <c r="L1255" s="13" t="s">
        <v>102</v>
      </c>
      <c r="M1255" s="13" t="s">
        <v>103</v>
      </c>
      <c r="N1255" s="138" t="s">
        <v>374</v>
      </c>
      <c r="O1255" s="138" t="s">
        <v>374</v>
      </c>
      <c r="P1255" s="28">
        <v>29</v>
      </c>
      <c r="Q1255" s="13" t="s">
        <v>54</v>
      </c>
      <c r="R1255" s="13" t="s">
        <v>28</v>
      </c>
      <c r="S1255" s="13"/>
      <c r="T1255" s="13"/>
      <c r="U1255" s="13" t="s">
        <v>1219</v>
      </c>
      <c r="V1255" s="13" t="s">
        <v>1219</v>
      </c>
      <c r="W1255" s="59">
        <f>+J1255/$W$2</f>
        <v>1.1716091299176315E-4</v>
      </c>
    </row>
    <row r="1256" spans="1:29">
      <c r="A1256" s="13" t="s">
        <v>742</v>
      </c>
      <c r="B1256" s="13" t="s">
        <v>404</v>
      </c>
      <c r="C1256" s="138">
        <v>46321</v>
      </c>
      <c r="D1256" s="138" t="s">
        <v>424</v>
      </c>
      <c r="E1256" s="28">
        <v>0.94844614999999999</v>
      </c>
      <c r="F1256" s="13"/>
      <c r="G1256" s="18">
        <v>100000000</v>
      </c>
      <c r="H1256" s="18">
        <v>94844615.480000004</v>
      </c>
      <c r="I1256" s="18">
        <v>100000000</v>
      </c>
      <c r="J1256" s="18">
        <v>94844615.480000004</v>
      </c>
      <c r="K1256" s="15">
        <v>161</v>
      </c>
      <c r="L1256" s="13" t="s">
        <v>102</v>
      </c>
      <c r="M1256" s="13" t="s">
        <v>103</v>
      </c>
      <c r="N1256" s="138" t="s">
        <v>384</v>
      </c>
      <c r="O1256" s="138" t="s">
        <v>384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1784</v>
      </c>
      <c r="V1256" s="13" t="s">
        <v>1784</v>
      </c>
      <c r="W1256" s="59">
        <f>+J1256/$W$2</f>
        <v>1.5522339898179944E-3</v>
      </c>
      <c r="AC1256" s="56"/>
    </row>
    <row r="1257" spans="1:29">
      <c r="A1257" s="13" t="s">
        <v>428</v>
      </c>
      <c r="B1257" s="13" t="s">
        <v>404</v>
      </c>
      <c r="C1257" s="138">
        <v>46321</v>
      </c>
      <c r="D1257" s="138" t="s">
        <v>424</v>
      </c>
      <c r="E1257" s="28">
        <v>0.94540004</v>
      </c>
      <c r="F1257" s="13"/>
      <c r="G1257" s="18">
        <v>25000000</v>
      </c>
      <c r="H1257" s="18">
        <v>23635001</v>
      </c>
      <c r="I1257" s="18">
        <v>25000000</v>
      </c>
      <c r="J1257" s="18">
        <v>23635001</v>
      </c>
      <c r="K1257" s="15">
        <v>563</v>
      </c>
      <c r="L1257" s="13" t="s">
        <v>102</v>
      </c>
      <c r="M1257" s="13" t="s">
        <v>103</v>
      </c>
      <c r="N1257" s="138" t="s">
        <v>416</v>
      </c>
      <c r="O1257" s="138" t="s">
        <v>416</v>
      </c>
      <c r="P1257" s="28">
        <v>34</v>
      </c>
      <c r="Q1257" s="13" t="s">
        <v>54</v>
      </c>
      <c r="R1257" s="13" t="s">
        <v>28</v>
      </c>
      <c r="S1257" s="13"/>
      <c r="T1257" s="13"/>
      <c r="U1257" s="13" t="s">
        <v>2037</v>
      </c>
      <c r="V1257" s="13" t="s">
        <v>2037</v>
      </c>
      <c r="W1257" s="59">
        <f>+J1257/$W$2</f>
        <v>3.8681217395328607E-4</v>
      </c>
    </row>
    <row r="1258" spans="1:29">
      <c r="A1258" s="13" t="s">
        <v>466</v>
      </c>
      <c r="B1258" s="13" t="s">
        <v>404</v>
      </c>
      <c r="C1258" s="138">
        <v>46321</v>
      </c>
      <c r="D1258" s="138" t="s">
        <v>424</v>
      </c>
      <c r="E1258" s="28">
        <v>0.95459784000000003</v>
      </c>
      <c r="F1258" s="13"/>
      <c r="G1258" s="18">
        <v>2500000</v>
      </c>
      <c r="H1258" s="18">
        <v>2386494.59</v>
      </c>
      <c r="I1258" s="18">
        <v>2500000</v>
      </c>
      <c r="J1258" s="18">
        <v>2386494.59</v>
      </c>
      <c r="K1258" s="15">
        <v>90031820</v>
      </c>
      <c r="L1258" s="13" t="s">
        <v>102</v>
      </c>
      <c r="M1258" s="13" t="s">
        <v>103</v>
      </c>
      <c r="N1258" s="138" t="s">
        <v>289</v>
      </c>
      <c r="O1258" s="138" t="s">
        <v>289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588</v>
      </c>
      <c r="V1258" s="13" t="s">
        <v>588</v>
      </c>
      <c r="W1258" s="59">
        <f>+J1258/$W$2</f>
        <v>3.9057546918896092E-5</v>
      </c>
    </row>
    <row r="1259" spans="1:29">
      <c r="A1259" s="13" t="s">
        <v>285</v>
      </c>
      <c r="B1259" s="13" t="s">
        <v>404</v>
      </c>
      <c r="C1259" s="138">
        <v>46321</v>
      </c>
      <c r="D1259" s="138" t="s">
        <v>424</v>
      </c>
      <c r="E1259" s="28">
        <v>0.95926414999999998</v>
      </c>
      <c r="F1259" s="13"/>
      <c r="G1259" s="18">
        <v>12500000</v>
      </c>
      <c r="H1259" s="18">
        <v>11990801.85</v>
      </c>
      <c r="I1259" s="18">
        <v>12500000</v>
      </c>
      <c r="J1259" s="18">
        <v>11990801.85</v>
      </c>
      <c r="K1259" s="15">
        <v>5296</v>
      </c>
      <c r="L1259" s="13" t="s">
        <v>102</v>
      </c>
      <c r="M1259" s="13" t="s">
        <v>103</v>
      </c>
      <c r="N1259" s="138" t="s">
        <v>383</v>
      </c>
      <c r="O1259" s="138" t="s">
        <v>383</v>
      </c>
      <c r="P1259" s="28">
        <v>25</v>
      </c>
      <c r="Q1259" s="13" t="s">
        <v>54</v>
      </c>
      <c r="R1259" s="13" t="s">
        <v>28</v>
      </c>
      <c r="S1259" s="13"/>
      <c r="T1259" s="13"/>
      <c r="U1259" s="13" t="s">
        <v>1624</v>
      </c>
      <c r="V1259" s="13" t="s">
        <v>1624</v>
      </c>
      <c r="W1259" s="59">
        <f>+J1259/$W$2</f>
        <v>1.9624234968475713E-4</v>
      </c>
    </row>
    <row r="1260" spans="1:29">
      <c r="A1260" s="13" t="s">
        <v>285</v>
      </c>
      <c r="B1260" s="13" t="s">
        <v>404</v>
      </c>
      <c r="C1260" s="138">
        <v>46321</v>
      </c>
      <c r="D1260" s="138" t="s">
        <v>424</v>
      </c>
      <c r="E1260" s="28">
        <v>0.95926414999999998</v>
      </c>
      <c r="F1260" s="13"/>
      <c r="G1260" s="18">
        <v>8650000</v>
      </c>
      <c r="H1260" s="18">
        <v>8297634.8799999999</v>
      </c>
      <c r="I1260" s="18">
        <v>8650000</v>
      </c>
      <c r="J1260" s="18">
        <v>8297634.8799999999</v>
      </c>
      <c r="K1260" s="15">
        <v>34390</v>
      </c>
      <c r="L1260" s="13" t="s">
        <v>102</v>
      </c>
      <c r="M1260" s="13" t="s">
        <v>103</v>
      </c>
      <c r="N1260" s="138" t="s">
        <v>383</v>
      </c>
      <c r="O1260" s="138" t="s">
        <v>383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1627</v>
      </c>
      <c r="V1260" s="13" t="s">
        <v>1627</v>
      </c>
      <c r="W1260" s="59">
        <f>+J1260/$W$2</f>
        <v>1.3579970597857872E-4</v>
      </c>
    </row>
    <row r="1261" spans="1:29">
      <c r="A1261" s="13" t="s">
        <v>375</v>
      </c>
      <c r="B1261" s="13" t="s">
        <v>404</v>
      </c>
      <c r="C1261" s="138">
        <v>46321</v>
      </c>
      <c r="D1261" s="138" t="s">
        <v>424</v>
      </c>
      <c r="E1261" s="28">
        <v>0.94692074000000004</v>
      </c>
      <c r="F1261" s="13"/>
      <c r="G1261" s="18">
        <v>2502550.36</v>
      </c>
      <c r="H1261" s="18">
        <v>2369716.84</v>
      </c>
      <c r="I1261" s="18">
        <v>2502550.36</v>
      </c>
      <c r="J1261" s="18">
        <v>2369716.84</v>
      </c>
      <c r="K1261" s="15">
        <v>3139</v>
      </c>
      <c r="L1261" s="13" t="s">
        <v>102</v>
      </c>
      <c r="M1261" s="13" t="s">
        <v>103</v>
      </c>
      <c r="N1261" s="138" t="s">
        <v>481</v>
      </c>
      <c r="O1261" s="138" t="s">
        <v>481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1771</v>
      </c>
      <c r="V1261" s="13" t="s">
        <v>1771</v>
      </c>
      <c r="W1261" s="59">
        <f>+J1261/$W$2</f>
        <v>3.8782961021838384E-5</v>
      </c>
    </row>
    <row r="1262" spans="1:29">
      <c r="A1262" s="13" t="s">
        <v>285</v>
      </c>
      <c r="B1262" s="13" t="s">
        <v>404</v>
      </c>
      <c r="C1262" s="138">
        <v>46321</v>
      </c>
      <c r="D1262" s="138" t="s">
        <v>424</v>
      </c>
      <c r="E1262" s="28">
        <v>0.95614816999999996</v>
      </c>
      <c r="F1262" s="13"/>
      <c r="G1262" s="18">
        <v>15000000</v>
      </c>
      <c r="H1262" s="18">
        <v>14342222.57</v>
      </c>
      <c r="I1262" s="18">
        <v>15000000</v>
      </c>
      <c r="J1262" s="18">
        <v>14342222.57</v>
      </c>
      <c r="K1262" s="15">
        <v>11349969</v>
      </c>
      <c r="L1262" s="13" t="s">
        <v>102</v>
      </c>
      <c r="M1262" s="13" t="s">
        <v>103</v>
      </c>
      <c r="N1262" s="138" t="s">
        <v>346</v>
      </c>
      <c r="O1262" s="138" t="s">
        <v>346</v>
      </c>
      <c r="P1262" s="28">
        <v>27</v>
      </c>
      <c r="Q1262" s="13" t="s">
        <v>54</v>
      </c>
      <c r="R1262" s="13" t="s">
        <v>28</v>
      </c>
      <c r="S1262" s="13"/>
      <c r="T1262" s="13"/>
      <c r="U1262" s="13" t="s">
        <v>1533</v>
      </c>
      <c r="V1262" s="13" t="s">
        <v>1533</v>
      </c>
      <c r="W1262" s="59">
        <f>+J1262/$W$2</f>
        <v>2.3472587505384855E-4</v>
      </c>
    </row>
    <row r="1263" spans="1:29">
      <c r="A1263" s="13" t="s">
        <v>405</v>
      </c>
      <c r="B1263" s="13" t="s">
        <v>404</v>
      </c>
      <c r="C1263" s="138">
        <v>46321</v>
      </c>
      <c r="D1263" s="138" t="s">
        <v>424</v>
      </c>
      <c r="E1263" s="28">
        <v>0.95151211999999996</v>
      </c>
      <c r="F1263" s="13"/>
      <c r="G1263" s="18">
        <v>6500000</v>
      </c>
      <c r="H1263" s="18">
        <v>6184828.8099999996</v>
      </c>
      <c r="I1263" s="18">
        <v>6500000</v>
      </c>
      <c r="J1263" s="18">
        <v>6184828.8099999996</v>
      </c>
      <c r="K1263" s="15">
        <v>745</v>
      </c>
      <c r="L1263" s="13" t="s">
        <v>102</v>
      </c>
      <c r="M1263" s="13" t="s">
        <v>103</v>
      </c>
      <c r="N1263" s="138" t="s">
        <v>425</v>
      </c>
      <c r="O1263" s="138" t="s">
        <v>425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1317</v>
      </c>
      <c r="V1263" s="13" t="s">
        <v>1317</v>
      </c>
      <c r="W1263" s="59">
        <f>+J1263/$W$2</f>
        <v>1.0122136561470909E-4</v>
      </c>
    </row>
    <row r="1264" spans="1:29">
      <c r="A1264" s="13" t="s">
        <v>405</v>
      </c>
      <c r="B1264" s="13" t="s">
        <v>404</v>
      </c>
      <c r="C1264" s="138">
        <v>46321</v>
      </c>
      <c r="D1264" s="138" t="s">
        <v>424</v>
      </c>
      <c r="E1264" s="28">
        <v>0.95151207000000004</v>
      </c>
      <c r="F1264" s="13"/>
      <c r="G1264" s="18">
        <v>5000000</v>
      </c>
      <c r="H1264" s="18">
        <v>4757560.37</v>
      </c>
      <c r="I1264" s="18">
        <v>5000000</v>
      </c>
      <c r="J1264" s="18">
        <v>4757560.37</v>
      </c>
      <c r="K1264" s="15">
        <v>795</v>
      </c>
      <c r="L1264" s="13" t="s">
        <v>102</v>
      </c>
      <c r="M1264" s="13" t="s">
        <v>103</v>
      </c>
      <c r="N1264" s="138" t="s">
        <v>421</v>
      </c>
      <c r="O1264" s="138" t="s">
        <v>421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1413</v>
      </c>
      <c r="V1264" s="13" t="s">
        <v>1413</v>
      </c>
      <c r="W1264" s="59">
        <f>+J1264/$W$2</f>
        <v>7.7862584792515974E-5</v>
      </c>
    </row>
    <row r="1265" spans="1:29">
      <c r="A1265" s="13" t="s">
        <v>405</v>
      </c>
      <c r="B1265" s="13" t="s">
        <v>404</v>
      </c>
      <c r="C1265" s="138">
        <v>46321</v>
      </c>
      <c r="D1265" s="138" t="s">
        <v>424</v>
      </c>
      <c r="E1265" s="28">
        <v>0.95151216000000005</v>
      </c>
      <c r="F1265" s="13"/>
      <c r="G1265" s="18">
        <v>2500000</v>
      </c>
      <c r="H1265" s="18">
        <v>2378780.4</v>
      </c>
      <c r="I1265" s="18">
        <v>2500000</v>
      </c>
      <c r="J1265" s="18">
        <v>2378780.4</v>
      </c>
      <c r="K1265" s="15">
        <v>884</v>
      </c>
      <c r="L1265" s="13" t="s">
        <v>102</v>
      </c>
      <c r="M1265" s="13" t="s">
        <v>103</v>
      </c>
      <c r="N1265" s="138" t="s">
        <v>484</v>
      </c>
      <c r="O1265" s="138" t="s">
        <v>484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2078</v>
      </c>
      <c r="V1265" s="13" t="s">
        <v>2078</v>
      </c>
      <c r="W1265" s="59">
        <f>+J1265/$W$2</f>
        <v>3.8931295914963882E-5</v>
      </c>
    </row>
    <row r="1266" spans="1:29">
      <c r="A1266" s="13" t="s">
        <v>405</v>
      </c>
      <c r="B1266" s="13" t="s">
        <v>404</v>
      </c>
      <c r="C1266" s="138">
        <v>46321</v>
      </c>
      <c r="D1266" s="138" t="s">
        <v>424</v>
      </c>
      <c r="E1266" s="28">
        <v>0.95151202999999995</v>
      </c>
      <c r="F1266" s="13"/>
      <c r="G1266" s="18">
        <v>3300000</v>
      </c>
      <c r="H1266" s="18">
        <v>3139989.69</v>
      </c>
      <c r="I1266" s="18">
        <v>3300000</v>
      </c>
      <c r="J1266" s="18">
        <v>3139989.69</v>
      </c>
      <c r="K1266" s="15">
        <v>927</v>
      </c>
      <c r="L1266" s="13" t="s">
        <v>102</v>
      </c>
      <c r="M1266" s="13" t="s">
        <v>103</v>
      </c>
      <c r="N1266" s="138" t="s">
        <v>422</v>
      </c>
      <c r="O1266" s="138" t="s">
        <v>422</v>
      </c>
      <c r="P1266" s="28">
        <v>30</v>
      </c>
      <c r="Q1266" s="13" t="s">
        <v>54</v>
      </c>
      <c r="R1266" s="13" t="s">
        <v>28</v>
      </c>
      <c r="S1266" s="13"/>
      <c r="T1266" s="13"/>
      <c r="U1266" s="13" t="s">
        <v>2254</v>
      </c>
      <c r="V1266" s="13" t="s">
        <v>2254</v>
      </c>
      <c r="W1266" s="59">
        <f>+J1266/$W$2</f>
        <v>5.1389303439411942E-5</v>
      </c>
      <c r="AC1266" s="56"/>
    </row>
    <row r="1267" spans="1:29">
      <c r="A1267" s="13" t="s">
        <v>405</v>
      </c>
      <c r="B1267" s="13" t="s">
        <v>404</v>
      </c>
      <c r="C1267" s="138">
        <v>46321</v>
      </c>
      <c r="D1267" s="138" t="s">
        <v>424</v>
      </c>
      <c r="E1267" s="28">
        <v>0.95151200999999996</v>
      </c>
      <c r="F1267" s="13"/>
      <c r="G1267" s="18">
        <v>2500000</v>
      </c>
      <c r="H1267" s="18">
        <v>2378780.0299999998</v>
      </c>
      <c r="I1267" s="18">
        <v>2500000</v>
      </c>
      <c r="J1267" s="18">
        <v>2378780.0299999998</v>
      </c>
      <c r="K1267" s="15">
        <v>908</v>
      </c>
      <c r="L1267" s="13" t="s">
        <v>102</v>
      </c>
      <c r="M1267" s="13" t="s">
        <v>103</v>
      </c>
      <c r="N1267" s="138" t="s">
        <v>371</v>
      </c>
      <c r="O1267" s="138" t="s">
        <v>371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2103</v>
      </c>
      <c r="V1267" s="13" t="s">
        <v>2103</v>
      </c>
      <c r="W1267" s="59">
        <f>+J1267/$W$2</f>
        <v>3.8931289859516527E-5</v>
      </c>
    </row>
    <row r="1268" spans="1:29">
      <c r="A1268" s="13" t="s">
        <v>405</v>
      </c>
      <c r="B1268" s="13" t="s">
        <v>404</v>
      </c>
      <c r="C1268" s="138">
        <v>46321</v>
      </c>
      <c r="D1268" s="138" t="s">
        <v>424</v>
      </c>
      <c r="E1268" s="28">
        <v>0.94844611000000001</v>
      </c>
      <c r="F1268" s="13"/>
      <c r="G1268" s="18">
        <v>3000000</v>
      </c>
      <c r="H1268" s="18">
        <v>2845338.33</v>
      </c>
      <c r="I1268" s="18">
        <v>3000000</v>
      </c>
      <c r="J1268" s="18">
        <v>2845338.33</v>
      </c>
      <c r="K1268" s="15">
        <v>1043</v>
      </c>
      <c r="L1268" s="13" t="s">
        <v>102</v>
      </c>
      <c r="M1268" s="13" t="s">
        <v>103</v>
      </c>
      <c r="N1268" s="138" t="s">
        <v>424</v>
      </c>
      <c r="O1268" s="138" t="s">
        <v>424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2615</v>
      </c>
      <c r="V1268" s="13" t="s">
        <v>2615</v>
      </c>
      <c r="W1268" s="59">
        <f>+J1268/$W$2</f>
        <v>4.6567017494939494E-5</v>
      </c>
    </row>
    <row r="1269" spans="1:29">
      <c r="A1269" s="13" t="s">
        <v>375</v>
      </c>
      <c r="B1269" s="13" t="s">
        <v>404</v>
      </c>
      <c r="C1269" s="138">
        <v>46321</v>
      </c>
      <c r="D1269" s="138" t="s">
        <v>424</v>
      </c>
      <c r="E1269" s="28">
        <v>0.94540007000000004</v>
      </c>
      <c r="F1269" s="13"/>
      <c r="G1269" s="18">
        <v>1020845.65</v>
      </c>
      <c r="H1269" s="18">
        <v>965107.55</v>
      </c>
      <c r="I1269" s="18">
        <v>1020845.65</v>
      </c>
      <c r="J1269" s="18">
        <v>965107.55</v>
      </c>
      <c r="K1269" s="15">
        <v>2903</v>
      </c>
      <c r="L1269" s="13" t="s">
        <v>102</v>
      </c>
      <c r="M1269" s="13" t="s">
        <v>103</v>
      </c>
      <c r="N1269" s="138" t="s">
        <v>343</v>
      </c>
      <c r="O1269" s="138" t="s">
        <v>343</v>
      </c>
      <c r="P1269" s="28">
        <v>34</v>
      </c>
      <c r="Q1269" s="13" t="s">
        <v>54</v>
      </c>
      <c r="R1269" s="13" t="s">
        <v>28</v>
      </c>
      <c r="S1269" s="13"/>
      <c r="T1269" s="13"/>
      <c r="U1269" s="13" t="s">
        <v>1442</v>
      </c>
      <c r="V1269" s="13" t="s">
        <v>1442</v>
      </c>
      <c r="W1269" s="59">
        <f>+J1269/$W$2</f>
        <v>1.57950215239775E-5</v>
      </c>
    </row>
    <row r="1270" spans="1:29">
      <c r="A1270" s="13" t="s">
        <v>375</v>
      </c>
      <c r="B1270" s="13" t="s">
        <v>404</v>
      </c>
      <c r="C1270" s="138">
        <v>46321</v>
      </c>
      <c r="D1270" s="138" t="s">
        <v>424</v>
      </c>
      <c r="E1270" s="28">
        <v>0.94540004</v>
      </c>
      <c r="F1270" s="13"/>
      <c r="G1270" s="18">
        <v>990902.64</v>
      </c>
      <c r="H1270" s="18">
        <v>936799.4</v>
      </c>
      <c r="I1270" s="18">
        <v>990902.64</v>
      </c>
      <c r="J1270" s="18">
        <v>936799.4</v>
      </c>
      <c r="K1270" s="15">
        <v>2953</v>
      </c>
      <c r="L1270" s="13" t="s">
        <v>102</v>
      </c>
      <c r="M1270" s="13" t="s">
        <v>103</v>
      </c>
      <c r="N1270" s="138" t="s">
        <v>343</v>
      </c>
      <c r="O1270" s="138" t="s">
        <v>343</v>
      </c>
      <c r="P1270" s="28">
        <v>34</v>
      </c>
      <c r="Q1270" s="13" t="s">
        <v>54</v>
      </c>
      <c r="R1270" s="13" t="s">
        <v>28</v>
      </c>
      <c r="S1270" s="13"/>
      <c r="T1270" s="13"/>
      <c r="U1270" s="13" t="s">
        <v>1443</v>
      </c>
      <c r="V1270" s="13" t="s">
        <v>1443</v>
      </c>
      <c r="W1270" s="59">
        <f>+J1270/$W$2</f>
        <v>1.5331728247954547E-5</v>
      </c>
    </row>
    <row r="1271" spans="1:29">
      <c r="A1271" s="13" t="s">
        <v>406</v>
      </c>
      <c r="B1271" s="13" t="s">
        <v>404</v>
      </c>
      <c r="C1271" s="138">
        <v>46321</v>
      </c>
      <c r="D1271" s="138" t="s">
        <v>424</v>
      </c>
      <c r="E1271" s="28">
        <v>0.94388419999999995</v>
      </c>
      <c r="F1271" s="13"/>
      <c r="G1271" s="18">
        <v>50000000</v>
      </c>
      <c r="H1271" s="18">
        <v>47194209.969999999</v>
      </c>
      <c r="I1271" s="18">
        <v>50000000</v>
      </c>
      <c r="J1271" s="18">
        <v>47194209.969999999</v>
      </c>
      <c r="K1271" s="15">
        <v>68527643</v>
      </c>
      <c r="L1271" s="13" t="s">
        <v>102</v>
      </c>
      <c r="M1271" s="13" t="s">
        <v>103</v>
      </c>
      <c r="N1271" s="138" t="s">
        <v>384</v>
      </c>
      <c r="O1271" s="138" t="s">
        <v>384</v>
      </c>
      <c r="P1271" s="28">
        <v>35</v>
      </c>
      <c r="Q1271" s="13" t="s">
        <v>54</v>
      </c>
      <c r="R1271" s="13" t="s">
        <v>28</v>
      </c>
      <c r="S1271" s="13"/>
      <c r="T1271" s="13"/>
      <c r="U1271" s="13" t="s">
        <v>1804</v>
      </c>
      <c r="V1271" s="13" t="s">
        <v>1804</v>
      </c>
      <c r="W1271" s="59">
        <f>+J1271/$W$2</f>
        <v>7.7238392993948031E-4</v>
      </c>
    </row>
    <row r="1272" spans="1:29">
      <c r="A1272" s="13" t="s">
        <v>144</v>
      </c>
      <c r="B1272" s="13" t="s">
        <v>404</v>
      </c>
      <c r="C1272" s="138">
        <v>46321</v>
      </c>
      <c r="D1272" s="138" t="s">
        <v>424</v>
      </c>
      <c r="E1272" s="28">
        <v>0.94388422999999999</v>
      </c>
      <c r="F1272" s="13"/>
      <c r="G1272" s="18">
        <v>20000000</v>
      </c>
      <c r="H1272" s="18">
        <v>18877684.649999999</v>
      </c>
      <c r="I1272" s="18">
        <v>20000000</v>
      </c>
      <c r="J1272" s="18">
        <v>18877684.649999999</v>
      </c>
      <c r="K1272" s="15">
        <v>4407</v>
      </c>
      <c r="L1272" s="13" t="s">
        <v>102</v>
      </c>
      <c r="M1272" s="13" t="s">
        <v>103</v>
      </c>
      <c r="N1272" s="138" t="s">
        <v>161</v>
      </c>
      <c r="O1272" s="138" t="s">
        <v>161</v>
      </c>
      <c r="P1272" s="28">
        <v>35</v>
      </c>
      <c r="Q1272" s="13" t="s">
        <v>54</v>
      </c>
      <c r="R1272" s="13" t="s">
        <v>28</v>
      </c>
      <c r="S1272" s="13"/>
      <c r="T1272" s="13"/>
      <c r="U1272" s="13" t="s">
        <v>1680</v>
      </c>
      <c r="V1272" s="13" t="s">
        <v>1680</v>
      </c>
      <c r="W1272" s="59">
        <f>+J1272/$W$2</f>
        <v>3.0895358281013305E-4</v>
      </c>
    </row>
    <row r="1273" spans="1:29">
      <c r="A1273" s="13" t="s">
        <v>144</v>
      </c>
      <c r="B1273" s="13" t="s">
        <v>404</v>
      </c>
      <c r="C1273" s="138">
        <v>46321</v>
      </c>
      <c r="D1273" s="138" t="s">
        <v>424</v>
      </c>
      <c r="E1273" s="28">
        <v>0.94540011000000002</v>
      </c>
      <c r="F1273" s="13"/>
      <c r="G1273" s="18">
        <v>10000000</v>
      </c>
      <c r="H1273" s="18">
        <v>9454001.0999999996</v>
      </c>
      <c r="I1273" s="18">
        <v>10000000</v>
      </c>
      <c r="J1273" s="18">
        <v>9454001.0999999996</v>
      </c>
      <c r="K1273" s="15">
        <v>4409</v>
      </c>
      <c r="L1273" s="13" t="s">
        <v>102</v>
      </c>
      <c r="M1273" s="13" t="s">
        <v>103</v>
      </c>
      <c r="N1273" s="138" t="s">
        <v>481</v>
      </c>
      <c r="O1273" s="138" t="s">
        <v>481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1776</v>
      </c>
      <c r="V1273" s="13" t="s">
        <v>1776</v>
      </c>
      <c r="W1273" s="59">
        <f>+J1273/$W$2</f>
        <v>1.5472488103756616E-4</v>
      </c>
    </row>
    <row r="1274" spans="1:29">
      <c r="A1274" s="13" t="s">
        <v>375</v>
      </c>
      <c r="B1274" s="13" t="s">
        <v>404</v>
      </c>
      <c r="C1274" s="138">
        <v>46321</v>
      </c>
      <c r="D1274" s="138" t="s">
        <v>424</v>
      </c>
      <c r="E1274" s="28">
        <v>0.94692074000000004</v>
      </c>
      <c r="F1274" s="13"/>
      <c r="G1274" s="18">
        <v>2502550.36</v>
      </c>
      <c r="H1274" s="18">
        <v>2369716.84</v>
      </c>
      <c r="I1274" s="18">
        <v>2502550.36</v>
      </c>
      <c r="J1274" s="18">
        <v>2369716.84</v>
      </c>
      <c r="K1274" s="15">
        <v>3129</v>
      </c>
      <c r="L1274" s="13" t="s">
        <v>102</v>
      </c>
      <c r="M1274" s="13" t="s">
        <v>103</v>
      </c>
      <c r="N1274" s="138" t="s">
        <v>481</v>
      </c>
      <c r="O1274" s="138" t="s">
        <v>481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1762</v>
      </c>
      <c r="V1274" s="13" t="s">
        <v>1762</v>
      </c>
      <c r="W1274" s="59">
        <f>+J1274/$W$2</f>
        <v>3.8782961021838384E-5</v>
      </c>
    </row>
    <row r="1275" spans="1:29">
      <c r="A1275" s="13" t="s">
        <v>2582</v>
      </c>
      <c r="B1275" s="13" t="s">
        <v>404</v>
      </c>
      <c r="C1275" s="138">
        <v>46321</v>
      </c>
      <c r="D1275" s="138" t="s">
        <v>424</v>
      </c>
      <c r="E1275" s="28">
        <v>0.94237347000000005</v>
      </c>
      <c r="F1275" s="13"/>
      <c r="G1275" s="18">
        <v>3250000</v>
      </c>
      <c r="H1275" s="18">
        <v>3062713.76</v>
      </c>
      <c r="I1275" s="18">
        <v>3250000</v>
      </c>
      <c r="J1275" s="18">
        <v>3062713.76</v>
      </c>
      <c r="K1275" s="15">
        <v>67</v>
      </c>
      <c r="L1275" s="13" t="s">
        <v>102</v>
      </c>
      <c r="M1275" s="13" t="s">
        <v>103</v>
      </c>
      <c r="N1275" s="138" t="s">
        <v>464</v>
      </c>
      <c r="O1275" s="138" t="s">
        <v>464</v>
      </c>
      <c r="P1275" s="28">
        <v>36</v>
      </c>
      <c r="Q1275" s="13" t="s">
        <v>54</v>
      </c>
      <c r="R1275" s="13" t="s">
        <v>28</v>
      </c>
      <c r="S1275" s="13"/>
      <c r="T1275" s="13"/>
      <c r="U1275" s="13" t="s">
        <v>2573</v>
      </c>
      <c r="V1275" s="13" t="s">
        <v>2573</v>
      </c>
      <c r="W1275" s="59">
        <f>+J1275/$W$2</f>
        <v>5.0124599855199614E-5</v>
      </c>
    </row>
    <row r="1276" spans="1:29">
      <c r="A1276" s="13" t="s">
        <v>413</v>
      </c>
      <c r="B1276" s="13" t="s">
        <v>404</v>
      </c>
      <c r="C1276" s="138">
        <v>46321</v>
      </c>
      <c r="D1276" s="138" t="s">
        <v>424</v>
      </c>
      <c r="E1276" s="28">
        <v>0.94844618999999997</v>
      </c>
      <c r="F1276" s="13"/>
      <c r="G1276" s="18">
        <v>10655603.279999999</v>
      </c>
      <c r="H1276" s="18">
        <v>10106266.380000001</v>
      </c>
      <c r="I1276" s="18">
        <v>10655603.279999999</v>
      </c>
      <c r="J1276" s="18">
        <v>10106266.380000001</v>
      </c>
      <c r="K1276" s="15">
        <v>30829</v>
      </c>
      <c r="L1276" s="13" t="s">
        <v>102</v>
      </c>
      <c r="M1276" s="13" t="s">
        <v>103</v>
      </c>
      <c r="N1276" s="138" t="s">
        <v>421</v>
      </c>
      <c r="O1276" s="138" t="s">
        <v>421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1365</v>
      </c>
      <c r="V1276" s="13" t="s">
        <v>1365</v>
      </c>
      <c r="W1276" s="59">
        <f>+J1276/$W$2</f>
        <v>1.6539990283896358E-4</v>
      </c>
    </row>
    <row r="1277" spans="1:29">
      <c r="A1277" s="13" t="s">
        <v>981</v>
      </c>
      <c r="B1277" s="13" t="s">
        <v>127</v>
      </c>
      <c r="C1277" s="138">
        <v>46321</v>
      </c>
      <c r="D1277" s="138" t="s">
        <v>424</v>
      </c>
      <c r="E1277" s="28">
        <v>0.99661425999999997</v>
      </c>
      <c r="F1277" s="13" t="s">
        <v>2681</v>
      </c>
      <c r="G1277" s="18">
        <v>101000</v>
      </c>
      <c r="H1277" s="18">
        <v>100658.04</v>
      </c>
      <c r="I1277" s="18">
        <v>152664786.52000001</v>
      </c>
      <c r="J1277" s="18">
        <v>152147902.84999999</v>
      </c>
      <c r="K1277" s="15">
        <v>161880</v>
      </c>
      <c r="L1277" s="13" t="s">
        <v>102</v>
      </c>
      <c r="M1277" s="13" t="s">
        <v>103</v>
      </c>
      <c r="N1277" s="138" t="s">
        <v>464</v>
      </c>
      <c r="O1277" s="138" t="s">
        <v>464</v>
      </c>
      <c r="P1277" s="28">
        <v>2</v>
      </c>
      <c r="Q1277" s="13" t="s">
        <v>54</v>
      </c>
      <c r="R1277" s="13" t="s">
        <v>28</v>
      </c>
      <c r="S1277" s="13"/>
      <c r="T1277" s="13"/>
      <c r="U1277" s="13" t="s">
        <v>2577</v>
      </c>
      <c r="V1277" s="13" t="s">
        <v>2577</v>
      </c>
      <c r="W1277" s="59">
        <f>+J1277/$W$2</f>
        <v>2.4900638279576068E-3</v>
      </c>
    </row>
    <row r="1278" spans="1:29">
      <c r="A1278" s="13" t="s">
        <v>2043</v>
      </c>
      <c r="B1278" s="13" t="s">
        <v>404</v>
      </c>
      <c r="C1278" s="138">
        <v>46321</v>
      </c>
      <c r="D1278" s="138" t="s">
        <v>424</v>
      </c>
      <c r="E1278" s="28">
        <v>0.95151215</v>
      </c>
      <c r="F1278" s="13"/>
      <c r="G1278" s="18">
        <v>35466704.420000002</v>
      </c>
      <c r="H1278" s="18">
        <v>33747000.289999999</v>
      </c>
      <c r="I1278" s="18">
        <v>35466704.420000002</v>
      </c>
      <c r="J1278" s="18">
        <v>33747000.289999999</v>
      </c>
      <c r="K1278" s="15">
        <v>40293687</v>
      </c>
      <c r="L1278" s="13" t="s">
        <v>102</v>
      </c>
      <c r="M1278" s="13" t="s">
        <v>103</v>
      </c>
      <c r="N1278" s="138" t="s">
        <v>463</v>
      </c>
      <c r="O1278" s="138" t="s">
        <v>463</v>
      </c>
      <c r="P1278" s="28">
        <v>30</v>
      </c>
      <c r="Q1278" s="13" t="s">
        <v>54</v>
      </c>
      <c r="R1278" s="13" t="s">
        <v>28</v>
      </c>
      <c r="S1278" s="13"/>
      <c r="T1278" s="13"/>
      <c r="U1278" s="13" t="s">
        <v>2526</v>
      </c>
      <c r="V1278" s="13" t="s">
        <v>2526</v>
      </c>
      <c r="W1278" s="59">
        <f>+J1278/$W$2</f>
        <v>5.523059020212047E-4</v>
      </c>
    </row>
    <row r="1279" spans="1:29">
      <c r="A1279" s="13" t="s">
        <v>916</v>
      </c>
      <c r="B1279" s="13" t="s">
        <v>404</v>
      </c>
      <c r="C1279" s="138">
        <v>46322</v>
      </c>
      <c r="D1279" s="138" t="s">
        <v>424</v>
      </c>
      <c r="E1279" s="28">
        <v>0.95076846999999998</v>
      </c>
      <c r="F1279" s="13"/>
      <c r="G1279" s="18">
        <v>100000000</v>
      </c>
      <c r="H1279" s="18">
        <v>95076846.980000004</v>
      </c>
      <c r="I1279" s="18">
        <v>100000000</v>
      </c>
      <c r="J1279" s="18">
        <v>95076846.980000004</v>
      </c>
      <c r="K1279" s="15">
        <v>90004012</v>
      </c>
      <c r="L1279" s="13" t="s">
        <v>102</v>
      </c>
      <c r="M1279" s="13" t="s">
        <v>103</v>
      </c>
      <c r="N1279" s="138" t="s">
        <v>441</v>
      </c>
      <c r="O1279" s="138" t="s">
        <v>441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2289</v>
      </c>
      <c r="V1279" s="13" t="s">
        <v>2289</v>
      </c>
      <c r="W1279" s="59">
        <f>+J1279/$W$2</f>
        <v>1.556034707718342E-3</v>
      </c>
    </row>
    <row r="1280" spans="1:29">
      <c r="A1280" s="13" t="s">
        <v>916</v>
      </c>
      <c r="B1280" s="13" t="s">
        <v>404</v>
      </c>
      <c r="C1280" s="138">
        <v>46322</v>
      </c>
      <c r="D1280" s="138" t="s">
        <v>424</v>
      </c>
      <c r="E1280" s="28">
        <v>0.95076846999999998</v>
      </c>
      <c r="F1280" s="13"/>
      <c r="G1280" s="18">
        <v>100000000</v>
      </c>
      <c r="H1280" s="18">
        <v>95076846.980000004</v>
      </c>
      <c r="I1280" s="18">
        <v>100000000</v>
      </c>
      <c r="J1280" s="18">
        <v>95076846.980000004</v>
      </c>
      <c r="K1280" s="15">
        <v>90004011</v>
      </c>
      <c r="L1280" s="13" t="s">
        <v>102</v>
      </c>
      <c r="M1280" s="13" t="s">
        <v>103</v>
      </c>
      <c r="N1280" s="138" t="s">
        <v>441</v>
      </c>
      <c r="O1280" s="138" t="s">
        <v>441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2290</v>
      </c>
      <c r="V1280" s="13" t="s">
        <v>2290</v>
      </c>
      <c r="W1280" s="59">
        <f>+J1280/$W$2</f>
        <v>1.556034707718342E-3</v>
      </c>
    </row>
    <row r="1281" spans="1:29">
      <c r="A1281" s="13" t="s">
        <v>302</v>
      </c>
      <c r="B1281" s="13" t="s">
        <v>404</v>
      </c>
      <c r="C1281" s="138">
        <v>46322</v>
      </c>
      <c r="D1281" s="138" t="s">
        <v>424</v>
      </c>
      <c r="E1281" s="28">
        <v>0.94303084999999998</v>
      </c>
      <c r="F1281" s="13"/>
      <c r="G1281" s="18">
        <v>6500000</v>
      </c>
      <c r="H1281" s="18">
        <v>6129700.5</v>
      </c>
      <c r="I1281" s="18">
        <v>6500000</v>
      </c>
      <c r="J1281" s="18">
        <v>6129700.5</v>
      </c>
      <c r="K1281" s="15">
        <v>40773808</v>
      </c>
      <c r="L1281" s="13" t="s">
        <v>102</v>
      </c>
      <c r="M1281" s="13" t="s">
        <v>103</v>
      </c>
      <c r="N1281" s="138" t="s">
        <v>345</v>
      </c>
      <c r="O1281" s="138" t="s">
        <v>345</v>
      </c>
      <c r="P1281" s="28">
        <v>35</v>
      </c>
      <c r="Q1281" s="13" t="s">
        <v>54</v>
      </c>
      <c r="R1281" s="13" t="s">
        <v>28</v>
      </c>
      <c r="S1281" s="13"/>
      <c r="T1281" s="13"/>
      <c r="U1281" s="13" t="s">
        <v>2417</v>
      </c>
      <c r="V1281" s="13" t="s">
        <v>2417</v>
      </c>
      <c r="W1281" s="59">
        <f>+J1281/$W$2</f>
        <v>1.0031913161702614E-4</v>
      </c>
    </row>
    <row r="1282" spans="1:29">
      <c r="A1282" s="13" t="s">
        <v>763</v>
      </c>
      <c r="B1282" s="13" t="s">
        <v>404</v>
      </c>
      <c r="C1282" s="138">
        <v>46322</v>
      </c>
      <c r="D1282" s="138" t="s">
        <v>424</v>
      </c>
      <c r="E1282" s="28">
        <v>0.94456817999999998</v>
      </c>
      <c r="F1282" s="13"/>
      <c r="G1282" s="18">
        <v>5000300.25</v>
      </c>
      <c r="H1282" s="18">
        <v>4723124.49</v>
      </c>
      <c r="I1282" s="18">
        <v>5000300.25</v>
      </c>
      <c r="J1282" s="18">
        <v>4723124.49</v>
      </c>
      <c r="K1282" s="15">
        <v>374</v>
      </c>
      <c r="L1282" s="13" t="s">
        <v>102</v>
      </c>
      <c r="M1282" s="13" t="s">
        <v>103</v>
      </c>
      <c r="N1282" s="138" t="s">
        <v>343</v>
      </c>
      <c r="O1282" s="138" t="s">
        <v>343</v>
      </c>
      <c r="P1282" s="28">
        <v>34</v>
      </c>
      <c r="Q1282" s="13" t="s">
        <v>54</v>
      </c>
      <c r="R1282" s="13" t="s">
        <v>28</v>
      </c>
      <c r="S1282" s="13"/>
      <c r="T1282" s="13"/>
      <c r="U1282" s="13" t="s">
        <v>1478</v>
      </c>
      <c r="V1282" s="13" t="s">
        <v>1478</v>
      </c>
      <c r="W1282" s="59">
        <f>+J1282/$W$2</f>
        <v>7.7299004634224705E-5</v>
      </c>
    </row>
    <row r="1283" spans="1:29">
      <c r="A1283" s="13" t="s">
        <v>772</v>
      </c>
      <c r="B1283" s="13" t="s">
        <v>404</v>
      </c>
      <c r="C1283" s="138">
        <v>46322</v>
      </c>
      <c r="D1283" s="138" t="s">
        <v>424</v>
      </c>
      <c r="E1283" s="28">
        <v>0.94611080999999997</v>
      </c>
      <c r="F1283" s="13"/>
      <c r="G1283" s="18">
        <v>1400000</v>
      </c>
      <c r="H1283" s="18">
        <v>1324555.1299999999</v>
      </c>
      <c r="I1283" s="18">
        <v>1400000</v>
      </c>
      <c r="J1283" s="18">
        <v>1324555.1299999999</v>
      </c>
      <c r="K1283" s="15">
        <v>522</v>
      </c>
      <c r="L1283" s="13" t="s">
        <v>102</v>
      </c>
      <c r="M1283" s="13" t="s">
        <v>103</v>
      </c>
      <c r="N1283" s="138" t="s">
        <v>422</v>
      </c>
      <c r="O1283" s="138" t="s">
        <v>422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2240</v>
      </c>
      <c r="V1283" s="13" t="s">
        <v>2240</v>
      </c>
      <c r="W1283" s="59">
        <f>+J1283/$W$2</f>
        <v>2.1677767196044435E-5</v>
      </c>
    </row>
    <row r="1284" spans="1:29">
      <c r="A1284" s="13" t="s">
        <v>2584</v>
      </c>
      <c r="B1284" s="13" t="s">
        <v>404</v>
      </c>
      <c r="C1284" s="138">
        <v>46322</v>
      </c>
      <c r="D1284" s="138" t="s">
        <v>424</v>
      </c>
      <c r="E1284" s="28">
        <v>0.94611071000000002</v>
      </c>
      <c r="F1284" s="13"/>
      <c r="G1284" s="18">
        <v>20000194</v>
      </c>
      <c r="H1284" s="18">
        <v>18922397.829999998</v>
      </c>
      <c r="I1284" s="18">
        <v>20000194</v>
      </c>
      <c r="J1284" s="18">
        <v>18922397.829999998</v>
      </c>
      <c r="K1284" s="15">
        <v>731</v>
      </c>
      <c r="L1284" s="13" t="s">
        <v>102</v>
      </c>
      <c r="M1284" s="13" t="s">
        <v>103</v>
      </c>
      <c r="N1284" s="138" t="s">
        <v>464</v>
      </c>
      <c r="O1284" s="138" t="s">
        <v>464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2569</v>
      </c>
      <c r="V1284" s="13" t="s">
        <v>2569</v>
      </c>
      <c r="W1284" s="59">
        <f>+J1284/$W$2</f>
        <v>3.0968536202013455E-4</v>
      </c>
    </row>
    <row r="1285" spans="1:29">
      <c r="A1285" s="13" t="s">
        <v>447</v>
      </c>
      <c r="B1285" s="13" t="s">
        <v>404</v>
      </c>
      <c r="C1285" s="138">
        <v>46322</v>
      </c>
      <c r="D1285" s="138" t="s">
        <v>424</v>
      </c>
      <c r="E1285" s="28">
        <v>0.94456817999999998</v>
      </c>
      <c r="F1285" s="13"/>
      <c r="G1285" s="18">
        <v>4549416.66</v>
      </c>
      <c r="H1285" s="18">
        <v>4297234.22</v>
      </c>
      <c r="I1285" s="18">
        <v>4549416.66</v>
      </c>
      <c r="J1285" s="18">
        <v>4297234.22</v>
      </c>
      <c r="K1285" s="15">
        <v>50456545</v>
      </c>
      <c r="L1285" s="13" t="s">
        <v>102</v>
      </c>
      <c r="M1285" s="13" t="s">
        <v>103</v>
      </c>
      <c r="N1285" s="138" t="s">
        <v>343</v>
      </c>
      <c r="O1285" s="138" t="s">
        <v>343</v>
      </c>
      <c r="P1285" s="28">
        <v>34</v>
      </c>
      <c r="Q1285" s="13" t="s">
        <v>54</v>
      </c>
      <c r="R1285" s="13" t="s">
        <v>28</v>
      </c>
      <c r="S1285" s="13"/>
      <c r="T1285" s="13"/>
      <c r="U1285" s="13" t="s">
        <v>1429</v>
      </c>
      <c r="V1285" s="13" t="s">
        <v>1429</v>
      </c>
      <c r="W1285" s="59">
        <f>+J1285/$W$2</f>
        <v>7.0328852984802211E-5</v>
      </c>
    </row>
    <row r="1286" spans="1:29">
      <c r="A1286" s="13" t="s">
        <v>466</v>
      </c>
      <c r="B1286" s="13" t="s">
        <v>404</v>
      </c>
      <c r="C1286" s="138">
        <v>46322</v>
      </c>
      <c r="D1286" s="138" t="s">
        <v>424</v>
      </c>
      <c r="E1286" s="28">
        <v>0.95389926999999997</v>
      </c>
      <c r="F1286" s="13"/>
      <c r="G1286" s="18">
        <v>2500000</v>
      </c>
      <c r="H1286" s="18">
        <v>2384748.1800000002</v>
      </c>
      <c r="I1286" s="18">
        <v>2500000</v>
      </c>
      <c r="J1286" s="18">
        <v>2384748.1800000002</v>
      </c>
      <c r="K1286" s="15">
        <v>90031821</v>
      </c>
      <c r="L1286" s="13" t="s">
        <v>102</v>
      </c>
      <c r="M1286" s="13" t="s">
        <v>103</v>
      </c>
      <c r="N1286" s="138" t="s">
        <v>289</v>
      </c>
      <c r="O1286" s="138" t="s">
        <v>289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597</v>
      </c>
      <c r="V1286" s="13" t="s">
        <v>597</v>
      </c>
      <c r="W1286" s="59">
        <f>+J1286/$W$2</f>
        <v>3.9028965043705409E-5</v>
      </c>
      <c r="AC1286"/>
    </row>
    <row r="1287" spans="1:29">
      <c r="A1287" s="13" t="s">
        <v>285</v>
      </c>
      <c r="B1287" s="13" t="s">
        <v>404</v>
      </c>
      <c r="C1287" s="138">
        <v>46322</v>
      </c>
      <c r="D1287" s="138" t="s">
        <v>424</v>
      </c>
      <c r="E1287" s="28">
        <v>0.95547236999999996</v>
      </c>
      <c r="F1287" s="13"/>
      <c r="G1287" s="18">
        <v>50000000</v>
      </c>
      <c r="H1287" s="18">
        <v>47773618.649999999</v>
      </c>
      <c r="I1287" s="18">
        <v>50000000</v>
      </c>
      <c r="J1287" s="18">
        <v>47773618.649999999</v>
      </c>
      <c r="K1287" s="15">
        <v>1415416</v>
      </c>
      <c r="L1287" s="13" t="s">
        <v>102</v>
      </c>
      <c r="M1287" s="13" t="s">
        <v>103</v>
      </c>
      <c r="N1287" s="138" t="s">
        <v>390</v>
      </c>
      <c r="O1287" s="138" t="s">
        <v>390</v>
      </c>
      <c r="P1287" s="28">
        <v>27</v>
      </c>
      <c r="Q1287" s="13" t="s">
        <v>54</v>
      </c>
      <c r="R1287" s="13" t="s">
        <v>28</v>
      </c>
      <c r="S1287" s="13"/>
      <c r="T1287" s="13"/>
      <c r="U1287" s="13" t="s">
        <v>1095</v>
      </c>
      <c r="V1287" s="13" t="s">
        <v>1095</v>
      </c>
      <c r="W1287" s="59">
        <f>+J1287/$W$2</f>
        <v>7.8186657523821349E-4</v>
      </c>
    </row>
    <row r="1288" spans="1:29">
      <c r="A1288" s="13" t="s">
        <v>285</v>
      </c>
      <c r="B1288" s="13" t="s">
        <v>404</v>
      </c>
      <c r="C1288" s="138">
        <v>46322</v>
      </c>
      <c r="D1288" s="138" t="s">
        <v>424</v>
      </c>
      <c r="E1288" s="28">
        <v>0.95547241000000005</v>
      </c>
      <c r="F1288" s="13"/>
      <c r="G1288" s="18">
        <v>10000000</v>
      </c>
      <c r="H1288" s="18">
        <v>9554724.1400000006</v>
      </c>
      <c r="I1288" s="18">
        <v>10000000</v>
      </c>
      <c r="J1288" s="18">
        <v>9554724.1400000006</v>
      </c>
      <c r="K1288" s="15">
        <v>2012</v>
      </c>
      <c r="L1288" s="13" t="s">
        <v>102</v>
      </c>
      <c r="M1288" s="13" t="s">
        <v>103</v>
      </c>
      <c r="N1288" s="138" t="s">
        <v>420</v>
      </c>
      <c r="O1288" s="138" t="s">
        <v>420</v>
      </c>
      <c r="P1288" s="28">
        <v>27</v>
      </c>
      <c r="Q1288" s="13" t="s">
        <v>54</v>
      </c>
      <c r="R1288" s="13" t="s">
        <v>28</v>
      </c>
      <c r="S1288" s="13"/>
      <c r="T1288" s="13"/>
      <c r="U1288" s="13" t="s">
        <v>1307</v>
      </c>
      <c r="V1288" s="13" t="s">
        <v>1307</v>
      </c>
      <c r="W1288" s="59">
        <f>+J1288/$W$2</f>
        <v>1.5637332175773302E-4</v>
      </c>
    </row>
    <row r="1289" spans="1:29">
      <c r="A1289" s="13" t="s">
        <v>285</v>
      </c>
      <c r="B1289" s="13" t="s">
        <v>404</v>
      </c>
      <c r="C1289" s="138">
        <v>46322</v>
      </c>
      <c r="D1289" s="138" t="s">
        <v>424</v>
      </c>
      <c r="E1289" s="28">
        <v>0.95076859999999996</v>
      </c>
      <c r="F1289" s="13"/>
      <c r="G1289" s="18">
        <v>5000000</v>
      </c>
      <c r="H1289" s="18">
        <v>4753843</v>
      </c>
      <c r="I1289" s="18">
        <v>5000000</v>
      </c>
      <c r="J1289" s="18">
        <v>4753843</v>
      </c>
      <c r="K1289" s="15">
        <v>8779</v>
      </c>
      <c r="L1289" s="13" t="s">
        <v>102</v>
      </c>
      <c r="M1289" s="13" t="s">
        <v>103</v>
      </c>
      <c r="N1289" s="138" t="s">
        <v>342</v>
      </c>
      <c r="O1289" s="138" t="s">
        <v>342</v>
      </c>
      <c r="P1289" s="28">
        <v>30</v>
      </c>
      <c r="Q1289" s="13" t="s">
        <v>54</v>
      </c>
      <c r="R1289" s="13" t="s">
        <v>28</v>
      </c>
      <c r="S1289" s="13"/>
      <c r="T1289" s="13"/>
      <c r="U1289" s="13" t="s">
        <v>2385</v>
      </c>
      <c r="V1289" s="13" t="s">
        <v>2385</v>
      </c>
      <c r="W1289" s="59">
        <f>+J1289/$W$2</f>
        <v>7.7801746040231229E-5</v>
      </c>
    </row>
    <row r="1290" spans="1:29">
      <c r="A1290" s="13" t="s">
        <v>405</v>
      </c>
      <c r="B1290" s="13" t="s">
        <v>404</v>
      </c>
      <c r="C1290" s="138">
        <v>46322</v>
      </c>
      <c r="D1290" s="138" t="s">
        <v>424</v>
      </c>
      <c r="E1290" s="28">
        <v>0.94765832999999999</v>
      </c>
      <c r="F1290" s="13"/>
      <c r="G1290" s="18">
        <v>3000000</v>
      </c>
      <c r="H1290" s="18">
        <v>2842974.99</v>
      </c>
      <c r="I1290" s="18">
        <v>3000000</v>
      </c>
      <c r="J1290" s="18">
        <v>2842974.99</v>
      </c>
      <c r="K1290" s="15">
        <v>1044</v>
      </c>
      <c r="L1290" s="13" t="s">
        <v>102</v>
      </c>
      <c r="M1290" s="13" t="s">
        <v>103</v>
      </c>
      <c r="N1290" s="138" t="s">
        <v>424</v>
      </c>
      <c r="O1290" s="138" t="s">
        <v>424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2602</v>
      </c>
      <c r="V1290" s="13" t="s">
        <v>2602</v>
      </c>
      <c r="W1290" s="59">
        <f>+J1290/$W$2</f>
        <v>4.6528338897752606E-5</v>
      </c>
    </row>
    <row r="1291" spans="1:29">
      <c r="A1291" s="13" t="s">
        <v>375</v>
      </c>
      <c r="B1291" s="13" t="s">
        <v>404</v>
      </c>
      <c r="C1291" s="138">
        <v>46322</v>
      </c>
      <c r="D1291" s="138" t="s">
        <v>424</v>
      </c>
      <c r="E1291" s="28">
        <v>0.94456817999999998</v>
      </c>
      <c r="F1291" s="13"/>
      <c r="G1291" s="18">
        <v>1020845.65</v>
      </c>
      <c r="H1291" s="18">
        <v>964258.32</v>
      </c>
      <c r="I1291" s="18">
        <v>1020845.65</v>
      </c>
      <c r="J1291" s="18">
        <v>964258.32</v>
      </c>
      <c r="K1291" s="15">
        <v>2904</v>
      </c>
      <c r="L1291" s="13" t="s">
        <v>102</v>
      </c>
      <c r="M1291" s="13" t="s">
        <v>103</v>
      </c>
      <c r="N1291" s="138" t="s">
        <v>343</v>
      </c>
      <c r="O1291" s="138" t="s">
        <v>343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1444</v>
      </c>
      <c r="V1291" s="13" t="s">
        <v>1444</v>
      </c>
      <c r="W1291" s="59">
        <f>+J1291/$W$2</f>
        <v>1.5781122963004881E-5</v>
      </c>
    </row>
    <row r="1292" spans="1:29">
      <c r="A1292" s="13" t="s">
        <v>375</v>
      </c>
      <c r="B1292" s="13" t="s">
        <v>404</v>
      </c>
      <c r="C1292" s="138">
        <v>46322</v>
      </c>
      <c r="D1292" s="138" t="s">
        <v>424</v>
      </c>
      <c r="E1292" s="28">
        <v>0.94456819000000003</v>
      </c>
      <c r="F1292" s="13"/>
      <c r="G1292" s="18">
        <v>990902.64</v>
      </c>
      <c r="H1292" s="18">
        <v>935975.11</v>
      </c>
      <c r="I1292" s="18">
        <v>990902.64</v>
      </c>
      <c r="J1292" s="18">
        <v>935975.11</v>
      </c>
      <c r="K1292" s="15">
        <v>2954</v>
      </c>
      <c r="L1292" s="13" t="s">
        <v>102</v>
      </c>
      <c r="M1292" s="13" t="s">
        <v>103</v>
      </c>
      <c r="N1292" s="138" t="s">
        <v>343</v>
      </c>
      <c r="O1292" s="138" t="s">
        <v>343</v>
      </c>
      <c r="P1292" s="28">
        <v>34</v>
      </c>
      <c r="Q1292" s="13" t="s">
        <v>54</v>
      </c>
      <c r="R1292" s="13" t="s">
        <v>28</v>
      </c>
      <c r="S1292" s="13"/>
      <c r="T1292" s="13"/>
      <c r="U1292" s="13" t="s">
        <v>1445</v>
      </c>
      <c r="V1292" s="13" t="s">
        <v>1445</v>
      </c>
      <c r="W1292" s="59">
        <f>+J1292/$W$2</f>
        <v>1.531823785686601E-5</v>
      </c>
    </row>
    <row r="1293" spans="1:29">
      <c r="A1293" s="13" t="s">
        <v>2317</v>
      </c>
      <c r="B1293" s="13" t="s">
        <v>404</v>
      </c>
      <c r="C1293" s="138">
        <v>46322</v>
      </c>
      <c r="D1293" s="138" t="s">
        <v>424</v>
      </c>
      <c r="E1293" s="28">
        <v>0.95389926000000003</v>
      </c>
      <c r="F1293" s="13"/>
      <c r="G1293" s="18">
        <v>150000000</v>
      </c>
      <c r="H1293" s="18">
        <v>143084889.62</v>
      </c>
      <c r="I1293" s="18">
        <v>150000000</v>
      </c>
      <c r="J1293" s="18">
        <v>143084889.62</v>
      </c>
      <c r="K1293" s="15">
        <v>81</v>
      </c>
      <c r="L1293" s="13" t="s">
        <v>102</v>
      </c>
      <c r="M1293" s="13" t="s">
        <v>103</v>
      </c>
      <c r="N1293" s="138" t="s">
        <v>441</v>
      </c>
      <c r="O1293" s="138" t="s">
        <v>441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2300</v>
      </c>
      <c r="V1293" s="13" t="s">
        <v>2300</v>
      </c>
      <c r="W1293" s="59">
        <f>+J1293/$W$2</f>
        <v>2.3417378833103571E-3</v>
      </c>
      <c r="AC1293" s="56"/>
    </row>
    <row r="1294" spans="1:29">
      <c r="A1294" s="13" t="s">
        <v>2582</v>
      </c>
      <c r="B1294" s="13" t="s">
        <v>404</v>
      </c>
      <c r="C1294" s="138">
        <v>46322</v>
      </c>
      <c r="D1294" s="138" t="s">
        <v>424</v>
      </c>
      <c r="E1294" s="28">
        <v>0.94149828999999996</v>
      </c>
      <c r="F1294" s="13"/>
      <c r="G1294" s="18">
        <v>3250000</v>
      </c>
      <c r="H1294" s="18">
        <v>3059869.45</v>
      </c>
      <c r="I1294" s="18">
        <v>3250000</v>
      </c>
      <c r="J1294" s="18">
        <v>3059869.45</v>
      </c>
      <c r="K1294" s="15">
        <v>68</v>
      </c>
      <c r="L1294" s="13" t="s">
        <v>102</v>
      </c>
      <c r="M1294" s="13" t="s">
        <v>103</v>
      </c>
      <c r="N1294" s="138" t="s">
        <v>464</v>
      </c>
      <c r="O1294" s="138" t="s">
        <v>464</v>
      </c>
      <c r="P1294" s="28">
        <v>36</v>
      </c>
      <c r="Q1294" s="13" t="s">
        <v>54</v>
      </c>
      <c r="R1294" s="13" t="s">
        <v>28</v>
      </c>
      <c r="S1294" s="13"/>
      <c r="T1294" s="13"/>
      <c r="U1294" s="13" t="s">
        <v>2575</v>
      </c>
      <c r="V1294" s="13" t="s">
        <v>2575</v>
      </c>
      <c r="W1294" s="59">
        <f>+J1294/$W$2</f>
        <v>5.0078049667429495E-5</v>
      </c>
    </row>
    <row r="1295" spans="1:29">
      <c r="A1295" s="13" t="s">
        <v>413</v>
      </c>
      <c r="B1295" s="13" t="s">
        <v>404</v>
      </c>
      <c r="C1295" s="138">
        <v>46322</v>
      </c>
      <c r="D1295" s="138" t="s">
        <v>424</v>
      </c>
      <c r="E1295" s="28">
        <v>0.94765816000000003</v>
      </c>
      <c r="F1295" s="13"/>
      <c r="G1295" s="18">
        <v>10655603.279999999</v>
      </c>
      <c r="H1295" s="18">
        <v>10097869.359999999</v>
      </c>
      <c r="I1295" s="18">
        <v>10655603.279999999</v>
      </c>
      <c r="J1295" s="18">
        <v>10097869.359999999</v>
      </c>
      <c r="K1295" s="15">
        <v>30830</v>
      </c>
      <c r="L1295" s="13" t="s">
        <v>102</v>
      </c>
      <c r="M1295" s="13" t="s">
        <v>103</v>
      </c>
      <c r="N1295" s="138" t="s">
        <v>421</v>
      </c>
      <c r="O1295" s="138" t="s">
        <v>421</v>
      </c>
      <c r="P1295" s="28">
        <v>32</v>
      </c>
      <c r="Q1295" s="13" t="s">
        <v>54</v>
      </c>
      <c r="R1295" s="13" t="s">
        <v>28</v>
      </c>
      <c r="S1295" s="13"/>
      <c r="T1295" s="13"/>
      <c r="U1295" s="13" t="s">
        <v>1366</v>
      </c>
      <c r="V1295" s="13" t="s">
        <v>1366</v>
      </c>
      <c r="W1295" s="59">
        <f>+J1295/$W$2</f>
        <v>1.6526247658876244E-4</v>
      </c>
    </row>
    <row r="1296" spans="1:29">
      <c r="A1296" s="13" t="s">
        <v>2224</v>
      </c>
      <c r="B1296" s="13" t="s">
        <v>404</v>
      </c>
      <c r="C1296" s="138">
        <v>46322</v>
      </c>
      <c r="D1296" s="138" t="s">
        <v>424</v>
      </c>
      <c r="E1296" s="28">
        <v>0.95389935999999997</v>
      </c>
      <c r="F1296" s="13"/>
      <c r="G1296" s="18">
        <v>5225717</v>
      </c>
      <c r="H1296" s="18">
        <v>4984808.08</v>
      </c>
      <c r="I1296" s="18">
        <v>5225717</v>
      </c>
      <c r="J1296" s="18">
        <v>4984808.08</v>
      </c>
      <c r="K1296" s="15">
        <v>3174</v>
      </c>
      <c r="L1296" s="13" t="s">
        <v>102</v>
      </c>
      <c r="M1296" s="13" t="s">
        <v>103</v>
      </c>
      <c r="N1296" s="138" t="s">
        <v>639</v>
      </c>
      <c r="O1296" s="138" t="s">
        <v>639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2193</v>
      </c>
      <c r="V1296" s="13" t="s">
        <v>2193</v>
      </c>
      <c r="W1296" s="59">
        <f>+J1296/$W$2</f>
        <v>8.1581737617218882E-5</v>
      </c>
    </row>
    <row r="1297" spans="1:23">
      <c r="A1297" s="13" t="s">
        <v>2362</v>
      </c>
      <c r="B1297" s="13" t="s">
        <v>404</v>
      </c>
      <c r="C1297" s="138">
        <v>46322</v>
      </c>
      <c r="D1297" s="138" t="s">
        <v>424</v>
      </c>
      <c r="E1297" s="28">
        <v>0.94611076000000005</v>
      </c>
      <c r="F1297" s="13"/>
      <c r="G1297" s="18">
        <v>25000000</v>
      </c>
      <c r="H1297" s="18">
        <v>23652769.02</v>
      </c>
      <c r="I1297" s="18">
        <v>25000000</v>
      </c>
      <c r="J1297" s="18">
        <v>23652769.02</v>
      </c>
      <c r="K1297" s="15">
        <v>90016068</v>
      </c>
      <c r="L1297" s="13" t="s">
        <v>102</v>
      </c>
      <c r="M1297" s="13" t="s">
        <v>103</v>
      </c>
      <c r="N1297" s="138" t="s">
        <v>342</v>
      </c>
      <c r="O1297" s="138" t="s">
        <v>342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2365</v>
      </c>
      <c r="V1297" s="13" t="s">
        <v>2365</v>
      </c>
      <c r="W1297" s="59">
        <f>+J1297/$W$2</f>
        <v>3.8710296668238497E-4</v>
      </c>
    </row>
    <row r="1298" spans="1:23">
      <c r="A1298" s="13" t="s">
        <v>174</v>
      </c>
      <c r="B1298" s="13" t="s">
        <v>404</v>
      </c>
      <c r="C1298" s="138">
        <v>46322</v>
      </c>
      <c r="D1298" s="138" t="s">
        <v>424</v>
      </c>
      <c r="E1298" s="28">
        <v>0.94303077000000002</v>
      </c>
      <c r="F1298" s="13"/>
      <c r="G1298" s="18">
        <v>250000000</v>
      </c>
      <c r="H1298" s="18">
        <v>235757693.58000001</v>
      </c>
      <c r="I1298" s="18">
        <v>250000000</v>
      </c>
      <c r="J1298" s="18">
        <v>235757693.58000001</v>
      </c>
      <c r="K1298" s="15">
        <v>70400476</v>
      </c>
      <c r="L1298" s="13" t="s">
        <v>102</v>
      </c>
      <c r="M1298" s="13" t="s">
        <v>103</v>
      </c>
      <c r="N1298" s="138" t="s">
        <v>639</v>
      </c>
      <c r="O1298" s="138" t="s">
        <v>639</v>
      </c>
      <c r="P1298" s="28">
        <v>35</v>
      </c>
      <c r="Q1298" s="13" t="s">
        <v>54</v>
      </c>
      <c r="R1298" s="13" t="s">
        <v>28</v>
      </c>
      <c r="S1298" s="13"/>
      <c r="T1298" s="13"/>
      <c r="U1298" s="13" t="s">
        <v>2141</v>
      </c>
      <c r="V1298" s="13" t="s">
        <v>2141</v>
      </c>
      <c r="W1298" s="59">
        <f>+J1298/$W$2</f>
        <v>3.8584278452068808E-3</v>
      </c>
    </row>
    <row r="1299" spans="1:23">
      <c r="A1299" s="13" t="s">
        <v>1124</v>
      </c>
      <c r="B1299" s="13" t="s">
        <v>404</v>
      </c>
      <c r="C1299" s="138">
        <v>46322</v>
      </c>
      <c r="D1299" s="138" t="s">
        <v>424</v>
      </c>
      <c r="E1299" s="28">
        <v>0.95863430999999999</v>
      </c>
      <c r="F1299" s="13"/>
      <c r="G1299" s="18">
        <v>19922304</v>
      </c>
      <c r="H1299" s="18">
        <v>19098204.140000001</v>
      </c>
      <c r="I1299" s="18">
        <v>19922304</v>
      </c>
      <c r="J1299" s="18">
        <v>19098204.140000001</v>
      </c>
      <c r="K1299" s="15">
        <v>67863887</v>
      </c>
      <c r="L1299" s="13" t="s">
        <v>102</v>
      </c>
      <c r="M1299" s="13" t="s">
        <v>103</v>
      </c>
      <c r="N1299" s="138" t="s">
        <v>382</v>
      </c>
      <c r="O1299" s="138" t="s">
        <v>382</v>
      </c>
      <c r="P1299" s="28">
        <v>25</v>
      </c>
      <c r="Q1299" s="13" t="s">
        <v>54</v>
      </c>
      <c r="R1299" s="13" t="s">
        <v>28</v>
      </c>
      <c r="S1299" s="13"/>
      <c r="T1299" s="13"/>
      <c r="U1299" s="13" t="s">
        <v>1112</v>
      </c>
      <c r="V1299" s="13" t="s">
        <v>1112</v>
      </c>
      <c r="W1299" s="59">
        <f>+J1299/$W$2</f>
        <v>3.1256262108882702E-4</v>
      </c>
    </row>
    <row r="1300" spans="1:23">
      <c r="A1300" s="13" t="s">
        <v>2682</v>
      </c>
      <c r="B1300" s="13" t="s">
        <v>404</v>
      </c>
      <c r="C1300" s="138">
        <v>46323</v>
      </c>
      <c r="D1300" s="138" t="s">
        <v>424</v>
      </c>
      <c r="E1300" s="28">
        <v>0.94687157</v>
      </c>
      <c r="F1300" s="13"/>
      <c r="G1300" s="18">
        <v>6714705.0300000003</v>
      </c>
      <c r="H1300" s="18">
        <v>6357963.2699999996</v>
      </c>
      <c r="I1300" s="18">
        <v>6714705.0300000003</v>
      </c>
      <c r="J1300" s="18">
        <v>6357963.2699999996</v>
      </c>
      <c r="K1300" s="15">
        <v>198201</v>
      </c>
      <c r="L1300" s="13" t="s">
        <v>102</v>
      </c>
      <c r="M1300" s="13" t="s">
        <v>103</v>
      </c>
      <c r="N1300" s="138" t="s">
        <v>424</v>
      </c>
      <c r="O1300" s="138" t="s">
        <v>424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2636</v>
      </c>
      <c r="V1300" s="13" t="s">
        <v>2636</v>
      </c>
      <c r="W1300" s="59">
        <f>+J1300/$W$2</f>
        <v>1.0405489698874323E-4</v>
      </c>
    </row>
    <row r="1301" spans="1:23">
      <c r="A1301" s="13" t="s">
        <v>2230</v>
      </c>
      <c r="B1301" s="13" t="s">
        <v>404</v>
      </c>
      <c r="C1301" s="138">
        <v>46323</v>
      </c>
      <c r="D1301" s="138" t="s">
        <v>424</v>
      </c>
      <c r="E1301" s="28">
        <v>0.95320179000000005</v>
      </c>
      <c r="F1301" s="13"/>
      <c r="G1301" s="18">
        <v>12995399.76</v>
      </c>
      <c r="H1301" s="18">
        <v>12387238.27</v>
      </c>
      <c r="I1301" s="18">
        <v>12995399.76</v>
      </c>
      <c r="J1301" s="18">
        <v>12387238.27</v>
      </c>
      <c r="K1301" s="15">
        <v>7564</v>
      </c>
      <c r="L1301" s="13" t="s">
        <v>102</v>
      </c>
      <c r="M1301" s="13" t="s">
        <v>103</v>
      </c>
      <c r="N1301" s="138" t="s">
        <v>639</v>
      </c>
      <c r="O1301" s="138" t="s">
        <v>639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2198</v>
      </c>
      <c r="V1301" s="13" t="s">
        <v>2198</v>
      </c>
      <c r="W1301" s="59">
        <f>+J1301/$W$2</f>
        <v>2.0273045744724285E-4</v>
      </c>
    </row>
    <row r="1302" spans="1:23">
      <c r="A1302" s="13" t="s">
        <v>2030</v>
      </c>
      <c r="B1302" s="13" t="s">
        <v>404</v>
      </c>
      <c r="C1302" s="138">
        <v>46323</v>
      </c>
      <c r="D1302" s="138" t="s">
        <v>424</v>
      </c>
      <c r="E1302" s="28">
        <v>0.94687158999999999</v>
      </c>
      <c r="F1302" s="13"/>
      <c r="G1302" s="18">
        <v>20000000</v>
      </c>
      <c r="H1302" s="18">
        <v>18937431.739999998</v>
      </c>
      <c r="I1302" s="18">
        <v>20000000</v>
      </c>
      <c r="J1302" s="18">
        <v>18937431.739999998</v>
      </c>
      <c r="K1302" s="15">
        <v>6645</v>
      </c>
      <c r="L1302" s="13" t="s">
        <v>102</v>
      </c>
      <c r="M1302" s="13" t="s">
        <v>103</v>
      </c>
      <c r="N1302" s="138" t="s">
        <v>173</v>
      </c>
      <c r="O1302" s="138" t="s">
        <v>173</v>
      </c>
      <c r="P1302" s="28">
        <v>32</v>
      </c>
      <c r="Q1302" s="13" t="s">
        <v>54</v>
      </c>
      <c r="R1302" s="13" t="s">
        <v>28</v>
      </c>
      <c r="S1302" s="13"/>
      <c r="T1302" s="13"/>
      <c r="U1302" s="13" t="s">
        <v>1997</v>
      </c>
      <c r="V1302" s="13" t="s">
        <v>1997</v>
      </c>
      <c r="W1302" s="59">
        <f>+J1302/$W$2</f>
        <v>3.0993140810281158E-4</v>
      </c>
    </row>
    <row r="1303" spans="1:23">
      <c r="A1303" s="13" t="s">
        <v>2030</v>
      </c>
      <c r="B1303" s="13" t="s">
        <v>404</v>
      </c>
      <c r="C1303" s="138">
        <v>46323</v>
      </c>
      <c r="D1303" s="138" t="s">
        <v>424</v>
      </c>
      <c r="E1303" s="28">
        <v>0.94687158999999999</v>
      </c>
      <c r="F1303" s="13"/>
      <c r="G1303" s="18">
        <v>20000000</v>
      </c>
      <c r="H1303" s="18">
        <v>18937431.739999998</v>
      </c>
      <c r="I1303" s="18">
        <v>20000000</v>
      </c>
      <c r="J1303" s="18">
        <v>18937431.739999998</v>
      </c>
      <c r="K1303" s="15">
        <v>6646</v>
      </c>
      <c r="L1303" s="13" t="s">
        <v>102</v>
      </c>
      <c r="M1303" s="13" t="s">
        <v>103</v>
      </c>
      <c r="N1303" s="138" t="s">
        <v>173</v>
      </c>
      <c r="O1303" s="138" t="s">
        <v>173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1998</v>
      </c>
      <c r="V1303" s="13" t="s">
        <v>1998</v>
      </c>
      <c r="W1303" s="59">
        <f>+J1303/$W$2</f>
        <v>3.0993140810281158E-4</v>
      </c>
    </row>
    <row r="1304" spans="1:23">
      <c r="A1304" s="13" t="s">
        <v>518</v>
      </c>
      <c r="B1304" s="13" t="s">
        <v>404</v>
      </c>
      <c r="C1304" s="138">
        <v>46323</v>
      </c>
      <c r="D1304" s="138" t="s">
        <v>424</v>
      </c>
      <c r="E1304" s="28">
        <v>0.94530203999999995</v>
      </c>
      <c r="F1304" s="13"/>
      <c r="G1304" s="18">
        <v>7954930.75</v>
      </c>
      <c r="H1304" s="18">
        <v>7519812.25</v>
      </c>
      <c r="I1304" s="18">
        <v>7954930.75</v>
      </c>
      <c r="J1304" s="18">
        <v>7519812.25</v>
      </c>
      <c r="K1304" s="15">
        <v>894</v>
      </c>
      <c r="L1304" s="13" t="s">
        <v>102</v>
      </c>
      <c r="M1304" s="13" t="s">
        <v>103</v>
      </c>
      <c r="N1304" s="138" t="s">
        <v>484</v>
      </c>
      <c r="O1304" s="138" t="s">
        <v>484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2068</v>
      </c>
      <c r="V1304" s="13" t="s">
        <v>2068</v>
      </c>
      <c r="W1304" s="59">
        <f>+J1304/$W$2</f>
        <v>1.2306980330328954E-4</v>
      </c>
    </row>
    <row r="1305" spans="1:23">
      <c r="A1305" s="13" t="s">
        <v>520</v>
      </c>
      <c r="B1305" s="13" t="s">
        <v>404</v>
      </c>
      <c r="C1305" s="138">
        <v>46323</v>
      </c>
      <c r="D1305" s="138" t="s">
        <v>424</v>
      </c>
      <c r="E1305" s="28">
        <v>0.93753218999999999</v>
      </c>
      <c r="F1305" s="13"/>
      <c r="G1305" s="18">
        <v>3511491.25</v>
      </c>
      <c r="H1305" s="18">
        <v>3292136.09</v>
      </c>
      <c r="I1305" s="18">
        <v>3511491.25</v>
      </c>
      <c r="J1305" s="18">
        <v>3292136.09</v>
      </c>
      <c r="K1305" s="15">
        <v>13270638</v>
      </c>
      <c r="L1305" s="13" t="s">
        <v>102</v>
      </c>
      <c r="M1305" s="13" t="s">
        <v>103</v>
      </c>
      <c r="N1305" s="138" t="s">
        <v>313</v>
      </c>
      <c r="O1305" s="138" t="s">
        <v>313</v>
      </c>
      <c r="P1305" s="28">
        <v>38</v>
      </c>
      <c r="Q1305" s="13" t="s">
        <v>54</v>
      </c>
      <c r="R1305" s="13" t="s">
        <v>28</v>
      </c>
      <c r="S1305" s="13"/>
      <c r="T1305" s="13"/>
      <c r="U1305" s="13" t="s">
        <v>643</v>
      </c>
      <c r="V1305" s="13" t="s">
        <v>643</v>
      </c>
      <c r="W1305" s="59">
        <f>+J1305/$W$2</f>
        <v>5.387934267161533E-5</v>
      </c>
    </row>
    <row r="1306" spans="1:23">
      <c r="A1306" s="13" t="s">
        <v>431</v>
      </c>
      <c r="B1306" s="13" t="s">
        <v>404</v>
      </c>
      <c r="C1306" s="138">
        <v>46323</v>
      </c>
      <c r="D1306" s="138" t="s">
        <v>424</v>
      </c>
      <c r="E1306" s="28">
        <v>0.95002613000000002</v>
      </c>
      <c r="F1306" s="13"/>
      <c r="G1306" s="18">
        <v>25000000</v>
      </c>
      <c r="H1306" s="18">
        <v>23750653.32</v>
      </c>
      <c r="I1306" s="18">
        <v>25000000</v>
      </c>
      <c r="J1306" s="18">
        <v>23750653.32</v>
      </c>
      <c r="K1306" s="15">
        <v>509760</v>
      </c>
      <c r="L1306" s="13" t="s">
        <v>102</v>
      </c>
      <c r="M1306" s="13" t="s">
        <v>103</v>
      </c>
      <c r="N1306" s="138" t="s">
        <v>342</v>
      </c>
      <c r="O1306" s="138" t="s">
        <v>342</v>
      </c>
      <c r="P1306" s="28">
        <v>30</v>
      </c>
      <c r="Q1306" s="13" t="s">
        <v>54</v>
      </c>
      <c r="R1306" s="13" t="s">
        <v>28</v>
      </c>
      <c r="S1306" s="13"/>
      <c r="T1306" s="13"/>
      <c r="U1306" s="13" t="s">
        <v>2378</v>
      </c>
      <c r="V1306" s="13" t="s">
        <v>2378</v>
      </c>
      <c r="W1306" s="59">
        <f>+J1306/$W$2</f>
        <v>3.8870494837381353E-4</v>
      </c>
    </row>
    <row r="1307" spans="1:23">
      <c r="A1307" s="13" t="s">
        <v>426</v>
      </c>
      <c r="B1307" s="13" t="s">
        <v>404</v>
      </c>
      <c r="C1307" s="138">
        <v>46323</v>
      </c>
      <c r="D1307" s="138" t="s">
        <v>424</v>
      </c>
      <c r="E1307" s="28">
        <v>0.95320176000000001</v>
      </c>
      <c r="F1307" s="13"/>
      <c r="G1307" s="18">
        <v>100000000</v>
      </c>
      <c r="H1307" s="18">
        <v>95320175.939999998</v>
      </c>
      <c r="I1307" s="18">
        <v>100000000</v>
      </c>
      <c r="J1307" s="18">
        <v>95320175.939999998</v>
      </c>
      <c r="K1307" s="15">
        <v>40627526</v>
      </c>
      <c r="L1307" s="13" t="s">
        <v>102</v>
      </c>
      <c r="M1307" s="13" t="s">
        <v>103</v>
      </c>
      <c r="N1307" s="138" t="s">
        <v>317</v>
      </c>
      <c r="O1307" s="138" t="s">
        <v>317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689</v>
      </c>
      <c r="V1307" s="13" t="s">
        <v>689</v>
      </c>
      <c r="W1307" s="59">
        <f>+J1307/$W$2</f>
        <v>1.5600170474696028E-3</v>
      </c>
    </row>
    <row r="1308" spans="1:23">
      <c r="A1308" s="13" t="s">
        <v>157</v>
      </c>
      <c r="B1308" s="13" t="s">
        <v>404</v>
      </c>
      <c r="C1308" s="138">
        <v>46323</v>
      </c>
      <c r="D1308" s="138" t="s">
        <v>424</v>
      </c>
      <c r="E1308" s="28">
        <v>0.95320174999999996</v>
      </c>
      <c r="F1308" s="13"/>
      <c r="G1308" s="18">
        <v>30000000</v>
      </c>
      <c r="H1308" s="18">
        <v>28596052.489999998</v>
      </c>
      <c r="I1308" s="18">
        <v>30000000</v>
      </c>
      <c r="J1308" s="18">
        <v>28596052.489999998</v>
      </c>
      <c r="K1308" s="15">
        <v>3329634</v>
      </c>
      <c r="L1308" s="13" t="s">
        <v>102</v>
      </c>
      <c r="M1308" s="13" t="s">
        <v>103</v>
      </c>
      <c r="N1308" s="138" t="s">
        <v>303</v>
      </c>
      <c r="O1308" s="138" t="s">
        <v>303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684</v>
      </c>
      <c r="V1308" s="13" t="s">
        <v>684</v>
      </c>
      <c r="W1308" s="59">
        <f>+J1308/$W$2</f>
        <v>4.6800510946198723E-4</v>
      </c>
    </row>
    <row r="1309" spans="1:23">
      <c r="A1309" s="13" t="s">
        <v>284</v>
      </c>
      <c r="B1309" s="13" t="s">
        <v>404</v>
      </c>
      <c r="C1309" s="138">
        <v>46323</v>
      </c>
      <c r="D1309" s="138" t="s">
        <v>424</v>
      </c>
      <c r="E1309" s="28">
        <v>0.95800536999999997</v>
      </c>
      <c r="F1309" s="13"/>
      <c r="G1309" s="18">
        <v>2750004</v>
      </c>
      <c r="H1309" s="18">
        <v>2634518.61</v>
      </c>
      <c r="I1309" s="18">
        <v>2750004</v>
      </c>
      <c r="J1309" s="18">
        <v>2634518.61</v>
      </c>
      <c r="K1309" s="15">
        <v>68693810</v>
      </c>
      <c r="L1309" s="13" t="s">
        <v>102</v>
      </c>
      <c r="M1309" s="13" t="s">
        <v>103</v>
      </c>
      <c r="N1309" s="138" t="s">
        <v>173</v>
      </c>
      <c r="O1309" s="138" t="s">
        <v>173</v>
      </c>
      <c r="P1309" s="28">
        <v>25</v>
      </c>
      <c r="Q1309" s="13" t="s">
        <v>54</v>
      </c>
      <c r="R1309" s="13" t="s">
        <v>28</v>
      </c>
      <c r="S1309" s="13"/>
      <c r="T1309" s="13"/>
      <c r="U1309" s="13" t="s">
        <v>1989</v>
      </c>
      <c r="V1309" s="13" t="s">
        <v>1989</v>
      </c>
      <c r="W1309" s="59">
        <f>+J1309/$W$2</f>
        <v>4.3116726369272814E-5</v>
      </c>
    </row>
    <row r="1310" spans="1:23">
      <c r="A1310" s="13" t="s">
        <v>447</v>
      </c>
      <c r="B1310" s="13" t="s">
        <v>404</v>
      </c>
      <c r="C1310" s="138">
        <v>46323</v>
      </c>
      <c r="D1310" s="138" t="s">
        <v>424</v>
      </c>
      <c r="E1310" s="28">
        <v>0.94373775999999998</v>
      </c>
      <c r="F1310" s="13"/>
      <c r="G1310" s="18">
        <v>4549416.66</v>
      </c>
      <c r="H1310" s="18">
        <v>4293456.28</v>
      </c>
      <c r="I1310" s="18">
        <v>4549416.66</v>
      </c>
      <c r="J1310" s="18">
        <v>4293456.28</v>
      </c>
      <c r="K1310" s="15">
        <v>50456546</v>
      </c>
      <c r="L1310" s="13" t="s">
        <v>102</v>
      </c>
      <c r="M1310" s="13" t="s">
        <v>103</v>
      </c>
      <c r="N1310" s="138" t="s">
        <v>343</v>
      </c>
      <c r="O1310" s="138" t="s">
        <v>343</v>
      </c>
      <c r="P1310" s="28">
        <v>34</v>
      </c>
      <c r="Q1310" s="13" t="s">
        <v>54</v>
      </c>
      <c r="R1310" s="13" t="s">
        <v>28</v>
      </c>
      <c r="S1310" s="13"/>
      <c r="T1310" s="13"/>
      <c r="U1310" s="13" t="s">
        <v>1430</v>
      </c>
      <c r="V1310" s="13" t="s">
        <v>1430</v>
      </c>
      <c r="W1310" s="59">
        <f>+J1310/$W$2</f>
        <v>7.0267022939418889E-5</v>
      </c>
    </row>
    <row r="1311" spans="1:23">
      <c r="A1311" s="13" t="s">
        <v>517</v>
      </c>
      <c r="B1311" s="13" t="s">
        <v>404</v>
      </c>
      <c r="C1311" s="138">
        <v>46323</v>
      </c>
      <c r="D1311" s="138" t="s">
        <v>424</v>
      </c>
      <c r="E1311" s="28">
        <v>0.94373777999999997</v>
      </c>
      <c r="F1311" s="13"/>
      <c r="G1311" s="18">
        <v>10000000</v>
      </c>
      <c r="H1311" s="18">
        <v>9437377.7599999998</v>
      </c>
      <c r="I1311" s="18">
        <v>10000000</v>
      </c>
      <c r="J1311" s="18">
        <v>9437377.7599999998</v>
      </c>
      <c r="K1311" s="15">
        <v>14284511</v>
      </c>
      <c r="L1311" s="13" t="s">
        <v>102</v>
      </c>
      <c r="M1311" s="13" t="s">
        <v>103</v>
      </c>
      <c r="N1311" s="138" t="s">
        <v>464</v>
      </c>
      <c r="O1311" s="138" t="s">
        <v>464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2549</v>
      </c>
      <c r="V1311" s="13" t="s">
        <v>2549</v>
      </c>
      <c r="W1311" s="59">
        <f>+J1311/$W$2</f>
        <v>1.5445282222598564E-4</v>
      </c>
    </row>
    <row r="1312" spans="1:23">
      <c r="A1312" s="13" t="s">
        <v>285</v>
      </c>
      <c r="B1312" s="13" t="s">
        <v>404</v>
      </c>
      <c r="C1312" s="138">
        <v>46323</v>
      </c>
      <c r="D1312" s="138" t="s">
        <v>424</v>
      </c>
      <c r="E1312" s="28">
        <v>0.95002613000000002</v>
      </c>
      <c r="F1312" s="13"/>
      <c r="G1312" s="18">
        <v>3000000</v>
      </c>
      <c r="H1312" s="18">
        <v>2850078.39</v>
      </c>
      <c r="I1312" s="18">
        <v>3000000</v>
      </c>
      <c r="J1312" s="18">
        <v>2850078.39</v>
      </c>
      <c r="K1312" s="15">
        <v>12759459</v>
      </c>
      <c r="L1312" s="13" t="s">
        <v>102</v>
      </c>
      <c r="M1312" s="13" t="s">
        <v>103</v>
      </c>
      <c r="N1312" s="138" t="s">
        <v>342</v>
      </c>
      <c r="O1312" s="138" t="s">
        <v>342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2397</v>
      </c>
      <c r="V1312" s="13" t="s">
        <v>2397</v>
      </c>
      <c r="W1312" s="59">
        <f>+J1312/$W$2</f>
        <v>4.6644593667382604E-5</v>
      </c>
    </row>
    <row r="1313" spans="1:29">
      <c r="A1313" s="13" t="s">
        <v>565</v>
      </c>
      <c r="B1313" s="13" t="s">
        <v>404</v>
      </c>
      <c r="C1313" s="138">
        <v>46323</v>
      </c>
      <c r="D1313" s="138" t="s">
        <v>424</v>
      </c>
      <c r="E1313" s="28">
        <v>0.95479762000000001</v>
      </c>
      <c r="F1313" s="13"/>
      <c r="G1313" s="18">
        <v>15000000</v>
      </c>
      <c r="H1313" s="18">
        <v>14321964.300000001</v>
      </c>
      <c r="I1313" s="18">
        <v>15000000</v>
      </c>
      <c r="J1313" s="18">
        <v>14321964.300000001</v>
      </c>
      <c r="K1313" s="15">
        <v>234</v>
      </c>
      <c r="L1313" s="13" t="s">
        <v>102</v>
      </c>
      <c r="M1313" s="13" t="s">
        <v>103</v>
      </c>
      <c r="N1313" s="138" t="s">
        <v>355</v>
      </c>
      <c r="O1313" s="138" t="s">
        <v>355</v>
      </c>
      <c r="P1313" s="28">
        <v>27</v>
      </c>
      <c r="Q1313" s="13" t="s">
        <v>54</v>
      </c>
      <c r="R1313" s="13" t="s">
        <v>28</v>
      </c>
      <c r="S1313" s="13"/>
      <c r="T1313" s="13"/>
      <c r="U1313" s="13" t="s">
        <v>1204</v>
      </c>
      <c r="V1313" s="13" t="s">
        <v>1204</v>
      </c>
      <c r="W1313" s="59">
        <f>+J1313/$W$2</f>
        <v>2.3439432670911895E-4</v>
      </c>
      <c r="AC1313"/>
    </row>
    <row r="1314" spans="1:29">
      <c r="A1314" s="13" t="s">
        <v>466</v>
      </c>
      <c r="B1314" s="13" t="s">
        <v>404</v>
      </c>
      <c r="C1314" s="138">
        <v>46323</v>
      </c>
      <c r="D1314" s="138" t="s">
        <v>424</v>
      </c>
      <c r="E1314" s="28">
        <v>0.95320174000000002</v>
      </c>
      <c r="F1314" s="13"/>
      <c r="G1314" s="18">
        <v>2500000</v>
      </c>
      <c r="H1314" s="18">
        <v>2383004.34</v>
      </c>
      <c r="I1314" s="18">
        <v>2500000</v>
      </c>
      <c r="J1314" s="18">
        <v>2383004.34</v>
      </c>
      <c r="K1314" s="15">
        <v>90031822</v>
      </c>
      <c r="L1314" s="13" t="s">
        <v>102</v>
      </c>
      <c r="M1314" s="13" t="s">
        <v>103</v>
      </c>
      <c r="N1314" s="138" t="s">
        <v>289</v>
      </c>
      <c r="O1314" s="138" t="s">
        <v>289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590</v>
      </c>
      <c r="V1314" s="13" t="s">
        <v>590</v>
      </c>
      <c r="W1314" s="59">
        <f>+J1314/$W$2</f>
        <v>3.9000425229324747E-5</v>
      </c>
    </row>
    <row r="1315" spans="1:29">
      <c r="A1315" s="13" t="s">
        <v>285</v>
      </c>
      <c r="B1315" s="13" t="s">
        <v>404</v>
      </c>
      <c r="C1315" s="138">
        <v>46323</v>
      </c>
      <c r="D1315" s="138" t="s">
        <v>424</v>
      </c>
      <c r="E1315" s="28">
        <v>0.95479760999999996</v>
      </c>
      <c r="F1315" s="13"/>
      <c r="G1315" s="18">
        <v>15000000</v>
      </c>
      <c r="H1315" s="18">
        <v>14321964.109999999</v>
      </c>
      <c r="I1315" s="18">
        <v>15000000</v>
      </c>
      <c r="J1315" s="18">
        <v>14321964.109999999</v>
      </c>
      <c r="K1315" s="15">
        <v>11349971</v>
      </c>
      <c r="L1315" s="13" t="s">
        <v>102</v>
      </c>
      <c r="M1315" s="13" t="s">
        <v>103</v>
      </c>
      <c r="N1315" s="138" t="s">
        <v>346</v>
      </c>
      <c r="O1315" s="138" t="s">
        <v>346</v>
      </c>
      <c r="P1315" s="28">
        <v>27</v>
      </c>
      <c r="Q1315" s="13" t="s">
        <v>54</v>
      </c>
      <c r="R1315" s="13" t="s">
        <v>28</v>
      </c>
      <c r="S1315" s="13"/>
      <c r="T1315" s="13"/>
      <c r="U1315" s="13" t="s">
        <v>1531</v>
      </c>
      <c r="V1315" s="13" t="s">
        <v>1531</v>
      </c>
      <c r="W1315" s="59">
        <f>+J1315/$W$2</f>
        <v>2.3439432359956486E-4</v>
      </c>
    </row>
    <row r="1316" spans="1:29">
      <c r="A1316" s="13" t="s">
        <v>285</v>
      </c>
      <c r="B1316" s="13" t="s">
        <v>404</v>
      </c>
      <c r="C1316" s="138">
        <v>46323</v>
      </c>
      <c r="D1316" s="138" t="s">
        <v>424</v>
      </c>
      <c r="E1316" s="28">
        <v>0.95479760999999996</v>
      </c>
      <c r="F1316" s="13"/>
      <c r="G1316" s="18">
        <v>15000000</v>
      </c>
      <c r="H1316" s="18">
        <v>14321964.109999999</v>
      </c>
      <c r="I1316" s="18">
        <v>15000000</v>
      </c>
      <c r="J1316" s="18">
        <v>14321964.109999999</v>
      </c>
      <c r="K1316" s="15">
        <v>11349970</v>
      </c>
      <c r="L1316" s="13" t="s">
        <v>102</v>
      </c>
      <c r="M1316" s="13" t="s">
        <v>103</v>
      </c>
      <c r="N1316" s="138" t="s">
        <v>346</v>
      </c>
      <c r="O1316" s="138" t="s">
        <v>346</v>
      </c>
      <c r="P1316" s="28">
        <v>27</v>
      </c>
      <c r="Q1316" s="13" t="s">
        <v>54</v>
      </c>
      <c r="R1316" s="13" t="s">
        <v>28</v>
      </c>
      <c r="S1316" s="13"/>
      <c r="T1316" s="13"/>
      <c r="U1316" s="13" t="s">
        <v>1532</v>
      </c>
      <c r="V1316" s="13" t="s">
        <v>1532</v>
      </c>
      <c r="W1316" s="59">
        <f>+J1316/$W$2</f>
        <v>2.3439432359956486E-4</v>
      </c>
    </row>
    <row r="1317" spans="1:29">
      <c r="A1317" s="13" t="s">
        <v>285</v>
      </c>
      <c r="B1317" s="13" t="s">
        <v>404</v>
      </c>
      <c r="C1317" s="138">
        <v>46323</v>
      </c>
      <c r="D1317" s="138" t="s">
        <v>424</v>
      </c>
      <c r="E1317" s="28">
        <v>0.95002613000000002</v>
      </c>
      <c r="F1317" s="13"/>
      <c r="G1317" s="18">
        <v>11000000</v>
      </c>
      <c r="H1317" s="18">
        <v>10450287.460000001</v>
      </c>
      <c r="I1317" s="18">
        <v>11000000</v>
      </c>
      <c r="J1317" s="18">
        <v>10450287.460000001</v>
      </c>
      <c r="K1317" s="15">
        <v>10679148</v>
      </c>
      <c r="L1317" s="13" t="s">
        <v>102</v>
      </c>
      <c r="M1317" s="13" t="s">
        <v>103</v>
      </c>
      <c r="N1317" s="138" t="s">
        <v>342</v>
      </c>
      <c r="O1317" s="138" t="s">
        <v>342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2409</v>
      </c>
      <c r="V1317" s="13" t="s">
        <v>2409</v>
      </c>
      <c r="W1317" s="59">
        <f>+J1317/$W$2</f>
        <v>1.7103017727138509E-4</v>
      </c>
    </row>
    <row r="1318" spans="1:29">
      <c r="A1318" s="13" t="s">
        <v>405</v>
      </c>
      <c r="B1318" s="13" t="s">
        <v>404</v>
      </c>
      <c r="C1318" s="138">
        <v>46323</v>
      </c>
      <c r="D1318" s="138" t="s">
        <v>424</v>
      </c>
      <c r="E1318" s="28">
        <v>0.95002607999999999</v>
      </c>
      <c r="F1318" s="13"/>
      <c r="G1318" s="18">
        <v>2500000</v>
      </c>
      <c r="H1318" s="18">
        <v>2375065.2000000002</v>
      </c>
      <c r="I1318" s="18">
        <v>2500000</v>
      </c>
      <c r="J1318" s="18">
        <v>2375065.2000000002</v>
      </c>
      <c r="K1318" s="15">
        <v>896</v>
      </c>
      <c r="L1318" s="13" t="s">
        <v>102</v>
      </c>
      <c r="M1318" s="13" t="s">
        <v>103</v>
      </c>
      <c r="N1318" s="138" t="s">
        <v>484</v>
      </c>
      <c r="O1318" s="138" t="s">
        <v>484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2089</v>
      </c>
      <c r="V1318" s="13" t="s">
        <v>2089</v>
      </c>
      <c r="W1318" s="59">
        <f>+J1318/$W$2</f>
        <v>3.8870492677059596E-5</v>
      </c>
    </row>
    <row r="1319" spans="1:29">
      <c r="A1319" s="13" t="s">
        <v>405</v>
      </c>
      <c r="B1319" s="13" t="s">
        <v>404</v>
      </c>
      <c r="C1319" s="138">
        <v>46323</v>
      </c>
      <c r="D1319" s="138" t="s">
        <v>424</v>
      </c>
      <c r="E1319" s="28">
        <v>0.95002615999999995</v>
      </c>
      <c r="F1319" s="13"/>
      <c r="G1319" s="18">
        <v>3300000</v>
      </c>
      <c r="H1319" s="18">
        <v>3135086.34</v>
      </c>
      <c r="I1319" s="18">
        <v>3300000</v>
      </c>
      <c r="J1319" s="18">
        <v>3135086.34</v>
      </c>
      <c r="K1319" s="15">
        <v>928</v>
      </c>
      <c r="L1319" s="13" t="s">
        <v>102</v>
      </c>
      <c r="M1319" s="13" t="s">
        <v>103</v>
      </c>
      <c r="N1319" s="138" t="s">
        <v>422</v>
      </c>
      <c r="O1319" s="138" t="s">
        <v>422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2257</v>
      </c>
      <c r="V1319" s="13" t="s">
        <v>2257</v>
      </c>
      <c r="W1319" s="59">
        <f>+J1319/$W$2</f>
        <v>5.1309054850755068E-5</v>
      </c>
    </row>
    <row r="1320" spans="1:29">
      <c r="A1320" s="13" t="s">
        <v>375</v>
      </c>
      <c r="B1320" s="13" t="s">
        <v>404</v>
      </c>
      <c r="C1320" s="138">
        <v>46323</v>
      </c>
      <c r="D1320" s="138" t="s">
        <v>424</v>
      </c>
      <c r="E1320" s="28">
        <v>0.94373775999999998</v>
      </c>
      <c r="F1320" s="13"/>
      <c r="G1320" s="18">
        <v>1020845.65</v>
      </c>
      <c r="H1320" s="18">
        <v>963410.59</v>
      </c>
      <c r="I1320" s="18">
        <v>1020845.65</v>
      </c>
      <c r="J1320" s="18">
        <v>963410.59</v>
      </c>
      <c r="K1320" s="15">
        <v>2905</v>
      </c>
      <c r="L1320" s="13" t="s">
        <v>102</v>
      </c>
      <c r="M1320" s="13" t="s">
        <v>103</v>
      </c>
      <c r="N1320" s="138" t="s">
        <v>343</v>
      </c>
      <c r="O1320" s="138" t="s">
        <v>343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1446</v>
      </c>
      <c r="V1320" s="13" t="s">
        <v>1446</v>
      </c>
      <c r="W1320" s="59">
        <f>+J1320/$W$2</f>
        <v>1.5767248951143178E-5</v>
      </c>
    </row>
    <row r="1321" spans="1:29">
      <c r="A1321" s="13" t="s">
        <v>375</v>
      </c>
      <c r="B1321" s="13" t="s">
        <v>404</v>
      </c>
      <c r="C1321" s="138">
        <v>46323</v>
      </c>
      <c r="D1321" s="138" t="s">
        <v>424</v>
      </c>
      <c r="E1321" s="28">
        <v>0.94373777000000003</v>
      </c>
      <c r="F1321" s="13"/>
      <c r="G1321" s="18">
        <v>990902.64</v>
      </c>
      <c r="H1321" s="18">
        <v>935152.25</v>
      </c>
      <c r="I1321" s="18">
        <v>990902.64</v>
      </c>
      <c r="J1321" s="18">
        <v>935152.25</v>
      </c>
      <c r="K1321" s="15">
        <v>2955</v>
      </c>
      <c r="L1321" s="13" t="s">
        <v>102</v>
      </c>
      <c r="M1321" s="13" t="s">
        <v>103</v>
      </c>
      <c r="N1321" s="138" t="s">
        <v>343</v>
      </c>
      <c r="O1321" s="138" t="s">
        <v>343</v>
      </c>
      <c r="P1321" s="28">
        <v>34</v>
      </c>
      <c r="Q1321" s="13" t="s">
        <v>54</v>
      </c>
      <c r="R1321" s="13" t="s">
        <v>28</v>
      </c>
      <c r="S1321" s="13"/>
      <c r="T1321" s="13"/>
      <c r="U1321" s="13" t="s">
        <v>1447</v>
      </c>
      <c r="V1321" s="13" t="s">
        <v>1447</v>
      </c>
      <c r="W1321" s="59">
        <f>+J1321/$W$2</f>
        <v>1.5304770869263209E-5</v>
      </c>
    </row>
    <row r="1322" spans="1:29">
      <c r="A1322" s="13" t="s">
        <v>427</v>
      </c>
      <c r="B1322" s="13" t="s">
        <v>404</v>
      </c>
      <c r="C1322" s="138">
        <v>46323</v>
      </c>
      <c r="D1322" s="138" t="s">
        <v>424</v>
      </c>
      <c r="E1322" s="28">
        <v>0.94530210000000003</v>
      </c>
      <c r="F1322" s="13"/>
      <c r="G1322" s="18">
        <v>100000000</v>
      </c>
      <c r="H1322" s="18">
        <v>94530210.239999995</v>
      </c>
      <c r="I1322" s="18">
        <v>100000000</v>
      </c>
      <c r="J1322" s="18">
        <v>94530210.239999995</v>
      </c>
      <c r="K1322" s="15">
        <v>2163</v>
      </c>
      <c r="L1322" s="13" t="s">
        <v>102</v>
      </c>
      <c r="M1322" s="13" t="s">
        <v>103</v>
      </c>
      <c r="N1322" s="138" t="s">
        <v>371</v>
      </c>
      <c r="O1322" s="138" t="s">
        <v>371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2115</v>
      </c>
      <c r="V1322" s="13" t="s">
        <v>2115</v>
      </c>
      <c r="W1322" s="59">
        <f>+J1322/$W$2</f>
        <v>1.5470884104128271E-3</v>
      </c>
    </row>
    <row r="1323" spans="1:29">
      <c r="A1323" s="13" t="s">
        <v>2689</v>
      </c>
      <c r="B1323" s="13" t="s">
        <v>404</v>
      </c>
      <c r="C1323" s="138">
        <v>46323</v>
      </c>
      <c r="D1323" s="138" t="s">
        <v>424</v>
      </c>
      <c r="E1323" s="28">
        <v>0.94687157</v>
      </c>
      <c r="F1323" s="13"/>
      <c r="G1323" s="18">
        <v>12000000</v>
      </c>
      <c r="H1323" s="18">
        <v>11362458.800000001</v>
      </c>
      <c r="I1323" s="18">
        <v>12000000</v>
      </c>
      <c r="J1323" s="18">
        <v>11362458.800000001</v>
      </c>
      <c r="K1323" s="15">
        <v>68962745</v>
      </c>
      <c r="L1323" s="13" t="s">
        <v>102</v>
      </c>
      <c r="M1323" s="13" t="s">
        <v>103</v>
      </c>
      <c r="N1323" s="138" t="s">
        <v>424</v>
      </c>
      <c r="O1323" s="138" t="s">
        <v>424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2659</v>
      </c>
      <c r="V1323" s="13" t="s">
        <v>2659</v>
      </c>
      <c r="W1323" s="59">
        <f>+J1323/$W$2</f>
        <v>1.8595884086836494E-4</v>
      </c>
    </row>
    <row r="1324" spans="1:29">
      <c r="A1324" s="13" t="s">
        <v>2690</v>
      </c>
      <c r="B1324" s="13" t="s">
        <v>404</v>
      </c>
      <c r="C1324" s="138">
        <v>46323</v>
      </c>
      <c r="D1324" s="138" t="s">
        <v>424</v>
      </c>
      <c r="E1324" s="28">
        <v>0.94687157</v>
      </c>
      <c r="F1324" s="13"/>
      <c r="G1324" s="18">
        <v>13264589.890000001</v>
      </c>
      <c r="H1324" s="18">
        <v>12559863.01</v>
      </c>
      <c r="I1324" s="18">
        <v>13264589.890000001</v>
      </c>
      <c r="J1324" s="18">
        <v>12559863.01</v>
      </c>
      <c r="K1324" s="15">
        <v>10769580</v>
      </c>
      <c r="L1324" s="13" t="s">
        <v>102</v>
      </c>
      <c r="M1324" s="13" t="s">
        <v>103</v>
      </c>
      <c r="N1324" s="138" t="s">
        <v>424</v>
      </c>
      <c r="O1324" s="138" t="s">
        <v>424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2663</v>
      </c>
      <c r="V1324" s="13" t="s">
        <v>2663</v>
      </c>
      <c r="W1324" s="59">
        <f>+J1324/$W$2</f>
        <v>2.0555564670606796E-4</v>
      </c>
    </row>
    <row r="1325" spans="1:29">
      <c r="A1325" s="13" t="s">
        <v>413</v>
      </c>
      <c r="B1325" s="13" t="s">
        <v>404</v>
      </c>
      <c r="C1325" s="138">
        <v>46323</v>
      </c>
      <c r="D1325" s="138" t="s">
        <v>424</v>
      </c>
      <c r="E1325" s="28">
        <v>0.94687160000000004</v>
      </c>
      <c r="F1325" s="13"/>
      <c r="G1325" s="18">
        <v>10655603.279999999</v>
      </c>
      <c r="H1325" s="18">
        <v>10089488.119999999</v>
      </c>
      <c r="I1325" s="18">
        <v>10655603.279999999</v>
      </c>
      <c r="J1325" s="18">
        <v>10089488.119999999</v>
      </c>
      <c r="K1325" s="15">
        <v>30831</v>
      </c>
      <c r="L1325" s="13" t="s">
        <v>102</v>
      </c>
      <c r="M1325" s="13" t="s">
        <v>103</v>
      </c>
      <c r="N1325" s="138" t="s">
        <v>421</v>
      </c>
      <c r="O1325" s="138" t="s">
        <v>421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1367</v>
      </c>
      <c r="V1325" s="13" t="s">
        <v>1367</v>
      </c>
      <c r="W1325" s="59">
        <f>+J1325/$W$2</f>
        <v>1.6512530859520813E-4</v>
      </c>
    </row>
    <row r="1326" spans="1:29">
      <c r="A1326" s="13" t="s">
        <v>2224</v>
      </c>
      <c r="B1326" s="13" t="s">
        <v>404</v>
      </c>
      <c r="C1326" s="138">
        <v>46323</v>
      </c>
      <c r="D1326" s="138" t="s">
        <v>424</v>
      </c>
      <c r="E1326" s="28">
        <v>0.95320178</v>
      </c>
      <c r="F1326" s="13"/>
      <c r="G1326" s="18">
        <v>5225717</v>
      </c>
      <c r="H1326" s="18">
        <v>4981162.7699999996</v>
      </c>
      <c r="I1326" s="18">
        <v>5225717</v>
      </c>
      <c r="J1326" s="18">
        <v>4981162.7699999996</v>
      </c>
      <c r="K1326" s="15">
        <v>3175</v>
      </c>
      <c r="L1326" s="13" t="s">
        <v>102</v>
      </c>
      <c r="M1326" s="13" t="s">
        <v>103</v>
      </c>
      <c r="N1326" s="138" t="s">
        <v>639</v>
      </c>
      <c r="O1326" s="138" t="s">
        <v>639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2195</v>
      </c>
      <c r="V1326" s="13" t="s">
        <v>2195</v>
      </c>
      <c r="W1326" s="59">
        <f>+J1326/$W$2</f>
        <v>8.1522078204222296E-5</v>
      </c>
    </row>
    <row r="1327" spans="1:29">
      <c r="A1327" s="13" t="s">
        <v>2224</v>
      </c>
      <c r="B1327" s="13" t="s">
        <v>404</v>
      </c>
      <c r="C1327" s="138">
        <v>46323</v>
      </c>
      <c r="D1327" s="138" t="s">
        <v>424</v>
      </c>
      <c r="E1327" s="28">
        <v>0.94687157</v>
      </c>
      <c r="F1327" s="13"/>
      <c r="G1327" s="18">
        <v>5444206</v>
      </c>
      <c r="H1327" s="18">
        <v>5154963.8600000003</v>
      </c>
      <c r="I1327" s="18">
        <v>5444206</v>
      </c>
      <c r="J1327" s="18">
        <v>5154963.8600000003</v>
      </c>
      <c r="K1327" s="15">
        <v>3441</v>
      </c>
      <c r="L1327" s="13" t="s">
        <v>102</v>
      </c>
      <c r="M1327" s="13" t="s">
        <v>103</v>
      </c>
      <c r="N1327" s="138" t="s">
        <v>424</v>
      </c>
      <c r="O1327" s="138" t="s">
        <v>424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2642</v>
      </c>
      <c r="V1327" s="13" t="s">
        <v>2642</v>
      </c>
      <c r="W1327" s="59">
        <f>+J1327/$W$2</f>
        <v>8.4366519694127493E-5</v>
      </c>
    </row>
    <row r="1328" spans="1:29">
      <c r="A1328" s="13" t="s">
        <v>2342</v>
      </c>
      <c r="B1328" s="13" t="s">
        <v>404</v>
      </c>
      <c r="C1328" s="138">
        <v>46323</v>
      </c>
      <c r="D1328" s="138" t="s">
        <v>424</v>
      </c>
      <c r="E1328" s="28">
        <v>0.94373775999999998</v>
      </c>
      <c r="F1328" s="13"/>
      <c r="G1328" s="18">
        <v>7000000</v>
      </c>
      <c r="H1328" s="18">
        <v>6606164.3499999996</v>
      </c>
      <c r="I1328" s="18">
        <v>7000000</v>
      </c>
      <c r="J1328" s="18">
        <v>6606164.3499999996</v>
      </c>
      <c r="K1328" s="15">
        <v>69017379</v>
      </c>
      <c r="L1328" s="13" t="s">
        <v>102</v>
      </c>
      <c r="M1328" s="13" t="s">
        <v>103</v>
      </c>
      <c r="N1328" s="138" t="s">
        <v>535</v>
      </c>
      <c r="O1328" s="138" t="s">
        <v>535</v>
      </c>
      <c r="P1328" s="28">
        <v>34</v>
      </c>
      <c r="Q1328" s="13" t="s">
        <v>54</v>
      </c>
      <c r="R1328" s="13" t="s">
        <v>28</v>
      </c>
      <c r="S1328" s="13"/>
      <c r="T1328" s="13"/>
      <c r="U1328" s="13" t="s">
        <v>2338</v>
      </c>
      <c r="V1328" s="13" t="s">
        <v>2338</v>
      </c>
      <c r="W1328" s="59">
        <f>+J1328/$W$2</f>
        <v>1.0811697421617188E-4</v>
      </c>
    </row>
    <row r="1329" spans="1:29">
      <c r="A1329" s="13" t="s">
        <v>448</v>
      </c>
      <c r="B1329" s="13" t="s">
        <v>404</v>
      </c>
      <c r="C1329" s="138">
        <v>46323</v>
      </c>
      <c r="D1329" s="138" t="s">
        <v>424</v>
      </c>
      <c r="E1329" s="28">
        <v>0.94373775000000004</v>
      </c>
      <c r="F1329" s="13"/>
      <c r="G1329" s="18">
        <v>3000000</v>
      </c>
      <c r="H1329" s="18">
        <v>2831213.26</v>
      </c>
      <c r="I1329" s="18">
        <v>3000000</v>
      </c>
      <c r="J1329" s="18">
        <v>2831213.26</v>
      </c>
      <c r="K1329" s="15">
        <v>4564</v>
      </c>
      <c r="L1329" s="13" t="s">
        <v>102</v>
      </c>
      <c r="M1329" s="13" t="s">
        <v>103</v>
      </c>
      <c r="N1329" s="138" t="s">
        <v>343</v>
      </c>
      <c r="O1329" s="138" t="s">
        <v>343</v>
      </c>
      <c r="P1329" s="28">
        <v>34</v>
      </c>
      <c r="Q1329" s="13" t="s">
        <v>54</v>
      </c>
      <c r="R1329" s="13" t="s">
        <v>28</v>
      </c>
      <c r="S1329" s="13"/>
      <c r="T1329" s="13"/>
      <c r="U1329" s="13" t="s">
        <v>1453</v>
      </c>
      <c r="V1329" s="13" t="s">
        <v>1453</v>
      </c>
      <c r="W1329" s="59">
        <f>+J1329/$W$2</f>
        <v>4.6335845554902662E-5</v>
      </c>
      <c r="AC1329" s="56"/>
    </row>
    <row r="1330" spans="1:29">
      <c r="A1330" s="13" t="s">
        <v>2043</v>
      </c>
      <c r="B1330" s="13" t="s">
        <v>404</v>
      </c>
      <c r="C1330" s="138">
        <v>46323</v>
      </c>
      <c r="D1330" s="138" t="s">
        <v>424</v>
      </c>
      <c r="E1330" s="28">
        <v>0.95002615000000001</v>
      </c>
      <c r="F1330" s="13"/>
      <c r="G1330" s="18">
        <v>54154566.950000003</v>
      </c>
      <c r="H1330" s="18">
        <v>51448255</v>
      </c>
      <c r="I1330" s="18">
        <v>54154566.950000003</v>
      </c>
      <c r="J1330" s="18">
        <v>51448255</v>
      </c>
      <c r="K1330" s="15">
        <v>40294033</v>
      </c>
      <c r="L1330" s="13" t="s">
        <v>102</v>
      </c>
      <c r="M1330" s="13" t="s">
        <v>103</v>
      </c>
      <c r="N1330" s="138" t="s">
        <v>424</v>
      </c>
      <c r="O1330" s="138" t="s">
        <v>424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2676</v>
      </c>
      <c r="V1330" s="13" t="s">
        <v>2676</v>
      </c>
      <c r="W1330" s="59">
        <f>+J1330/$W$2</f>
        <v>8.4200594544730578E-4</v>
      </c>
    </row>
    <row r="1331" spans="1:29">
      <c r="A1331" s="13" t="s">
        <v>2043</v>
      </c>
      <c r="B1331" s="13" t="s">
        <v>404</v>
      </c>
      <c r="C1331" s="138">
        <v>46323</v>
      </c>
      <c r="D1331" s="138" t="s">
        <v>424</v>
      </c>
      <c r="E1331" s="28">
        <v>0.95002615000000001</v>
      </c>
      <c r="F1331" s="13"/>
      <c r="G1331" s="18">
        <v>54154566.950000003</v>
      </c>
      <c r="H1331" s="18">
        <v>51448255</v>
      </c>
      <c r="I1331" s="18">
        <v>54154566.950000003</v>
      </c>
      <c r="J1331" s="18">
        <v>51448255</v>
      </c>
      <c r="K1331" s="15">
        <v>40294032</v>
      </c>
      <c r="L1331" s="13" t="s">
        <v>102</v>
      </c>
      <c r="M1331" s="13" t="s">
        <v>103</v>
      </c>
      <c r="N1331" s="138" t="s">
        <v>424</v>
      </c>
      <c r="O1331" s="138" t="s">
        <v>424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2677</v>
      </c>
      <c r="V1331" s="13" t="s">
        <v>2677</v>
      </c>
      <c r="W1331" s="59">
        <f>+J1331/$W$2</f>
        <v>8.4200594544730578E-4</v>
      </c>
    </row>
    <row r="1332" spans="1:29">
      <c r="A1332" s="13" t="s">
        <v>1001</v>
      </c>
      <c r="B1332" s="13" t="s">
        <v>404</v>
      </c>
      <c r="C1332" s="138">
        <v>46323</v>
      </c>
      <c r="D1332" s="138" t="s">
        <v>424</v>
      </c>
      <c r="E1332" s="28">
        <v>0.94373786999999998</v>
      </c>
      <c r="F1332" s="13"/>
      <c r="G1332" s="18">
        <v>50000000</v>
      </c>
      <c r="H1332" s="18">
        <v>47186893.420000002</v>
      </c>
      <c r="I1332" s="18">
        <v>50000000</v>
      </c>
      <c r="J1332" s="18">
        <v>47186893.420000002</v>
      </c>
      <c r="K1332" s="15">
        <v>377</v>
      </c>
      <c r="L1332" s="13" t="s">
        <v>102</v>
      </c>
      <c r="M1332" s="13" t="s">
        <v>103</v>
      </c>
      <c r="N1332" s="138" t="s">
        <v>345</v>
      </c>
      <c r="O1332" s="138" t="s">
        <v>345</v>
      </c>
      <c r="P1332" s="28">
        <v>34</v>
      </c>
      <c r="Q1332" s="13" t="s">
        <v>54</v>
      </c>
      <c r="R1332" s="13" t="s">
        <v>28</v>
      </c>
      <c r="S1332" s="13"/>
      <c r="T1332" s="13"/>
      <c r="U1332" s="13" t="s">
        <v>2433</v>
      </c>
      <c r="V1332" s="13" t="s">
        <v>2433</v>
      </c>
      <c r="W1332" s="59">
        <f>+J1332/$W$2</f>
        <v>7.7226418674118983E-4</v>
      </c>
      <c r="AC1332" s="56"/>
    </row>
    <row r="1333" spans="1:29">
      <c r="A1333" s="13" t="s">
        <v>1905</v>
      </c>
      <c r="B1333" s="13" t="s">
        <v>404</v>
      </c>
      <c r="C1333" s="138">
        <v>46323</v>
      </c>
      <c r="D1333" s="138" t="s">
        <v>424</v>
      </c>
      <c r="E1333" s="28">
        <v>0.94217877000000005</v>
      </c>
      <c r="F1333" s="13"/>
      <c r="G1333" s="18">
        <v>763324.59</v>
      </c>
      <c r="H1333" s="18">
        <v>719188.22</v>
      </c>
      <c r="I1333" s="18">
        <v>763324.59</v>
      </c>
      <c r="J1333" s="18">
        <v>719188.22</v>
      </c>
      <c r="K1333" s="15">
        <v>118472</v>
      </c>
      <c r="L1333" s="13" t="s">
        <v>102</v>
      </c>
      <c r="M1333" s="13" t="s">
        <v>103</v>
      </c>
      <c r="N1333" s="138" t="s">
        <v>424</v>
      </c>
      <c r="O1333" s="138" t="s">
        <v>424</v>
      </c>
      <c r="P1333" s="28">
        <v>35</v>
      </c>
      <c r="Q1333" s="13" t="s">
        <v>54</v>
      </c>
      <c r="R1333" s="13" t="s">
        <v>28</v>
      </c>
      <c r="S1333" s="13"/>
      <c r="T1333" s="13"/>
      <c r="U1333" s="13" t="s">
        <v>2631</v>
      </c>
      <c r="V1333" s="13" t="s">
        <v>2631</v>
      </c>
      <c r="W1333" s="59">
        <f>+J1333/$W$2</f>
        <v>1.1770287585762918E-5</v>
      </c>
    </row>
    <row r="1334" spans="1:29">
      <c r="A1334" s="13" t="s">
        <v>318</v>
      </c>
      <c r="B1334" s="13" t="s">
        <v>404</v>
      </c>
      <c r="C1334" s="138">
        <v>46324</v>
      </c>
      <c r="D1334" s="138" t="s">
        <v>424</v>
      </c>
      <c r="E1334" s="28">
        <v>0.96229905999999998</v>
      </c>
      <c r="F1334" s="13"/>
      <c r="G1334" s="18">
        <v>13000000</v>
      </c>
      <c r="H1334" s="18">
        <v>12509887.83</v>
      </c>
      <c r="I1334" s="18">
        <v>13000000</v>
      </c>
      <c r="J1334" s="18">
        <v>12509887.83</v>
      </c>
      <c r="K1334" s="15">
        <v>34114</v>
      </c>
      <c r="L1334" s="13" t="s">
        <v>102</v>
      </c>
      <c r="M1334" s="13" t="s">
        <v>103</v>
      </c>
      <c r="N1334" s="138" t="s">
        <v>163</v>
      </c>
      <c r="O1334" s="138" t="s">
        <v>163</v>
      </c>
      <c r="P1334" s="28">
        <v>22</v>
      </c>
      <c r="Q1334" s="13" t="s">
        <v>54</v>
      </c>
      <c r="R1334" s="13" t="s">
        <v>28</v>
      </c>
      <c r="S1334" s="13"/>
      <c r="T1334" s="13"/>
      <c r="U1334" s="13" t="s">
        <v>1145</v>
      </c>
      <c r="V1334" s="13" t="s">
        <v>1145</v>
      </c>
      <c r="W1334" s="59">
        <f>+J1334/$W$2</f>
        <v>2.0473774921499078E-4</v>
      </c>
    </row>
    <row r="1335" spans="1:29">
      <c r="A1335" s="13" t="s">
        <v>744</v>
      </c>
      <c r="B1335" s="13" t="s">
        <v>404</v>
      </c>
      <c r="C1335" s="138">
        <v>46324</v>
      </c>
      <c r="D1335" s="138" t="s">
        <v>424</v>
      </c>
      <c r="E1335" s="28">
        <v>0.93505837999999997</v>
      </c>
      <c r="F1335" s="13"/>
      <c r="G1335" s="18">
        <v>3750000</v>
      </c>
      <c r="H1335" s="18">
        <v>3506468.92</v>
      </c>
      <c r="I1335" s="18">
        <v>3750000</v>
      </c>
      <c r="J1335" s="18">
        <v>3506468.92</v>
      </c>
      <c r="K1335" s="15">
        <v>66918205</v>
      </c>
      <c r="L1335" s="13" t="s">
        <v>102</v>
      </c>
      <c r="M1335" s="13" t="s">
        <v>103</v>
      </c>
      <c r="N1335" s="138" t="s">
        <v>322</v>
      </c>
      <c r="O1335" s="138" t="s">
        <v>322</v>
      </c>
      <c r="P1335" s="28">
        <v>39</v>
      </c>
      <c r="Q1335" s="13" t="s">
        <v>54</v>
      </c>
      <c r="R1335" s="13" t="s">
        <v>28</v>
      </c>
      <c r="S1335" s="13"/>
      <c r="T1335" s="13"/>
      <c r="U1335" s="13" t="s">
        <v>741</v>
      </c>
      <c r="V1335" s="13" t="s">
        <v>741</v>
      </c>
      <c r="W1335" s="59">
        <f>+J1335/$W$2</f>
        <v>5.7387129615303636E-5</v>
      </c>
    </row>
    <row r="1336" spans="1:29">
      <c r="A1336" s="13" t="s">
        <v>894</v>
      </c>
      <c r="B1336" s="13" t="s">
        <v>404</v>
      </c>
      <c r="C1336" s="138">
        <v>46324</v>
      </c>
      <c r="D1336" s="138" t="s">
        <v>424</v>
      </c>
      <c r="E1336" s="28">
        <v>0.96894082000000004</v>
      </c>
      <c r="F1336" s="13"/>
      <c r="G1336" s="18">
        <v>362000000</v>
      </c>
      <c r="H1336" s="18">
        <v>350756577.49000001</v>
      </c>
      <c r="I1336" s="18">
        <v>362000000</v>
      </c>
      <c r="J1336" s="18">
        <v>350756577.49000001</v>
      </c>
      <c r="K1336" s="15">
        <v>159275</v>
      </c>
      <c r="L1336" s="13" t="s">
        <v>102</v>
      </c>
      <c r="M1336" s="13" t="s">
        <v>103</v>
      </c>
      <c r="N1336" s="138" t="s">
        <v>429</v>
      </c>
      <c r="O1336" s="138" t="s">
        <v>429</v>
      </c>
      <c r="P1336" s="28">
        <v>18</v>
      </c>
      <c r="Q1336" s="13" t="s">
        <v>54</v>
      </c>
      <c r="R1336" s="13" t="s">
        <v>28</v>
      </c>
      <c r="S1336" s="13"/>
      <c r="T1336" s="13"/>
      <c r="U1336" s="13" t="s">
        <v>1975</v>
      </c>
      <c r="V1336" s="13" t="s">
        <v>1975</v>
      </c>
      <c r="W1336" s="59">
        <f>+J1336/$W$2</f>
        <v>5.74050808236992E-3</v>
      </c>
    </row>
    <row r="1337" spans="1:29">
      <c r="A1337" s="13" t="s">
        <v>431</v>
      </c>
      <c r="B1337" s="13" t="s">
        <v>404</v>
      </c>
      <c r="C1337" s="138">
        <v>46324</v>
      </c>
      <c r="D1337" s="138" t="s">
        <v>424</v>
      </c>
      <c r="E1337" s="28">
        <v>0.94928484999999996</v>
      </c>
      <c r="F1337" s="13"/>
      <c r="G1337" s="18">
        <v>3000000</v>
      </c>
      <c r="H1337" s="18">
        <v>2847854.55</v>
      </c>
      <c r="I1337" s="18">
        <v>3000000</v>
      </c>
      <c r="J1337" s="18">
        <v>2847854.55</v>
      </c>
      <c r="K1337" s="15">
        <v>3792078</v>
      </c>
      <c r="L1337" s="13" t="s">
        <v>102</v>
      </c>
      <c r="M1337" s="13" t="s">
        <v>103</v>
      </c>
      <c r="N1337" s="138" t="s">
        <v>345</v>
      </c>
      <c r="O1337" s="138" t="s">
        <v>345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2415</v>
      </c>
      <c r="V1337" s="13" t="s">
        <v>2415</v>
      </c>
      <c r="W1337" s="59">
        <f>+J1337/$W$2</f>
        <v>4.6608198137510425E-5</v>
      </c>
    </row>
    <row r="1338" spans="1:29">
      <c r="A1338" s="13" t="s">
        <v>742</v>
      </c>
      <c r="B1338" s="13" t="s">
        <v>404</v>
      </c>
      <c r="C1338" s="138">
        <v>46324</v>
      </c>
      <c r="D1338" s="138" t="s">
        <v>424</v>
      </c>
      <c r="E1338" s="28">
        <v>0.94608621999999998</v>
      </c>
      <c r="F1338" s="13"/>
      <c r="G1338" s="18">
        <v>100000000</v>
      </c>
      <c r="H1338" s="18">
        <v>94608621.590000004</v>
      </c>
      <c r="I1338" s="18">
        <v>100000000</v>
      </c>
      <c r="J1338" s="18">
        <v>94608621.590000004</v>
      </c>
      <c r="K1338" s="15">
        <v>163</v>
      </c>
      <c r="L1338" s="13" t="s">
        <v>102</v>
      </c>
      <c r="M1338" s="13" t="s">
        <v>103</v>
      </c>
      <c r="N1338" s="138" t="s">
        <v>385</v>
      </c>
      <c r="O1338" s="138" t="s">
        <v>385</v>
      </c>
      <c r="P1338" s="28">
        <v>32</v>
      </c>
      <c r="Q1338" s="13" t="s">
        <v>54</v>
      </c>
      <c r="R1338" s="13" t="s">
        <v>28</v>
      </c>
      <c r="S1338" s="13"/>
      <c r="T1338" s="13"/>
      <c r="U1338" s="13" t="s">
        <v>1902</v>
      </c>
      <c r="V1338" s="13" t="s">
        <v>1902</v>
      </c>
      <c r="W1338" s="59">
        <f>+J1338/$W$2</f>
        <v>1.5483716963647133E-3</v>
      </c>
    </row>
    <row r="1339" spans="1:29">
      <c r="A1339" s="13" t="s">
        <v>447</v>
      </c>
      <c r="B1339" s="13" t="s">
        <v>404</v>
      </c>
      <c r="C1339" s="138">
        <v>46324</v>
      </c>
      <c r="D1339" s="138" t="s">
        <v>424</v>
      </c>
      <c r="E1339" s="28">
        <v>0.94290898000000001</v>
      </c>
      <c r="F1339" s="13"/>
      <c r="G1339" s="18">
        <v>4549416.66</v>
      </c>
      <c r="H1339" s="18">
        <v>4289685.84</v>
      </c>
      <c r="I1339" s="18">
        <v>4549416.66</v>
      </c>
      <c r="J1339" s="18">
        <v>4289685.84</v>
      </c>
      <c r="K1339" s="15">
        <v>50456547</v>
      </c>
      <c r="L1339" s="13" t="s">
        <v>102</v>
      </c>
      <c r="M1339" s="13" t="s">
        <v>103</v>
      </c>
      <c r="N1339" s="138" t="s">
        <v>343</v>
      </c>
      <c r="O1339" s="138" t="s">
        <v>343</v>
      </c>
      <c r="P1339" s="28">
        <v>34</v>
      </c>
      <c r="Q1339" s="13" t="s">
        <v>54</v>
      </c>
      <c r="R1339" s="13" t="s">
        <v>28</v>
      </c>
      <c r="S1339" s="13"/>
      <c r="T1339" s="13"/>
      <c r="U1339" s="13" t="s">
        <v>1431</v>
      </c>
      <c r="V1339" s="13" t="s">
        <v>1431</v>
      </c>
      <c r="W1339" s="59">
        <f>+J1339/$W$2</f>
        <v>7.0205315639590118E-5</v>
      </c>
      <c r="AC1339" s="56"/>
    </row>
    <row r="1340" spans="1:29">
      <c r="A1340" s="13" t="s">
        <v>466</v>
      </c>
      <c r="B1340" s="13" t="s">
        <v>404</v>
      </c>
      <c r="C1340" s="138">
        <v>46324</v>
      </c>
      <c r="D1340" s="138" t="s">
        <v>424</v>
      </c>
      <c r="E1340" s="28">
        <v>0.9525053</v>
      </c>
      <c r="F1340" s="13"/>
      <c r="G1340" s="18">
        <v>2500000</v>
      </c>
      <c r="H1340" s="18">
        <v>2381263.25</v>
      </c>
      <c r="I1340" s="18">
        <v>2500000</v>
      </c>
      <c r="J1340" s="18">
        <v>2381263.25</v>
      </c>
      <c r="K1340" s="15">
        <v>90031823</v>
      </c>
      <c r="L1340" s="13" t="s">
        <v>102</v>
      </c>
      <c r="M1340" s="13" t="s">
        <v>103</v>
      </c>
      <c r="N1340" s="138" t="s">
        <v>289</v>
      </c>
      <c r="O1340" s="138" t="s">
        <v>289</v>
      </c>
      <c r="P1340" s="28">
        <v>28</v>
      </c>
      <c r="Q1340" s="13" t="s">
        <v>54</v>
      </c>
      <c r="R1340" s="13" t="s">
        <v>28</v>
      </c>
      <c r="S1340" s="13"/>
      <c r="T1340" s="13"/>
      <c r="U1340" s="13" t="s">
        <v>592</v>
      </c>
      <c r="V1340" s="13" t="s">
        <v>592</v>
      </c>
      <c r="W1340" s="59">
        <f>+J1340/$W$2</f>
        <v>3.8971930421647425E-5</v>
      </c>
    </row>
    <row r="1341" spans="1:29">
      <c r="A1341" s="13" t="s">
        <v>405</v>
      </c>
      <c r="B1341" s="13" t="s">
        <v>404</v>
      </c>
      <c r="C1341" s="138">
        <v>46324</v>
      </c>
      <c r="D1341" s="138" t="s">
        <v>424</v>
      </c>
      <c r="E1341" s="28">
        <v>0.94928478999999999</v>
      </c>
      <c r="F1341" s="13"/>
      <c r="G1341" s="18">
        <v>6500000</v>
      </c>
      <c r="H1341" s="18">
        <v>6170351.1500000004</v>
      </c>
      <c r="I1341" s="18">
        <v>6500000</v>
      </c>
      <c r="J1341" s="18">
        <v>6170351.1500000004</v>
      </c>
      <c r="K1341" s="15">
        <v>746</v>
      </c>
      <c r="L1341" s="13" t="s">
        <v>102</v>
      </c>
      <c r="M1341" s="13" t="s">
        <v>103</v>
      </c>
      <c r="N1341" s="138" t="s">
        <v>425</v>
      </c>
      <c r="O1341" s="138" t="s">
        <v>425</v>
      </c>
      <c r="P1341" s="28">
        <v>30</v>
      </c>
      <c r="Q1341" s="13" t="s">
        <v>54</v>
      </c>
      <c r="R1341" s="13" t="s">
        <v>28</v>
      </c>
      <c r="S1341" s="13"/>
      <c r="T1341" s="13"/>
      <c r="U1341" s="13" t="s">
        <v>1315</v>
      </c>
      <c r="V1341" s="13" t="s">
        <v>1315</v>
      </c>
      <c r="W1341" s="59">
        <f>+J1341/$W$2</f>
        <v>1.0098442316066155E-4</v>
      </c>
    </row>
    <row r="1342" spans="1:29">
      <c r="A1342" s="13" t="s">
        <v>405</v>
      </c>
      <c r="B1342" s="13" t="s">
        <v>404</v>
      </c>
      <c r="C1342" s="138">
        <v>46324</v>
      </c>
      <c r="D1342" s="138" t="s">
        <v>424</v>
      </c>
      <c r="E1342" s="28">
        <v>0.94928489999999999</v>
      </c>
      <c r="F1342" s="13"/>
      <c r="G1342" s="18">
        <v>5000000</v>
      </c>
      <c r="H1342" s="18">
        <v>4746424.5</v>
      </c>
      <c r="I1342" s="18">
        <v>5000000</v>
      </c>
      <c r="J1342" s="18">
        <v>4746424.5</v>
      </c>
      <c r="K1342" s="15">
        <v>796</v>
      </c>
      <c r="L1342" s="13" t="s">
        <v>102</v>
      </c>
      <c r="M1342" s="13" t="s">
        <v>103</v>
      </c>
      <c r="N1342" s="138" t="s">
        <v>421</v>
      </c>
      <c r="O1342" s="138" t="s">
        <v>421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1415</v>
      </c>
      <c r="V1342" s="13" t="s">
        <v>1415</v>
      </c>
      <c r="W1342" s="59">
        <f>+J1342/$W$2</f>
        <v>7.7680334320702539E-5</v>
      </c>
    </row>
    <row r="1343" spans="1:29">
      <c r="A1343" s="13" t="s">
        <v>405</v>
      </c>
      <c r="B1343" s="13" t="s">
        <v>404</v>
      </c>
      <c r="C1343" s="138">
        <v>46324</v>
      </c>
      <c r="D1343" s="138" t="s">
        <v>424</v>
      </c>
      <c r="E1343" s="28">
        <v>0.94928500000000005</v>
      </c>
      <c r="F1343" s="13"/>
      <c r="G1343" s="18">
        <v>2500000</v>
      </c>
      <c r="H1343" s="18">
        <v>2373212.4900000002</v>
      </c>
      <c r="I1343" s="18">
        <v>2500000</v>
      </c>
      <c r="J1343" s="18">
        <v>2373212.4900000002</v>
      </c>
      <c r="K1343" s="15">
        <v>885</v>
      </c>
      <c r="L1343" s="13" t="s">
        <v>102</v>
      </c>
      <c r="M1343" s="13" t="s">
        <v>103</v>
      </c>
      <c r="N1343" s="138" t="s">
        <v>484</v>
      </c>
      <c r="O1343" s="138" t="s">
        <v>484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2079</v>
      </c>
      <c r="V1343" s="13" t="s">
        <v>2079</v>
      </c>
      <c r="W1343" s="59">
        <f>+J1343/$W$2</f>
        <v>3.8840171088209017E-5</v>
      </c>
      <c r="AC1343" s="56"/>
    </row>
    <row r="1344" spans="1:29">
      <c r="A1344" s="13" t="s">
        <v>405</v>
      </c>
      <c r="B1344" s="13" t="s">
        <v>404</v>
      </c>
      <c r="C1344" s="138">
        <v>46324</v>
      </c>
      <c r="D1344" s="138" t="s">
        <v>424</v>
      </c>
      <c r="E1344" s="28">
        <v>0.94608610999999998</v>
      </c>
      <c r="F1344" s="13"/>
      <c r="G1344" s="18">
        <v>3000000</v>
      </c>
      <c r="H1344" s="18">
        <v>2838258.33</v>
      </c>
      <c r="I1344" s="18">
        <v>3000000</v>
      </c>
      <c r="J1344" s="18">
        <v>2838258.33</v>
      </c>
      <c r="K1344" s="15">
        <v>1045</v>
      </c>
      <c r="L1344" s="13" t="s">
        <v>102</v>
      </c>
      <c r="M1344" s="13" t="s">
        <v>103</v>
      </c>
      <c r="N1344" s="138" t="s">
        <v>424</v>
      </c>
      <c r="O1344" s="138" t="s">
        <v>424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2603</v>
      </c>
      <c r="V1344" s="13" t="s">
        <v>2603</v>
      </c>
      <c r="W1344" s="59">
        <f>+J1344/$W$2</f>
        <v>4.6451145691439706E-5</v>
      </c>
    </row>
    <row r="1345" spans="1:23">
      <c r="A1345" s="13" t="s">
        <v>375</v>
      </c>
      <c r="B1345" s="13" t="s">
        <v>404</v>
      </c>
      <c r="C1345" s="138">
        <v>46324</v>
      </c>
      <c r="D1345" s="138" t="s">
        <v>424</v>
      </c>
      <c r="E1345" s="28">
        <v>0.94290898000000001</v>
      </c>
      <c r="F1345" s="13"/>
      <c r="G1345" s="18">
        <v>1020845.65</v>
      </c>
      <c r="H1345" s="18">
        <v>962564.53</v>
      </c>
      <c r="I1345" s="18">
        <v>1020845.65</v>
      </c>
      <c r="J1345" s="18">
        <v>962564.53</v>
      </c>
      <c r="K1345" s="15">
        <v>2906</v>
      </c>
      <c r="L1345" s="13" t="s">
        <v>102</v>
      </c>
      <c r="M1345" s="13" t="s">
        <v>103</v>
      </c>
      <c r="N1345" s="138" t="s">
        <v>343</v>
      </c>
      <c r="O1345" s="138" t="s">
        <v>343</v>
      </c>
      <c r="P1345" s="28">
        <v>34</v>
      </c>
      <c r="Q1345" s="13" t="s">
        <v>54</v>
      </c>
      <c r="R1345" s="13" t="s">
        <v>28</v>
      </c>
      <c r="S1345" s="13"/>
      <c r="T1345" s="13"/>
      <c r="U1345" s="13" t="s">
        <v>1448</v>
      </c>
      <c r="V1345" s="13" t="s">
        <v>1448</v>
      </c>
      <c r="W1345" s="59">
        <f>+J1345/$W$2</f>
        <v>1.5753402270624953E-5</v>
      </c>
    </row>
    <row r="1346" spans="1:23">
      <c r="A1346" s="13" t="s">
        <v>375</v>
      </c>
      <c r="B1346" s="13" t="s">
        <v>404</v>
      </c>
      <c r="C1346" s="138">
        <v>46324</v>
      </c>
      <c r="D1346" s="138" t="s">
        <v>424</v>
      </c>
      <c r="E1346" s="28">
        <v>0.94290896999999996</v>
      </c>
      <c r="F1346" s="13"/>
      <c r="G1346" s="18">
        <v>990902.64</v>
      </c>
      <c r="H1346" s="18">
        <v>934330.99</v>
      </c>
      <c r="I1346" s="18">
        <v>990902.64</v>
      </c>
      <c r="J1346" s="18">
        <v>934330.99</v>
      </c>
      <c r="K1346" s="15">
        <v>2956</v>
      </c>
      <c r="L1346" s="13" t="s">
        <v>102</v>
      </c>
      <c r="M1346" s="13" t="s">
        <v>103</v>
      </c>
      <c r="N1346" s="138" t="s">
        <v>343</v>
      </c>
      <c r="O1346" s="138" t="s">
        <v>343</v>
      </c>
      <c r="P1346" s="28">
        <v>34</v>
      </c>
      <c r="Q1346" s="13" t="s">
        <v>54</v>
      </c>
      <c r="R1346" s="13" t="s">
        <v>28</v>
      </c>
      <c r="S1346" s="13"/>
      <c r="T1346" s="13"/>
      <c r="U1346" s="13" t="s">
        <v>1449</v>
      </c>
      <c r="V1346" s="13" t="s">
        <v>1449</v>
      </c>
      <c r="W1346" s="59">
        <f>+J1346/$W$2</f>
        <v>1.5291330067378712E-5</v>
      </c>
    </row>
    <row r="1347" spans="1:23">
      <c r="A1347" s="13" t="s">
        <v>868</v>
      </c>
      <c r="B1347" s="13" t="s">
        <v>404</v>
      </c>
      <c r="C1347" s="138">
        <v>46324</v>
      </c>
      <c r="D1347" s="138" t="s">
        <v>424</v>
      </c>
      <c r="E1347" s="28">
        <v>0.96894084000000003</v>
      </c>
      <c r="F1347" s="13"/>
      <c r="G1347" s="18">
        <v>851000000</v>
      </c>
      <c r="H1347" s="18">
        <v>824568657.82000005</v>
      </c>
      <c r="I1347" s="18">
        <v>851000000</v>
      </c>
      <c r="J1347" s="18">
        <v>824568657.82000005</v>
      </c>
      <c r="K1347" s="15">
        <v>159265</v>
      </c>
      <c r="L1347" s="13" t="s">
        <v>102</v>
      </c>
      <c r="M1347" s="13" t="s">
        <v>103</v>
      </c>
      <c r="N1347" s="138" t="s">
        <v>341</v>
      </c>
      <c r="O1347" s="138" t="s">
        <v>341</v>
      </c>
      <c r="P1347" s="28">
        <v>18</v>
      </c>
      <c r="Q1347" s="13" t="s">
        <v>54</v>
      </c>
      <c r="R1347" s="13" t="s">
        <v>28</v>
      </c>
      <c r="S1347" s="13"/>
      <c r="T1347" s="13"/>
      <c r="U1347" s="13" t="s">
        <v>1969</v>
      </c>
      <c r="V1347" s="13" t="s">
        <v>1969</v>
      </c>
      <c r="W1347" s="59">
        <f>+J1347/$W$2</f>
        <v>1.3494951623022883E-2</v>
      </c>
    </row>
    <row r="1348" spans="1:23">
      <c r="A1348" s="13" t="s">
        <v>405</v>
      </c>
      <c r="B1348" s="13" t="s">
        <v>404</v>
      </c>
      <c r="C1348" s="138">
        <v>46324</v>
      </c>
      <c r="D1348" s="138" t="s">
        <v>424</v>
      </c>
      <c r="E1348" s="28">
        <v>0.94928491000000004</v>
      </c>
      <c r="F1348" s="13"/>
      <c r="G1348" s="18">
        <v>10000000</v>
      </c>
      <c r="H1348" s="18">
        <v>9492849.0899999999</v>
      </c>
      <c r="I1348" s="18">
        <v>10000000</v>
      </c>
      <c r="J1348" s="18">
        <v>9492849.0899999999</v>
      </c>
      <c r="K1348" s="15">
        <v>728</v>
      </c>
      <c r="L1348" s="13" t="s">
        <v>102</v>
      </c>
      <c r="M1348" s="13" t="s">
        <v>103</v>
      </c>
      <c r="N1348" s="138" t="s">
        <v>163</v>
      </c>
      <c r="O1348" s="138" t="s">
        <v>163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1142</v>
      </c>
      <c r="V1348" s="13" t="s">
        <v>1142</v>
      </c>
      <c r="W1348" s="59">
        <f>+J1348/$W$2</f>
        <v>1.5536067011435173E-4</v>
      </c>
    </row>
    <row r="1349" spans="1:23">
      <c r="A1349" s="13" t="s">
        <v>144</v>
      </c>
      <c r="B1349" s="13" t="s">
        <v>404</v>
      </c>
      <c r="C1349" s="138">
        <v>46324</v>
      </c>
      <c r="D1349" s="138" t="s">
        <v>424</v>
      </c>
      <c r="E1349" s="28">
        <v>0.94290892000000004</v>
      </c>
      <c r="F1349" s="13"/>
      <c r="G1349" s="18">
        <v>20000000</v>
      </c>
      <c r="H1349" s="18">
        <v>18858178.370000001</v>
      </c>
      <c r="I1349" s="18">
        <v>20000000</v>
      </c>
      <c r="J1349" s="18">
        <v>18858178.370000001</v>
      </c>
      <c r="K1349" s="15">
        <v>44</v>
      </c>
      <c r="L1349" s="13" t="s">
        <v>102</v>
      </c>
      <c r="M1349" s="13" t="s">
        <v>103</v>
      </c>
      <c r="N1349" s="138" t="s">
        <v>388</v>
      </c>
      <c r="O1349" s="138" t="s">
        <v>388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1852</v>
      </c>
      <c r="V1349" s="13" t="s">
        <v>1852</v>
      </c>
      <c r="W1349" s="59">
        <f>+J1349/$W$2</f>
        <v>3.0863434158934612E-4</v>
      </c>
    </row>
    <row r="1350" spans="1:23">
      <c r="A1350" s="13" t="s">
        <v>375</v>
      </c>
      <c r="B1350" s="13" t="s">
        <v>404</v>
      </c>
      <c r="C1350" s="138">
        <v>46324</v>
      </c>
      <c r="D1350" s="138" t="s">
        <v>424</v>
      </c>
      <c r="E1350" s="28">
        <v>0.94449479000000003</v>
      </c>
      <c r="F1350" s="13"/>
      <c r="G1350" s="18">
        <v>2502550.36</v>
      </c>
      <c r="H1350" s="18">
        <v>2363645.7799999998</v>
      </c>
      <c r="I1350" s="18">
        <v>2502550.36</v>
      </c>
      <c r="J1350" s="18">
        <v>2363645.7799999998</v>
      </c>
      <c r="K1350" s="15">
        <v>3140</v>
      </c>
      <c r="L1350" s="13" t="s">
        <v>102</v>
      </c>
      <c r="M1350" s="13" t="s">
        <v>103</v>
      </c>
      <c r="N1350" s="138" t="s">
        <v>481</v>
      </c>
      <c r="O1350" s="138" t="s">
        <v>481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1763</v>
      </c>
      <c r="V1350" s="13" t="s">
        <v>1763</v>
      </c>
      <c r="W1350" s="59">
        <f>+J1350/$W$2</f>
        <v>3.8683601604980278E-5</v>
      </c>
    </row>
    <row r="1351" spans="1:23">
      <c r="A1351" s="13" t="s">
        <v>375</v>
      </c>
      <c r="B1351" s="13" t="s">
        <v>404</v>
      </c>
      <c r="C1351" s="138">
        <v>46324</v>
      </c>
      <c r="D1351" s="138" t="s">
        <v>424</v>
      </c>
      <c r="E1351" s="28">
        <v>0.94449479000000003</v>
      </c>
      <c r="F1351" s="13"/>
      <c r="G1351" s="18">
        <v>2502550.36</v>
      </c>
      <c r="H1351" s="18">
        <v>2363645.7799999998</v>
      </c>
      <c r="I1351" s="18">
        <v>2502550.36</v>
      </c>
      <c r="J1351" s="18">
        <v>2363645.7799999998</v>
      </c>
      <c r="K1351" s="15">
        <v>3130</v>
      </c>
      <c r="L1351" s="13" t="s">
        <v>102</v>
      </c>
      <c r="M1351" s="13" t="s">
        <v>103</v>
      </c>
      <c r="N1351" s="138" t="s">
        <v>481</v>
      </c>
      <c r="O1351" s="138" t="s">
        <v>481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1764</v>
      </c>
      <c r="V1351" s="13" t="s">
        <v>1764</v>
      </c>
      <c r="W1351" s="59">
        <f>+J1351/$W$2</f>
        <v>3.8683601604980278E-5</v>
      </c>
    </row>
    <row r="1352" spans="1:23">
      <c r="A1352" s="13" t="s">
        <v>721</v>
      </c>
      <c r="B1352" s="13" t="s">
        <v>404</v>
      </c>
      <c r="C1352" s="138">
        <v>46324</v>
      </c>
      <c r="D1352" s="138" t="s">
        <v>424</v>
      </c>
      <c r="E1352" s="28">
        <v>0.95250526000000002</v>
      </c>
      <c r="F1352" s="13"/>
      <c r="G1352" s="18">
        <v>50000000</v>
      </c>
      <c r="H1352" s="18">
        <v>47625262.899999999</v>
      </c>
      <c r="I1352" s="18">
        <v>50000000</v>
      </c>
      <c r="J1352" s="18">
        <v>47625262.899999999</v>
      </c>
      <c r="K1352" s="15">
        <v>68035</v>
      </c>
      <c r="L1352" s="13" t="s">
        <v>102</v>
      </c>
      <c r="M1352" s="13" t="s">
        <v>103</v>
      </c>
      <c r="N1352" s="138" t="s">
        <v>342</v>
      </c>
      <c r="O1352" s="138" t="s">
        <v>342</v>
      </c>
      <c r="P1352" s="28">
        <v>28</v>
      </c>
      <c r="Q1352" s="13" t="s">
        <v>54</v>
      </c>
      <c r="R1352" s="13" t="s">
        <v>28</v>
      </c>
      <c r="S1352" s="13"/>
      <c r="T1352" s="13"/>
      <c r="U1352" s="13" t="s">
        <v>2347</v>
      </c>
      <c r="V1352" s="13" t="s">
        <v>2347</v>
      </c>
      <c r="W1352" s="59">
        <f>+J1352/$W$2</f>
        <v>7.7943857406419313E-4</v>
      </c>
    </row>
    <row r="1353" spans="1:23">
      <c r="A1353" s="13" t="s">
        <v>2224</v>
      </c>
      <c r="B1353" s="13" t="s">
        <v>404</v>
      </c>
      <c r="C1353" s="138">
        <v>46324</v>
      </c>
      <c r="D1353" s="138" t="s">
        <v>424</v>
      </c>
      <c r="E1353" s="28">
        <v>0.95250524000000003</v>
      </c>
      <c r="F1353" s="13"/>
      <c r="G1353" s="18">
        <v>5225722</v>
      </c>
      <c r="H1353" s="18">
        <v>4977527.5599999996</v>
      </c>
      <c r="I1353" s="18">
        <v>5225722</v>
      </c>
      <c r="J1353" s="18">
        <v>4977527.5599999996</v>
      </c>
      <c r="K1353" s="15">
        <v>3176</v>
      </c>
      <c r="L1353" s="13" t="s">
        <v>102</v>
      </c>
      <c r="M1353" s="13" t="s">
        <v>103</v>
      </c>
      <c r="N1353" s="138" t="s">
        <v>639</v>
      </c>
      <c r="O1353" s="138" t="s">
        <v>639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2191</v>
      </c>
      <c r="V1353" s="13" t="s">
        <v>2191</v>
      </c>
      <c r="W1353" s="59">
        <f>+J1353/$W$2</f>
        <v>8.1462584088572512E-5</v>
      </c>
    </row>
    <row r="1354" spans="1:23">
      <c r="A1354" s="13" t="s">
        <v>2224</v>
      </c>
      <c r="B1354" s="13" t="s">
        <v>404</v>
      </c>
      <c r="C1354" s="138">
        <v>46324</v>
      </c>
      <c r="D1354" s="138" t="s">
        <v>424</v>
      </c>
      <c r="E1354" s="28">
        <v>0.94608610999999998</v>
      </c>
      <c r="F1354" s="13"/>
      <c r="G1354" s="18">
        <v>5444206</v>
      </c>
      <c r="H1354" s="18">
        <v>5150687.68</v>
      </c>
      <c r="I1354" s="18">
        <v>5444206</v>
      </c>
      <c r="J1354" s="18">
        <v>5150687.68</v>
      </c>
      <c r="K1354" s="15">
        <v>3442</v>
      </c>
      <c r="L1354" s="13" t="s">
        <v>102</v>
      </c>
      <c r="M1354" s="13" t="s">
        <v>103</v>
      </c>
      <c r="N1354" s="138" t="s">
        <v>424</v>
      </c>
      <c r="O1354" s="138" t="s">
        <v>424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2649</v>
      </c>
      <c r="V1354" s="13" t="s">
        <v>2649</v>
      </c>
      <c r="W1354" s="59">
        <f>+J1354/$W$2</f>
        <v>8.4296535416063963E-5</v>
      </c>
    </row>
    <row r="1355" spans="1:23">
      <c r="A1355" s="13" t="s">
        <v>2342</v>
      </c>
      <c r="B1355" s="13" t="s">
        <v>404</v>
      </c>
      <c r="C1355" s="138">
        <v>46324</v>
      </c>
      <c r="D1355" s="138" t="s">
        <v>424</v>
      </c>
      <c r="E1355" s="28">
        <v>0.94290903999999998</v>
      </c>
      <c r="F1355" s="13"/>
      <c r="G1355" s="18">
        <v>7000000</v>
      </c>
      <c r="H1355" s="18">
        <v>6600363.2800000003</v>
      </c>
      <c r="I1355" s="18">
        <v>7000000</v>
      </c>
      <c r="J1355" s="18">
        <v>6600363.2800000003</v>
      </c>
      <c r="K1355" s="15">
        <v>69017468</v>
      </c>
      <c r="L1355" s="13" t="s">
        <v>102</v>
      </c>
      <c r="M1355" s="13" t="s">
        <v>103</v>
      </c>
      <c r="N1355" s="138" t="s">
        <v>535</v>
      </c>
      <c r="O1355" s="138" t="s">
        <v>535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2339</v>
      </c>
      <c r="V1355" s="13" t="s">
        <v>2339</v>
      </c>
      <c r="W1355" s="59">
        <f>+J1355/$W$2</f>
        <v>1.0802203347561702E-4</v>
      </c>
    </row>
    <row r="1356" spans="1:23">
      <c r="A1356" s="13" t="s">
        <v>413</v>
      </c>
      <c r="B1356" s="13" t="s">
        <v>404</v>
      </c>
      <c r="C1356" s="138">
        <v>46324</v>
      </c>
      <c r="D1356" s="138" t="s">
        <v>424</v>
      </c>
      <c r="E1356" s="28">
        <v>0.94608616999999995</v>
      </c>
      <c r="F1356" s="13"/>
      <c r="G1356" s="18">
        <v>10655603.279999999</v>
      </c>
      <c r="H1356" s="18">
        <v>10081118.939999999</v>
      </c>
      <c r="I1356" s="18">
        <v>10655603.279999999</v>
      </c>
      <c r="J1356" s="18">
        <v>10081118.939999999</v>
      </c>
      <c r="K1356" s="15">
        <v>30832</v>
      </c>
      <c r="L1356" s="13" t="s">
        <v>102</v>
      </c>
      <c r="M1356" s="13" t="s">
        <v>103</v>
      </c>
      <c r="N1356" s="138" t="s">
        <v>421</v>
      </c>
      <c r="O1356" s="138" t="s">
        <v>421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1359</v>
      </c>
      <c r="V1356" s="13" t="s">
        <v>1359</v>
      </c>
      <c r="W1356" s="59">
        <f>+J1356/$W$2</f>
        <v>1.6498833797650553E-4</v>
      </c>
    </row>
    <row r="1357" spans="1:23">
      <c r="A1357" s="13" t="s">
        <v>979</v>
      </c>
      <c r="B1357" s="13" t="s">
        <v>404</v>
      </c>
      <c r="C1357" s="138">
        <v>46324</v>
      </c>
      <c r="D1357" s="138" t="s">
        <v>424</v>
      </c>
      <c r="E1357" s="28">
        <v>0.94608605999999995</v>
      </c>
      <c r="F1357" s="13"/>
      <c r="G1357" s="18">
        <v>15000000</v>
      </c>
      <c r="H1357" s="18">
        <v>14191290.83</v>
      </c>
      <c r="I1357" s="18">
        <v>15000000</v>
      </c>
      <c r="J1357" s="18">
        <v>14191290.83</v>
      </c>
      <c r="K1357" s="15">
        <v>67448999</v>
      </c>
      <c r="L1357" s="13" t="s">
        <v>102</v>
      </c>
      <c r="M1357" s="13" t="s">
        <v>103</v>
      </c>
      <c r="N1357" s="138" t="s">
        <v>304</v>
      </c>
      <c r="O1357" s="138" t="s">
        <v>304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978</v>
      </c>
      <c r="V1357" s="13" t="s">
        <v>978</v>
      </c>
      <c r="W1357" s="59">
        <f>+J1357/$W$2</f>
        <v>2.3225571503701791E-4</v>
      </c>
    </row>
    <row r="1358" spans="1:23">
      <c r="A1358" s="13" t="s">
        <v>742</v>
      </c>
      <c r="B1358" s="13" t="s">
        <v>404</v>
      </c>
      <c r="C1358" s="138">
        <v>46325</v>
      </c>
      <c r="D1358" s="138" t="s">
        <v>424</v>
      </c>
      <c r="E1358" s="28">
        <v>0.94530214000000001</v>
      </c>
      <c r="F1358" s="13"/>
      <c r="G1358" s="18">
        <v>100000000</v>
      </c>
      <c r="H1358" s="18">
        <v>94530214.189999998</v>
      </c>
      <c r="I1358" s="18">
        <v>100000000</v>
      </c>
      <c r="J1358" s="18">
        <v>94530214.189999998</v>
      </c>
      <c r="K1358" s="15">
        <v>164</v>
      </c>
      <c r="L1358" s="13" t="s">
        <v>102</v>
      </c>
      <c r="M1358" s="13" t="s">
        <v>103</v>
      </c>
      <c r="N1358" s="138" t="s">
        <v>291</v>
      </c>
      <c r="O1358" s="138" t="s">
        <v>291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1911</v>
      </c>
      <c r="V1358" s="13" t="s">
        <v>1911</v>
      </c>
      <c r="W1358" s="59">
        <f>+J1358/$W$2</f>
        <v>1.5470884750588192E-3</v>
      </c>
    </row>
    <row r="1359" spans="1:23">
      <c r="A1359" s="13" t="s">
        <v>302</v>
      </c>
      <c r="B1359" s="13" t="s">
        <v>404</v>
      </c>
      <c r="C1359" s="138">
        <v>46325</v>
      </c>
      <c r="D1359" s="138" t="s">
        <v>424</v>
      </c>
      <c r="E1359" s="28">
        <v>0.94047926000000004</v>
      </c>
      <c r="F1359" s="13"/>
      <c r="G1359" s="18">
        <v>6500000</v>
      </c>
      <c r="H1359" s="18">
        <v>6113115.1799999997</v>
      </c>
      <c r="I1359" s="18">
        <v>6500000</v>
      </c>
      <c r="J1359" s="18">
        <v>6113115.1799999997</v>
      </c>
      <c r="K1359" s="15">
        <v>40773810</v>
      </c>
      <c r="L1359" s="13" t="s">
        <v>102</v>
      </c>
      <c r="M1359" s="13" t="s">
        <v>103</v>
      </c>
      <c r="N1359" s="138" t="s">
        <v>345</v>
      </c>
      <c r="O1359" s="138" t="s">
        <v>345</v>
      </c>
      <c r="P1359" s="28">
        <v>35</v>
      </c>
      <c r="Q1359" s="13" t="s">
        <v>54</v>
      </c>
      <c r="R1359" s="13" t="s">
        <v>28</v>
      </c>
      <c r="S1359" s="13"/>
      <c r="T1359" s="13"/>
      <c r="U1359" s="13" t="s">
        <v>2418</v>
      </c>
      <c r="V1359" s="13" t="s">
        <v>2418</v>
      </c>
      <c r="W1359" s="59">
        <f>+J1359/$W$2</f>
        <v>1.0004769504357684E-4</v>
      </c>
    </row>
    <row r="1360" spans="1:23">
      <c r="A1360" s="13" t="s">
        <v>375</v>
      </c>
      <c r="B1360" s="13" t="s">
        <v>404</v>
      </c>
      <c r="C1360" s="138">
        <v>46325</v>
      </c>
      <c r="D1360" s="138" t="s">
        <v>424</v>
      </c>
      <c r="E1360" s="28">
        <v>0.94368912000000005</v>
      </c>
      <c r="F1360" s="13"/>
      <c r="G1360" s="18">
        <v>2502550.36</v>
      </c>
      <c r="H1360" s="18">
        <v>2361629.56</v>
      </c>
      <c r="I1360" s="18">
        <v>2502550.36</v>
      </c>
      <c r="J1360" s="18">
        <v>2361629.56</v>
      </c>
      <c r="K1360" s="15">
        <v>3141</v>
      </c>
      <c r="L1360" s="13" t="s">
        <v>102</v>
      </c>
      <c r="M1360" s="13" t="s">
        <v>103</v>
      </c>
      <c r="N1360" s="138" t="s">
        <v>386</v>
      </c>
      <c r="O1360" s="138" t="s">
        <v>386</v>
      </c>
      <c r="P1360" s="28">
        <v>33</v>
      </c>
      <c r="Q1360" s="13" t="s">
        <v>54</v>
      </c>
      <c r="R1360" s="13" t="s">
        <v>28</v>
      </c>
      <c r="S1360" s="13"/>
      <c r="T1360" s="13"/>
      <c r="U1360" s="13" t="s">
        <v>1837</v>
      </c>
      <c r="V1360" s="13" t="s">
        <v>1837</v>
      </c>
      <c r="W1360" s="59">
        <f>+J1360/$W$2</f>
        <v>3.8650603999379663E-5</v>
      </c>
    </row>
    <row r="1361" spans="1:29">
      <c r="A1361" s="13" t="s">
        <v>405</v>
      </c>
      <c r="B1361" s="13" t="s">
        <v>404</v>
      </c>
      <c r="C1361" s="138">
        <v>46325</v>
      </c>
      <c r="D1361" s="138" t="s">
        <v>424</v>
      </c>
      <c r="E1361" s="28">
        <v>0.94854477000000004</v>
      </c>
      <c r="F1361" s="13"/>
      <c r="G1361" s="18">
        <v>5000000</v>
      </c>
      <c r="H1361" s="18">
        <v>4742723.83</v>
      </c>
      <c r="I1361" s="18">
        <v>5000000</v>
      </c>
      <c r="J1361" s="18">
        <v>4742723.83</v>
      </c>
      <c r="K1361" s="15">
        <v>797</v>
      </c>
      <c r="L1361" s="13" t="s">
        <v>102</v>
      </c>
      <c r="M1361" s="13" t="s">
        <v>103</v>
      </c>
      <c r="N1361" s="138" t="s">
        <v>421</v>
      </c>
      <c r="O1361" s="138" t="s">
        <v>421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1414</v>
      </c>
      <c r="V1361" s="13" t="s">
        <v>1414</v>
      </c>
      <c r="W1361" s="59">
        <f>+J1361/$W$2</f>
        <v>7.7619768881852599E-5</v>
      </c>
    </row>
    <row r="1362" spans="1:29">
      <c r="A1362" s="13" t="s">
        <v>405</v>
      </c>
      <c r="B1362" s="13" t="s">
        <v>404</v>
      </c>
      <c r="C1362" s="138">
        <v>46325</v>
      </c>
      <c r="D1362" s="138" t="s">
        <v>424</v>
      </c>
      <c r="E1362" s="28">
        <v>0.94854484999999999</v>
      </c>
      <c r="F1362" s="13"/>
      <c r="G1362" s="18">
        <v>2500000</v>
      </c>
      <c r="H1362" s="18">
        <v>2371362.13</v>
      </c>
      <c r="I1362" s="18">
        <v>2500000</v>
      </c>
      <c r="J1362" s="18">
        <v>2371362.13</v>
      </c>
      <c r="K1362" s="15">
        <v>886</v>
      </c>
      <c r="L1362" s="13" t="s">
        <v>102</v>
      </c>
      <c r="M1362" s="13" t="s">
        <v>103</v>
      </c>
      <c r="N1362" s="138" t="s">
        <v>484</v>
      </c>
      <c r="O1362" s="138" t="s">
        <v>484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2091</v>
      </c>
      <c r="V1362" s="13" t="s">
        <v>2091</v>
      </c>
      <c r="W1362" s="59">
        <f>+J1362/$W$2</f>
        <v>3.8809887959632195E-5</v>
      </c>
    </row>
    <row r="1363" spans="1:29">
      <c r="A1363" s="13" t="s">
        <v>405</v>
      </c>
      <c r="B1363" s="13" t="s">
        <v>404</v>
      </c>
      <c r="C1363" s="138">
        <v>46325</v>
      </c>
      <c r="D1363" s="138" t="s">
        <v>424</v>
      </c>
      <c r="E1363" s="28">
        <v>0.94854490999999996</v>
      </c>
      <c r="F1363" s="13"/>
      <c r="G1363" s="18">
        <v>2500000</v>
      </c>
      <c r="H1363" s="18">
        <v>2371362.27</v>
      </c>
      <c r="I1363" s="18">
        <v>2500000</v>
      </c>
      <c r="J1363" s="18">
        <v>2371362.27</v>
      </c>
      <c r="K1363" s="15">
        <v>909</v>
      </c>
      <c r="L1363" s="13" t="s">
        <v>102</v>
      </c>
      <c r="M1363" s="13" t="s">
        <v>103</v>
      </c>
      <c r="N1363" s="138" t="s">
        <v>371</v>
      </c>
      <c r="O1363" s="138" t="s">
        <v>371</v>
      </c>
      <c r="P1363" s="28">
        <v>30</v>
      </c>
      <c r="Q1363" s="13" t="s">
        <v>54</v>
      </c>
      <c r="R1363" s="13" t="s">
        <v>28</v>
      </c>
      <c r="S1363" s="13"/>
      <c r="T1363" s="13"/>
      <c r="U1363" s="13" t="s">
        <v>2098</v>
      </c>
      <c r="V1363" s="13" t="s">
        <v>2098</v>
      </c>
      <c r="W1363" s="59">
        <f>+J1363/$W$2</f>
        <v>3.8809890250882548E-5</v>
      </c>
    </row>
    <row r="1364" spans="1:29">
      <c r="A1364" s="13" t="s">
        <v>405</v>
      </c>
      <c r="B1364" s="13" t="s">
        <v>404</v>
      </c>
      <c r="C1364" s="138">
        <v>46325</v>
      </c>
      <c r="D1364" s="138" t="s">
        <v>424</v>
      </c>
      <c r="E1364" s="28">
        <v>0.943689</v>
      </c>
      <c r="F1364" s="13"/>
      <c r="G1364" s="18">
        <v>2500000</v>
      </c>
      <c r="H1364" s="18">
        <v>2359222.4900000002</v>
      </c>
      <c r="I1364" s="18">
        <v>2500000</v>
      </c>
      <c r="J1364" s="18">
        <v>2359222.4900000002</v>
      </c>
      <c r="K1364" s="15">
        <v>1010</v>
      </c>
      <c r="L1364" s="13" t="s">
        <v>102</v>
      </c>
      <c r="M1364" s="13" t="s">
        <v>103</v>
      </c>
      <c r="N1364" s="138" t="s">
        <v>170</v>
      </c>
      <c r="O1364" s="138" t="s">
        <v>170</v>
      </c>
      <c r="P1364" s="28">
        <v>33</v>
      </c>
      <c r="Q1364" s="13" t="s">
        <v>54</v>
      </c>
      <c r="R1364" s="13" t="s">
        <v>28</v>
      </c>
      <c r="S1364" s="13"/>
      <c r="T1364" s="13"/>
      <c r="U1364" s="13" t="s">
        <v>2492</v>
      </c>
      <c r="V1364" s="13" t="s">
        <v>2492</v>
      </c>
      <c r="W1364" s="59">
        <f>+J1364/$W$2</f>
        <v>3.8611209713779356E-5</v>
      </c>
    </row>
    <row r="1365" spans="1:29">
      <c r="A1365" s="13" t="s">
        <v>405</v>
      </c>
      <c r="B1365" s="13" t="s">
        <v>404</v>
      </c>
      <c r="C1365" s="138">
        <v>46325</v>
      </c>
      <c r="D1365" s="138" t="s">
        <v>424</v>
      </c>
      <c r="E1365" s="28">
        <v>0.94530223999999996</v>
      </c>
      <c r="F1365" s="13"/>
      <c r="G1365" s="18">
        <v>3000000</v>
      </c>
      <c r="H1365" s="18">
        <v>2835906.72</v>
      </c>
      <c r="I1365" s="18">
        <v>3000000</v>
      </c>
      <c r="J1365" s="18">
        <v>2835906.72</v>
      </c>
      <c r="K1365" s="15">
        <v>1046</v>
      </c>
      <c r="L1365" s="13" t="s">
        <v>102</v>
      </c>
      <c r="M1365" s="13" t="s">
        <v>103</v>
      </c>
      <c r="N1365" s="138" t="s">
        <v>424</v>
      </c>
      <c r="O1365" s="138" t="s">
        <v>424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2604</v>
      </c>
      <c r="V1365" s="13" t="s">
        <v>2604</v>
      </c>
      <c r="W1365" s="59">
        <f>+J1365/$W$2</f>
        <v>4.6412659068300141E-5</v>
      </c>
    </row>
    <row r="1366" spans="1:29">
      <c r="A1366" s="13" t="s">
        <v>375</v>
      </c>
      <c r="B1366" s="13" t="s">
        <v>404</v>
      </c>
      <c r="C1366" s="138">
        <v>46325</v>
      </c>
      <c r="D1366" s="138" t="s">
        <v>424</v>
      </c>
      <c r="E1366" s="28">
        <v>0.94208146999999998</v>
      </c>
      <c r="F1366" s="13"/>
      <c r="G1366" s="18">
        <v>990902.64</v>
      </c>
      <c r="H1366" s="18">
        <v>933511.02</v>
      </c>
      <c r="I1366" s="18">
        <v>990902.64</v>
      </c>
      <c r="J1366" s="18">
        <v>933511.02</v>
      </c>
      <c r="K1366" s="15">
        <v>2957</v>
      </c>
      <c r="L1366" s="13" t="s">
        <v>102</v>
      </c>
      <c r="M1366" s="13" t="s">
        <v>103</v>
      </c>
      <c r="N1366" s="138" t="s">
        <v>343</v>
      </c>
      <c r="O1366" s="138" t="s">
        <v>343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1450</v>
      </c>
      <c r="V1366" s="13" t="s">
        <v>1450</v>
      </c>
      <c r="W1366" s="59">
        <f>+J1366/$W$2</f>
        <v>1.5277910377729602E-5</v>
      </c>
    </row>
    <row r="1367" spans="1:29">
      <c r="A1367" s="13" t="s">
        <v>375</v>
      </c>
      <c r="B1367" s="13" t="s">
        <v>404</v>
      </c>
      <c r="C1367" s="138">
        <v>46325</v>
      </c>
      <c r="D1367" s="138" t="s">
        <v>424</v>
      </c>
      <c r="E1367" s="28">
        <v>0.94208146000000004</v>
      </c>
      <c r="F1367" s="13"/>
      <c r="G1367" s="18">
        <v>1020845.65</v>
      </c>
      <c r="H1367" s="18">
        <v>961719.76</v>
      </c>
      <c r="I1367" s="18">
        <v>1020845.65</v>
      </c>
      <c r="J1367" s="18">
        <v>961719.76</v>
      </c>
      <c r="K1367" s="15">
        <v>2907</v>
      </c>
      <c r="L1367" s="13" t="s">
        <v>102</v>
      </c>
      <c r="M1367" s="13" t="s">
        <v>103</v>
      </c>
      <c r="N1367" s="138" t="s">
        <v>343</v>
      </c>
      <c r="O1367" s="138" t="s">
        <v>343</v>
      </c>
      <c r="P1367" s="28">
        <v>34</v>
      </c>
      <c r="Q1367" s="13" t="s">
        <v>54</v>
      </c>
      <c r="R1367" s="13" t="s">
        <v>28</v>
      </c>
      <c r="S1367" s="13"/>
      <c r="T1367" s="13"/>
      <c r="U1367" s="13" t="s">
        <v>1451</v>
      </c>
      <c r="V1367" s="13" t="s">
        <v>1451</v>
      </c>
      <c r="W1367" s="59">
        <f>+J1367/$W$2</f>
        <v>1.573957670234211E-5</v>
      </c>
    </row>
    <row r="1368" spans="1:29">
      <c r="A1368" s="13" t="s">
        <v>1325</v>
      </c>
      <c r="B1368" s="13" t="s">
        <v>404</v>
      </c>
      <c r="C1368" s="138">
        <v>46325</v>
      </c>
      <c r="D1368" s="138" t="s">
        <v>424</v>
      </c>
      <c r="E1368" s="28">
        <v>0.93729161000000005</v>
      </c>
      <c r="F1368" s="13"/>
      <c r="G1368" s="18">
        <v>15000000</v>
      </c>
      <c r="H1368" s="18">
        <v>14059374.140000001</v>
      </c>
      <c r="I1368" s="18">
        <v>15000000</v>
      </c>
      <c r="J1368" s="18">
        <v>14059374.140000001</v>
      </c>
      <c r="K1368" s="15">
        <v>2591</v>
      </c>
      <c r="L1368" s="13" t="s">
        <v>102</v>
      </c>
      <c r="M1368" s="13" t="s">
        <v>103</v>
      </c>
      <c r="N1368" s="138" t="s">
        <v>371</v>
      </c>
      <c r="O1368" s="138" t="s">
        <v>371</v>
      </c>
      <c r="P1368" s="28">
        <v>37</v>
      </c>
      <c r="Q1368" s="13" t="s">
        <v>54</v>
      </c>
      <c r="R1368" s="13" t="s">
        <v>28</v>
      </c>
      <c r="S1368" s="13"/>
      <c r="T1368" s="13"/>
      <c r="U1368" s="13" t="s">
        <v>2111</v>
      </c>
      <c r="V1368" s="13" t="s">
        <v>2111</v>
      </c>
      <c r="W1368" s="59">
        <f>+J1368/$W$2</f>
        <v>2.3009675673447239E-4</v>
      </c>
    </row>
    <row r="1369" spans="1:29">
      <c r="A1369" s="13" t="s">
        <v>375</v>
      </c>
      <c r="B1369" s="13" t="s">
        <v>404</v>
      </c>
      <c r="C1369" s="138">
        <v>46325</v>
      </c>
      <c r="D1369" s="138" t="s">
        <v>424</v>
      </c>
      <c r="E1369" s="28">
        <v>0.94368907999999996</v>
      </c>
      <c r="F1369" s="13"/>
      <c r="G1369" s="18">
        <v>2502550.36</v>
      </c>
      <c r="H1369" s="18">
        <v>2361629.46</v>
      </c>
      <c r="I1369" s="18">
        <v>2502550.36</v>
      </c>
      <c r="J1369" s="18">
        <v>2361629.46</v>
      </c>
      <c r="K1369" s="15">
        <v>3131</v>
      </c>
      <c r="L1369" s="13" t="s">
        <v>102</v>
      </c>
      <c r="M1369" s="13" t="s">
        <v>103</v>
      </c>
      <c r="N1369" s="138" t="s">
        <v>481</v>
      </c>
      <c r="O1369" s="138" t="s">
        <v>481</v>
      </c>
      <c r="P1369" s="28">
        <v>33</v>
      </c>
      <c r="Q1369" s="13" t="s">
        <v>54</v>
      </c>
      <c r="R1369" s="13" t="s">
        <v>28</v>
      </c>
      <c r="S1369" s="13"/>
      <c r="T1369" s="13"/>
      <c r="U1369" s="13" t="s">
        <v>1765</v>
      </c>
      <c r="V1369" s="13" t="s">
        <v>1765</v>
      </c>
      <c r="W1369" s="59">
        <f>+J1369/$W$2</f>
        <v>3.8650602362772269E-5</v>
      </c>
    </row>
    <row r="1370" spans="1:29">
      <c r="A1370" s="13" t="s">
        <v>2687</v>
      </c>
      <c r="B1370" s="13" t="s">
        <v>404</v>
      </c>
      <c r="C1370" s="138">
        <v>46325</v>
      </c>
      <c r="D1370" s="138" t="s">
        <v>424</v>
      </c>
      <c r="E1370" s="28">
        <v>0.94208163</v>
      </c>
      <c r="F1370" s="13"/>
      <c r="G1370" s="18">
        <v>12000000</v>
      </c>
      <c r="H1370" s="18">
        <v>11304979.59</v>
      </c>
      <c r="I1370" s="18">
        <v>12000000</v>
      </c>
      <c r="J1370" s="18">
        <v>11304979.59</v>
      </c>
      <c r="K1370" s="15">
        <v>14330927</v>
      </c>
      <c r="L1370" s="13" t="s">
        <v>102</v>
      </c>
      <c r="M1370" s="13" t="s">
        <v>103</v>
      </c>
      <c r="N1370" s="138" t="s">
        <v>424</v>
      </c>
      <c r="O1370" s="138" t="s">
        <v>424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2639</v>
      </c>
      <c r="V1370" s="13" t="s">
        <v>2639</v>
      </c>
      <c r="W1370" s="59">
        <f>+J1370/$W$2</f>
        <v>1.850181318674549E-4</v>
      </c>
    </row>
    <row r="1371" spans="1:29">
      <c r="A1371" s="13" t="s">
        <v>2224</v>
      </c>
      <c r="B1371" s="13" t="s">
        <v>404</v>
      </c>
      <c r="C1371" s="138">
        <v>46325</v>
      </c>
      <c r="D1371" s="138" t="s">
        <v>424</v>
      </c>
      <c r="E1371" s="28">
        <v>0.94530223999999996</v>
      </c>
      <c r="F1371" s="13"/>
      <c r="G1371" s="18">
        <v>5444206</v>
      </c>
      <c r="H1371" s="18">
        <v>5146420.13</v>
      </c>
      <c r="I1371" s="18">
        <v>5444206</v>
      </c>
      <c r="J1371" s="18">
        <v>5146420.13</v>
      </c>
      <c r="K1371" s="15">
        <v>3443</v>
      </c>
      <c r="L1371" s="13" t="s">
        <v>102</v>
      </c>
      <c r="M1371" s="13" t="s">
        <v>103</v>
      </c>
      <c r="N1371" s="138" t="s">
        <v>424</v>
      </c>
      <c r="O1371" s="138" t="s">
        <v>424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2651</v>
      </c>
      <c r="V1371" s="13" t="s">
        <v>2651</v>
      </c>
      <c r="W1371" s="59">
        <f>+J1371/$W$2</f>
        <v>8.4226692377218563E-5</v>
      </c>
    </row>
    <row r="1372" spans="1:29">
      <c r="A1372" s="13" t="s">
        <v>413</v>
      </c>
      <c r="B1372" s="13" t="s">
        <v>404</v>
      </c>
      <c r="C1372" s="138">
        <v>46325</v>
      </c>
      <c r="D1372" s="138" t="s">
        <v>424</v>
      </c>
      <c r="E1372" s="28">
        <v>0.94530205</v>
      </c>
      <c r="F1372" s="13"/>
      <c r="G1372" s="18">
        <v>10655603.279999999</v>
      </c>
      <c r="H1372" s="18">
        <v>10072763.619999999</v>
      </c>
      <c r="I1372" s="18">
        <v>10655603.279999999</v>
      </c>
      <c r="J1372" s="18">
        <v>10072763.619999999</v>
      </c>
      <c r="K1372" s="15">
        <v>30833</v>
      </c>
      <c r="L1372" s="13" t="s">
        <v>102</v>
      </c>
      <c r="M1372" s="13" t="s">
        <v>103</v>
      </c>
      <c r="N1372" s="138" t="s">
        <v>421</v>
      </c>
      <c r="O1372" s="138" t="s">
        <v>421</v>
      </c>
      <c r="P1372" s="28">
        <v>32</v>
      </c>
      <c r="Q1372" s="13" t="s">
        <v>54</v>
      </c>
      <c r="R1372" s="13" t="s">
        <v>28</v>
      </c>
      <c r="S1372" s="13"/>
      <c r="T1372" s="13"/>
      <c r="U1372" s="13" t="s">
        <v>1360</v>
      </c>
      <c r="V1372" s="13" t="s">
        <v>1360</v>
      </c>
      <c r="W1372" s="59">
        <f>+J1372/$W$2</f>
        <v>1.6485159419158776E-4</v>
      </c>
      <c r="AC1372" s="56"/>
    </row>
    <row r="1373" spans="1:29">
      <c r="A1373" s="13" t="s">
        <v>742</v>
      </c>
      <c r="B1373" s="13" t="s">
        <v>404</v>
      </c>
      <c r="C1373" s="138">
        <v>46328</v>
      </c>
      <c r="D1373" s="138" t="s">
        <v>424</v>
      </c>
      <c r="E1373" s="28">
        <v>0.94295773000000005</v>
      </c>
      <c r="F1373" s="13"/>
      <c r="G1373" s="18">
        <v>100000000</v>
      </c>
      <c r="H1373" s="18">
        <v>94295772.989999995</v>
      </c>
      <c r="I1373" s="18">
        <v>100000000</v>
      </c>
      <c r="J1373" s="18">
        <v>94295772.989999995</v>
      </c>
      <c r="K1373" s="15">
        <v>165</v>
      </c>
      <c r="L1373" s="13" t="s">
        <v>102</v>
      </c>
      <c r="M1373" s="13" t="s">
        <v>103</v>
      </c>
      <c r="N1373" s="138" t="s">
        <v>291</v>
      </c>
      <c r="O1373" s="138" t="s">
        <v>291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1912</v>
      </c>
      <c r="V1373" s="13" t="s">
        <v>1912</v>
      </c>
      <c r="W1373" s="59">
        <f>+J1373/$W$2</f>
        <v>1.5432515930448849E-3</v>
      </c>
    </row>
    <row r="1374" spans="1:29">
      <c r="A1374" s="13" t="s">
        <v>744</v>
      </c>
      <c r="B1374" s="13" t="s">
        <v>404</v>
      </c>
      <c r="C1374" s="138">
        <v>46328</v>
      </c>
      <c r="D1374" s="138" t="s">
        <v>424</v>
      </c>
      <c r="E1374" s="28">
        <v>0.93133635000000004</v>
      </c>
      <c r="F1374" s="13"/>
      <c r="G1374" s="18">
        <v>3750000</v>
      </c>
      <c r="H1374" s="18">
        <v>3492511.33</v>
      </c>
      <c r="I1374" s="18">
        <v>3750000</v>
      </c>
      <c r="J1374" s="18">
        <v>3492511.33</v>
      </c>
      <c r="K1374" s="15">
        <v>66918247</v>
      </c>
      <c r="L1374" s="13" t="s">
        <v>102</v>
      </c>
      <c r="M1374" s="13" t="s">
        <v>103</v>
      </c>
      <c r="N1374" s="138" t="s">
        <v>322</v>
      </c>
      <c r="O1374" s="138" t="s">
        <v>322</v>
      </c>
      <c r="P1374" s="28">
        <v>39</v>
      </c>
      <c r="Q1374" s="13" t="s">
        <v>54</v>
      </c>
      <c r="R1374" s="13" t="s">
        <v>28</v>
      </c>
      <c r="S1374" s="13"/>
      <c r="T1374" s="13"/>
      <c r="U1374" s="13" t="s">
        <v>737</v>
      </c>
      <c r="V1374" s="13" t="s">
        <v>737</v>
      </c>
      <c r="W1374" s="59">
        <f>+J1374/$W$2</f>
        <v>5.7158698665330394E-5</v>
      </c>
    </row>
    <row r="1375" spans="1:29">
      <c r="A1375" s="13" t="s">
        <v>565</v>
      </c>
      <c r="B1375" s="13" t="s">
        <v>404</v>
      </c>
      <c r="C1375" s="138">
        <v>46328</v>
      </c>
      <c r="D1375" s="138" t="s">
        <v>424</v>
      </c>
      <c r="E1375" s="28">
        <v>0.95143761999999998</v>
      </c>
      <c r="F1375" s="13"/>
      <c r="G1375" s="18">
        <v>15000000</v>
      </c>
      <c r="H1375" s="18">
        <v>14271564.359999999</v>
      </c>
      <c r="I1375" s="18">
        <v>15000000</v>
      </c>
      <c r="J1375" s="18">
        <v>14271564.359999999</v>
      </c>
      <c r="K1375" s="15">
        <v>235</v>
      </c>
      <c r="L1375" s="13" t="s">
        <v>102</v>
      </c>
      <c r="M1375" s="13" t="s">
        <v>103</v>
      </c>
      <c r="N1375" s="138" t="s">
        <v>355</v>
      </c>
      <c r="O1375" s="138" t="s">
        <v>355</v>
      </c>
      <c r="P1375" s="28">
        <v>27</v>
      </c>
      <c r="Q1375" s="13" t="s">
        <v>54</v>
      </c>
      <c r="R1375" s="13" t="s">
        <v>28</v>
      </c>
      <c r="S1375" s="13"/>
      <c r="T1375" s="13"/>
      <c r="U1375" s="13" t="s">
        <v>1205</v>
      </c>
      <c r="V1375" s="13" t="s">
        <v>1205</v>
      </c>
      <c r="W1375" s="59">
        <f>+J1375/$W$2</f>
        <v>2.3356947756447471E-4</v>
      </c>
    </row>
    <row r="1376" spans="1:29">
      <c r="A1376" s="13" t="s">
        <v>565</v>
      </c>
      <c r="B1376" s="13" t="s">
        <v>404</v>
      </c>
      <c r="C1376" s="138">
        <v>46328</v>
      </c>
      <c r="D1376" s="138" t="s">
        <v>424</v>
      </c>
      <c r="E1376" s="28">
        <v>0.95315205999999997</v>
      </c>
      <c r="F1376" s="13"/>
      <c r="G1376" s="18">
        <v>15000000</v>
      </c>
      <c r="H1376" s="18">
        <v>14297280.93</v>
      </c>
      <c r="I1376" s="18">
        <v>15000000</v>
      </c>
      <c r="J1376" s="18">
        <v>14297280.93</v>
      </c>
      <c r="K1376" s="15">
        <v>68218060</v>
      </c>
      <c r="L1376" s="13" t="s">
        <v>102</v>
      </c>
      <c r="M1376" s="13" t="s">
        <v>103</v>
      </c>
      <c r="N1376" s="138" t="s">
        <v>425</v>
      </c>
      <c r="O1376" s="138" t="s">
        <v>425</v>
      </c>
      <c r="P1376" s="28">
        <v>26</v>
      </c>
      <c r="Q1376" s="13" t="s">
        <v>54</v>
      </c>
      <c r="R1376" s="13" t="s">
        <v>28</v>
      </c>
      <c r="S1376" s="13"/>
      <c r="T1376" s="13"/>
      <c r="U1376" s="13" t="s">
        <v>1324</v>
      </c>
      <c r="V1376" s="13" t="s">
        <v>1324</v>
      </c>
      <c r="W1376" s="59">
        <f>+J1376/$W$2</f>
        <v>2.3399035685059457E-4</v>
      </c>
    </row>
    <row r="1377" spans="1:29">
      <c r="A1377" s="13" t="s">
        <v>565</v>
      </c>
      <c r="B1377" s="13" t="s">
        <v>404</v>
      </c>
      <c r="C1377" s="138">
        <v>46328</v>
      </c>
      <c r="D1377" s="138" t="s">
        <v>424</v>
      </c>
      <c r="E1377" s="28">
        <v>0.95487248000000002</v>
      </c>
      <c r="F1377" s="13"/>
      <c r="G1377" s="18">
        <v>32000000</v>
      </c>
      <c r="H1377" s="18">
        <v>30555919.510000002</v>
      </c>
      <c r="I1377" s="18">
        <v>32000000</v>
      </c>
      <c r="J1377" s="18">
        <v>30555919.510000002</v>
      </c>
      <c r="K1377" s="15">
        <v>5313</v>
      </c>
      <c r="L1377" s="13" t="s">
        <v>102</v>
      </c>
      <c r="M1377" s="13" t="s">
        <v>103</v>
      </c>
      <c r="N1377" s="138" t="s">
        <v>346</v>
      </c>
      <c r="O1377" s="138" t="s">
        <v>346</v>
      </c>
      <c r="P1377" s="28">
        <v>25</v>
      </c>
      <c r="Q1377" s="13" t="s">
        <v>54</v>
      </c>
      <c r="R1377" s="13" t="s">
        <v>28</v>
      </c>
      <c r="S1377" s="13"/>
      <c r="T1377" s="13"/>
      <c r="U1377" s="13" t="s">
        <v>1521</v>
      </c>
      <c r="V1377" s="13" t="s">
        <v>1521</v>
      </c>
      <c r="W1377" s="59">
        <f>+J1377/$W$2</f>
        <v>5.0008043802514445E-4</v>
      </c>
      <c r="AC1377" s="56"/>
    </row>
    <row r="1378" spans="1:29">
      <c r="A1378" s="13" t="s">
        <v>466</v>
      </c>
      <c r="B1378" s="13" t="s">
        <v>404</v>
      </c>
      <c r="C1378" s="138">
        <v>46328</v>
      </c>
      <c r="D1378" s="138" t="s">
        <v>424</v>
      </c>
      <c r="E1378" s="28">
        <v>0.94972946000000003</v>
      </c>
      <c r="F1378" s="13"/>
      <c r="G1378" s="18">
        <v>2500000</v>
      </c>
      <c r="H1378" s="18">
        <v>2374323.66</v>
      </c>
      <c r="I1378" s="18">
        <v>2500000</v>
      </c>
      <c r="J1378" s="18">
        <v>2374323.66</v>
      </c>
      <c r="K1378" s="15">
        <v>90031824</v>
      </c>
      <c r="L1378" s="13" t="s">
        <v>102</v>
      </c>
      <c r="M1378" s="13" t="s">
        <v>103</v>
      </c>
      <c r="N1378" s="138" t="s">
        <v>289</v>
      </c>
      <c r="O1378" s="138" t="s">
        <v>289</v>
      </c>
      <c r="P1378" s="28">
        <v>28</v>
      </c>
      <c r="Q1378" s="13" t="s">
        <v>54</v>
      </c>
      <c r="R1378" s="13" t="s">
        <v>28</v>
      </c>
      <c r="S1378" s="13"/>
      <c r="T1378" s="13"/>
      <c r="U1378" s="13" t="s">
        <v>594</v>
      </c>
      <c r="V1378" s="13" t="s">
        <v>594</v>
      </c>
      <c r="W1378" s="59">
        <f>+J1378/$W$2</f>
        <v>3.8858356578589646E-5</v>
      </c>
    </row>
    <row r="1379" spans="1:29">
      <c r="A1379" s="13" t="s">
        <v>375</v>
      </c>
      <c r="B1379" s="13" t="s">
        <v>404</v>
      </c>
      <c r="C1379" s="138">
        <v>46328</v>
      </c>
      <c r="D1379" s="138" t="s">
        <v>424</v>
      </c>
      <c r="E1379" s="28">
        <v>0.94127965999999996</v>
      </c>
      <c r="F1379" s="13"/>
      <c r="G1379" s="18">
        <v>2502550.36</v>
      </c>
      <c r="H1379" s="18">
        <v>2355599.75</v>
      </c>
      <c r="I1379" s="18">
        <v>2502550.36</v>
      </c>
      <c r="J1379" s="18">
        <v>2355599.75</v>
      </c>
      <c r="K1379" s="15">
        <v>3132</v>
      </c>
      <c r="L1379" s="13" t="s">
        <v>102</v>
      </c>
      <c r="M1379" s="13" t="s">
        <v>103</v>
      </c>
      <c r="N1379" s="138" t="s">
        <v>386</v>
      </c>
      <c r="O1379" s="138" t="s">
        <v>386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1835</v>
      </c>
      <c r="V1379" s="13" t="s">
        <v>1835</v>
      </c>
      <c r="W1379" s="59">
        <f>+J1379/$W$2</f>
        <v>3.8551919683071605E-5</v>
      </c>
    </row>
    <row r="1380" spans="1:29">
      <c r="A1380" s="13" t="s">
        <v>375</v>
      </c>
      <c r="B1380" s="13" t="s">
        <v>404</v>
      </c>
      <c r="C1380" s="138">
        <v>46328</v>
      </c>
      <c r="D1380" s="138" t="s">
        <v>424</v>
      </c>
      <c r="E1380" s="28">
        <v>0.94127965999999996</v>
      </c>
      <c r="F1380" s="13"/>
      <c r="G1380" s="18">
        <v>2502550.36</v>
      </c>
      <c r="H1380" s="18">
        <v>2355599.75</v>
      </c>
      <c r="I1380" s="18">
        <v>2502550.36</v>
      </c>
      <c r="J1380" s="18">
        <v>2355599.75</v>
      </c>
      <c r="K1380" s="15">
        <v>3142</v>
      </c>
      <c r="L1380" s="13" t="s">
        <v>102</v>
      </c>
      <c r="M1380" s="13" t="s">
        <v>103</v>
      </c>
      <c r="N1380" s="138" t="s">
        <v>386</v>
      </c>
      <c r="O1380" s="138" t="s">
        <v>386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1838</v>
      </c>
      <c r="V1380" s="13" t="s">
        <v>1838</v>
      </c>
      <c r="W1380" s="59">
        <f>+J1380/$W$2</f>
        <v>3.8551919683071605E-5</v>
      </c>
    </row>
    <row r="1381" spans="1:29">
      <c r="A1381" s="13" t="s">
        <v>405</v>
      </c>
      <c r="B1381" s="13" t="s">
        <v>404</v>
      </c>
      <c r="C1381" s="138">
        <v>46328</v>
      </c>
      <c r="D1381" s="138" t="s">
        <v>424</v>
      </c>
      <c r="E1381" s="28">
        <v>0.94633153999999997</v>
      </c>
      <c r="F1381" s="13"/>
      <c r="G1381" s="18">
        <v>2500000</v>
      </c>
      <c r="H1381" s="18">
        <v>2365828.84</v>
      </c>
      <c r="I1381" s="18">
        <v>2500000</v>
      </c>
      <c r="J1381" s="18">
        <v>2365828.84</v>
      </c>
      <c r="K1381" s="15">
        <v>887</v>
      </c>
      <c r="L1381" s="13" t="s">
        <v>102</v>
      </c>
      <c r="M1381" s="13" t="s">
        <v>103</v>
      </c>
      <c r="N1381" s="138" t="s">
        <v>484</v>
      </c>
      <c r="O1381" s="138" t="s">
        <v>484</v>
      </c>
      <c r="P1381" s="28">
        <v>30</v>
      </c>
      <c r="Q1381" s="13" t="s">
        <v>54</v>
      </c>
      <c r="R1381" s="13" t="s">
        <v>28</v>
      </c>
      <c r="S1381" s="13"/>
      <c r="T1381" s="13"/>
      <c r="U1381" s="13" t="s">
        <v>2092</v>
      </c>
      <c r="V1381" s="13" t="s">
        <v>2092</v>
      </c>
      <c r="W1381" s="59">
        <f>+J1381/$W$2</f>
        <v>3.8719329726357146E-5</v>
      </c>
    </row>
    <row r="1382" spans="1:29">
      <c r="A1382" s="13" t="s">
        <v>405</v>
      </c>
      <c r="B1382" s="13" t="s">
        <v>404</v>
      </c>
      <c r="C1382" s="138">
        <v>46328</v>
      </c>
      <c r="D1382" s="138" t="s">
        <v>424</v>
      </c>
      <c r="E1382" s="28">
        <v>0.94633140000000004</v>
      </c>
      <c r="F1382" s="13"/>
      <c r="G1382" s="18">
        <v>3800000</v>
      </c>
      <c r="H1382" s="18">
        <v>3596059.33</v>
      </c>
      <c r="I1382" s="18">
        <v>3800000</v>
      </c>
      <c r="J1382" s="18">
        <v>3596059.33</v>
      </c>
      <c r="K1382" s="15">
        <v>929</v>
      </c>
      <c r="L1382" s="13" t="s">
        <v>102</v>
      </c>
      <c r="M1382" s="13" t="s">
        <v>103</v>
      </c>
      <c r="N1382" s="138" t="s">
        <v>422</v>
      </c>
      <c r="O1382" s="138" t="s">
        <v>422</v>
      </c>
      <c r="P1382" s="28">
        <v>30</v>
      </c>
      <c r="Q1382" s="13" t="s">
        <v>54</v>
      </c>
      <c r="R1382" s="13" t="s">
        <v>28</v>
      </c>
      <c r="S1382" s="13"/>
      <c r="T1382" s="13"/>
      <c r="U1382" s="13" t="s">
        <v>2259</v>
      </c>
      <c r="V1382" s="13" t="s">
        <v>2259</v>
      </c>
      <c r="W1382" s="59">
        <f>+J1382/$W$2</f>
        <v>5.8853372889736592E-5</v>
      </c>
    </row>
    <row r="1383" spans="1:29">
      <c r="A1383" s="13" t="s">
        <v>405</v>
      </c>
      <c r="B1383" s="13" t="s">
        <v>404</v>
      </c>
      <c r="C1383" s="138">
        <v>46328</v>
      </c>
      <c r="D1383" s="138" t="s">
        <v>424</v>
      </c>
      <c r="E1383" s="28">
        <v>0.94127974000000003</v>
      </c>
      <c r="F1383" s="13"/>
      <c r="G1383" s="18">
        <v>2500000</v>
      </c>
      <c r="H1383" s="18">
        <v>2353199.36</v>
      </c>
      <c r="I1383" s="18">
        <v>2500000</v>
      </c>
      <c r="J1383" s="18">
        <v>2353199.36</v>
      </c>
      <c r="K1383" s="15">
        <v>1009</v>
      </c>
      <c r="L1383" s="13" t="s">
        <v>102</v>
      </c>
      <c r="M1383" s="13" t="s">
        <v>103</v>
      </c>
      <c r="N1383" s="138" t="s">
        <v>170</v>
      </c>
      <c r="O1383" s="138" t="s">
        <v>170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2493</v>
      </c>
      <c r="V1383" s="13" t="s">
        <v>2493</v>
      </c>
      <c r="W1383" s="59">
        <f>+J1383/$W$2</f>
        <v>3.8512634722845213E-5</v>
      </c>
    </row>
    <row r="1384" spans="1:29">
      <c r="A1384" s="13" t="s">
        <v>405</v>
      </c>
      <c r="B1384" s="13" t="s">
        <v>404</v>
      </c>
      <c r="C1384" s="138">
        <v>46328</v>
      </c>
      <c r="D1384" s="138" t="s">
        <v>424</v>
      </c>
      <c r="E1384" s="28">
        <v>0.94295755999999997</v>
      </c>
      <c r="F1384" s="13"/>
      <c r="G1384" s="18">
        <v>3000000</v>
      </c>
      <c r="H1384" s="18">
        <v>2828872.67</v>
      </c>
      <c r="I1384" s="18">
        <v>3000000</v>
      </c>
      <c r="J1384" s="18">
        <v>2828872.67</v>
      </c>
      <c r="K1384" s="15">
        <v>1047</v>
      </c>
      <c r="L1384" s="13" t="s">
        <v>102</v>
      </c>
      <c r="M1384" s="13" t="s">
        <v>103</v>
      </c>
      <c r="N1384" s="138" t="s">
        <v>424</v>
      </c>
      <c r="O1384" s="138" t="s">
        <v>424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2616</v>
      </c>
      <c r="V1384" s="13" t="s">
        <v>2616</v>
      </c>
      <c r="W1384" s="59">
        <f>+J1384/$W$2</f>
        <v>4.6297539285897921E-5</v>
      </c>
    </row>
    <row r="1385" spans="1:29">
      <c r="A1385" s="13" t="s">
        <v>375</v>
      </c>
      <c r="B1385" s="13" t="s">
        <v>404</v>
      </c>
      <c r="C1385" s="138">
        <v>46328</v>
      </c>
      <c r="D1385" s="138" t="s">
        <v>424</v>
      </c>
      <c r="E1385" s="28">
        <v>0.93960785000000002</v>
      </c>
      <c r="F1385" s="13"/>
      <c r="G1385" s="18">
        <v>1020845.65</v>
      </c>
      <c r="H1385" s="18">
        <v>959194.59</v>
      </c>
      <c r="I1385" s="18">
        <v>1020845.65</v>
      </c>
      <c r="J1385" s="18">
        <v>959194.59</v>
      </c>
      <c r="K1385" s="15">
        <v>2908</v>
      </c>
      <c r="L1385" s="13" t="s">
        <v>102</v>
      </c>
      <c r="M1385" s="13" t="s">
        <v>103</v>
      </c>
      <c r="N1385" s="138" t="s">
        <v>343</v>
      </c>
      <c r="O1385" s="138" t="s">
        <v>343</v>
      </c>
      <c r="P1385" s="28">
        <v>34</v>
      </c>
      <c r="Q1385" s="13" t="s">
        <v>54</v>
      </c>
      <c r="R1385" s="13" t="s">
        <v>28</v>
      </c>
      <c r="S1385" s="13"/>
      <c r="T1385" s="13"/>
      <c r="U1385" s="13" t="s">
        <v>1432</v>
      </c>
      <c r="V1385" s="13" t="s">
        <v>1432</v>
      </c>
      <c r="W1385" s="59">
        <f>+J1385/$W$2</f>
        <v>1.5698249583409405E-5</v>
      </c>
    </row>
    <row r="1386" spans="1:29">
      <c r="A1386" s="13" t="s">
        <v>375</v>
      </c>
      <c r="B1386" s="13" t="s">
        <v>404</v>
      </c>
      <c r="C1386" s="138">
        <v>46328</v>
      </c>
      <c r="D1386" s="138" t="s">
        <v>424</v>
      </c>
      <c r="E1386" s="28">
        <v>0.93960783999999997</v>
      </c>
      <c r="F1386" s="13"/>
      <c r="G1386" s="18">
        <v>990902.64</v>
      </c>
      <c r="H1386" s="18">
        <v>931059.89</v>
      </c>
      <c r="I1386" s="18">
        <v>990902.64</v>
      </c>
      <c r="J1386" s="18">
        <v>931059.89</v>
      </c>
      <c r="K1386" s="15">
        <v>2958</v>
      </c>
      <c r="L1386" s="13" t="s">
        <v>102</v>
      </c>
      <c r="M1386" s="13" t="s">
        <v>103</v>
      </c>
      <c r="N1386" s="138" t="s">
        <v>343</v>
      </c>
      <c r="O1386" s="138" t="s">
        <v>343</v>
      </c>
      <c r="P1386" s="28">
        <v>34</v>
      </c>
      <c r="Q1386" s="13" t="s">
        <v>54</v>
      </c>
      <c r="R1386" s="13" t="s">
        <v>28</v>
      </c>
      <c r="S1386" s="13"/>
      <c r="T1386" s="13"/>
      <c r="U1386" s="13" t="s">
        <v>1433</v>
      </c>
      <c r="V1386" s="13" t="s">
        <v>1433</v>
      </c>
      <c r="W1386" s="59">
        <f>+J1386/$W$2</f>
        <v>1.523779500291146E-5</v>
      </c>
    </row>
    <row r="1387" spans="1:29">
      <c r="A1387" s="13" t="s">
        <v>2224</v>
      </c>
      <c r="B1387" s="13" t="s">
        <v>404</v>
      </c>
      <c r="C1387" s="138">
        <v>46328</v>
      </c>
      <c r="D1387" s="138" t="s">
        <v>424</v>
      </c>
      <c r="E1387" s="28">
        <v>0.94295755999999997</v>
      </c>
      <c r="F1387" s="13"/>
      <c r="G1387" s="18">
        <v>5444206</v>
      </c>
      <c r="H1387" s="18">
        <v>5133655.18</v>
      </c>
      <c r="I1387" s="18">
        <v>5444206</v>
      </c>
      <c r="J1387" s="18">
        <v>5133655.18</v>
      </c>
      <c r="K1387" s="15">
        <v>3444</v>
      </c>
      <c r="L1387" s="13" t="s">
        <v>102</v>
      </c>
      <c r="M1387" s="13" t="s">
        <v>103</v>
      </c>
      <c r="N1387" s="138" t="s">
        <v>424</v>
      </c>
      <c r="O1387" s="138" t="s">
        <v>424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2643</v>
      </c>
      <c r="V1387" s="13" t="s">
        <v>2643</v>
      </c>
      <c r="W1387" s="59">
        <f>+J1387/$W$2</f>
        <v>8.4017780261669883E-5</v>
      </c>
      <c r="AC1387" s="56"/>
    </row>
    <row r="1388" spans="1:29">
      <c r="A1388" s="13" t="s">
        <v>174</v>
      </c>
      <c r="B1388" s="13" t="s">
        <v>404</v>
      </c>
      <c r="C1388" s="138">
        <v>46328</v>
      </c>
      <c r="D1388" s="138" t="s">
        <v>424</v>
      </c>
      <c r="E1388" s="28">
        <v>0.93297914999999998</v>
      </c>
      <c r="F1388" s="13"/>
      <c r="G1388" s="18">
        <v>247000000</v>
      </c>
      <c r="H1388" s="18">
        <v>230445851.24000001</v>
      </c>
      <c r="I1388" s="18">
        <v>247000000</v>
      </c>
      <c r="J1388" s="18">
        <v>230445851.24000001</v>
      </c>
      <c r="K1388" s="15">
        <v>70403676</v>
      </c>
      <c r="L1388" s="13" t="s">
        <v>102</v>
      </c>
      <c r="M1388" s="13" t="s">
        <v>103</v>
      </c>
      <c r="N1388" s="138" t="s">
        <v>464</v>
      </c>
      <c r="O1388" s="138" t="s">
        <v>464</v>
      </c>
      <c r="P1388" s="28">
        <v>38</v>
      </c>
      <c r="Q1388" s="13" t="s">
        <v>54</v>
      </c>
      <c r="R1388" s="13" t="s">
        <v>28</v>
      </c>
      <c r="S1388" s="13"/>
      <c r="T1388" s="13"/>
      <c r="U1388" s="13" t="s">
        <v>2538</v>
      </c>
      <c r="V1388" s="13" t="s">
        <v>2538</v>
      </c>
      <c r="W1388" s="59">
        <f>+J1388/$W$2</f>
        <v>3.771493840709377E-3</v>
      </c>
    </row>
    <row r="1389" spans="1:29">
      <c r="A1389" s="13" t="s">
        <v>413</v>
      </c>
      <c r="B1389" s="13" t="s">
        <v>404</v>
      </c>
      <c r="C1389" s="138">
        <v>46328</v>
      </c>
      <c r="D1389" s="138" t="s">
        <v>424</v>
      </c>
      <c r="E1389" s="28">
        <v>0.94295768000000002</v>
      </c>
      <c r="F1389" s="13"/>
      <c r="G1389" s="18">
        <v>11829797.539999999</v>
      </c>
      <c r="H1389" s="18">
        <v>11154998.42</v>
      </c>
      <c r="I1389" s="18">
        <v>11829797.539999999</v>
      </c>
      <c r="J1389" s="18">
        <v>11154998.42</v>
      </c>
      <c r="K1389" s="15">
        <v>30888</v>
      </c>
      <c r="L1389" s="13" t="s">
        <v>102</v>
      </c>
      <c r="M1389" s="13" t="s">
        <v>103</v>
      </c>
      <c r="N1389" s="138" t="s">
        <v>387</v>
      </c>
      <c r="O1389" s="138" t="s">
        <v>387</v>
      </c>
      <c r="P1389" s="28">
        <v>32</v>
      </c>
      <c r="Q1389" s="13" t="s">
        <v>54</v>
      </c>
      <c r="R1389" s="13" t="s">
        <v>28</v>
      </c>
      <c r="S1389" s="13"/>
      <c r="T1389" s="13"/>
      <c r="U1389" s="13" t="s">
        <v>1736</v>
      </c>
      <c r="V1389" s="13" t="s">
        <v>1736</v>
      </c>
      <c r="W1389" s="59">
        <f>+J1389/$W$2</f>
        <v>1.8256352894953002E-4</v>
      </c>
      <c r="AC1389" s="56"/>
    </row>
    <row r="1390" spans="1:29">
      <c r="A1390" s="13" t="s">
        <v>413</v>
      </c>
      <c r="B1390" s="13" t="s">
        <v>404</v>
      </c>
      <c r="C1390" s="138">
        <v>46328</v>
      </c>
      <c r="D1390" s="138" t="s">
        <v>424</v>
      </c>
      <c r="E1390" s="28">
        <v>0.94295762999999999</v>
      </c>
      <c r="F1390" s="13"/>
      <c r="G1390" s="18">
        <v>10655603.279999999</v>
      </c>
      <c r="H1390" s="18">
        <v>10047782.439999999</v>
      </c>
      <c r="I1390" s="18">
        <v>10655603.279999999</v>
      </c>
      <c r="J1390" s="18">
        <v>10047782.439999999</v>
      </c>
      <c r="K1390" s="15">
        <v>30834</v>
      </c>
      <c r="L1390" s="13" t="s">
        <v>102</v>
      </c>
      <c r="M1390" s="13" t="s">
        <v>103</v>
      </c>
      <c r="N1390" s="138" t="s">
        <v>421</v>
      </c>
      <c r="O1390" s="138" t="s">
        <v>421</v>
      </c>
      <c r="P1390" s="28">
        <v>32</v>
      </c>
      <c r="Q1390" s="13" t="s">
        <v>54</v>
      </c>
      <c r="R1390" s="13" t="s">
        <v>28</v>
      </c>
      <c r="S1390" s="13"/>
      <c r="T1390" s="13"/>
      <c r="U1390" s="13" t="s">
        <v>1361</v>
      </c>
      <c r="V1390" s="13" t="s">
        <v>1361</v>
      </c>
      <c r="W1390" s="59">
        <f>+J1390/$W$2</f>
        <v>1.6444275035258312E-4</v>
      </c>
    </row>
    <row r="1391" spans="1:29">
      <c r="A1391" s="13" t="s">
        <v>1233</v>
      </c>
      <c r="B1391" s="13" t="s">
        <v>404</v>
      </c>
      <c r="C1391" s="138">
        <v>46328</v>
      </c>
      <c r="D1391" s="138" t="s">
        <v>424</v>
      </c>
      <c r="E1391" s="28">
        <v>0.94127972000000004</v>
      </c>
      <c r="F1391" s="13"/>
      <c r="G1391" s="18">
        <v>333534247</v>
      </c>
      <c r="H1391" s="18">
        <v>313949022.63</v>
      </c>
      <c r="I1391" s="18">
        <v>333534247</v>
      </c>
      <c r="J1391" s="18">
        <v>313949022.63</v>
      </c>
      <c r="K1391" s="15">
        <v>155636</v>
      </c>
      <c r="L1391" s="13" t="s">
        <v>102</v>
      </c>
      <c r="M1391" s="13" t="s">
        <v>103</v>
      </c>
      <c r="N1391" s="138" t="s">
        <v>374</v>
      </c>
      <c r="O1391" s="138" t="s">
        <v>374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1224</v>
      </c>
      <c r="V1391" s="13" t="s">
        <v>1224</v>
      </c>
      <c r="W1391" s="59">
        <f>+J1391/$W$2</f>
        <v>5.1381129179567074E-3</v>
      </c>
    </row>
    <row r="1392" spans="1:29">
      <c r="A1392" s="13" t="s">
        <v>318</v>
      </c>
      <c r="B1392" s="13" t="s">
        <v>404</v>
      </c>
      <c r="C1392" s="138">
        <v>46329</v>
      </c>
      <c r="D1392" s="138" t="s">
        <v>424</v>
      </c>
      <c r="E1392" s="28">
        <v>0.95951635000000002</v>
      </c>
      <c r="F1392" s="13"/>
      <c r="G1392" s="18">
        <v>13000000</v>
      </c>
      <c r="H1392" s="18">
        <v>12473712.59</v>
      </c>
      <c r="I1392" s="18">
        <v>13000000</v>
      </c>
      <c r="J1392" s="18">
        <v>12473712.59</v>
      </c>
      <c r="K1392" s="15">
        <v>34115</v>
      </c>
      <c r="L1392" s="13" t="s">
        <v>102</v>
      </c>
      <c r="M1392" s="13" t="s">
        <v>103</v>
      </c>
      <c r="N1392" s="138" t="s">
        <v>163</v>
      </c>
      <c r="O1392" s="138" t="s">
        <v>163</v>
      </c>
      <c r="P1392" s="28">
        <v>22</v>
      </c>
      <c r="Q1392" s="13" t="s">
        <v>54</v>
      </c>
      <c r="R1392" s="13" t="s">
        <v>28</v>
      </c>
      <c r="S1392" s="13"/>
      <c r="T1392" s="13"/>
      <c r="U1392" s="13" t="s">
        <v>1147</v>
      </c>
      <c r="V1392" s="13" t="s">
        <v>1147</v>
      </c>
      <c r="W1392" s="59">
        <f>+J1392/$W$2</f>
        <v>2.0414570256233009E-4</v>
      </c>
      <c r="AC1392" s="56"/>
    </row>
    <row r="1393" spans="1:29">
      <c r="A1393" s="13" t="s">
        <v>2682</v>
      </c>
      <c r="B1393" s="13" t="s">
        <v>404</v>
      </c>
      <c r="C1393" s="138">
        <v>46329</v>
      </c>
      <c r="D1393" s="138" t="s">
        <v>424</v>
      </c>
      <c r="E1393" s="28">
        <v>0.94217885999999995</v>
      </c>
      <c r="F1393" s="13"/>
      <c r="G1393" s="18">
        <v>6714705.04</v>
      </c>
      <c r="H1393" s="18">
        <v>6326453.1399999997</v>
      </c>
      <c r="I1393" s="18">
        <v>6714705.04</v>
      </c>
      <c r="J1393" s="18">
        <v>6326453.1399999997</v>
      </c>
      <c r="K1393" s="15">
        <v>198202</v>
      </c>
      <c r="L1393" s="13" t="s">
        <v>102</v>
      </c>
      <c r="M1393" s="13" t="s">
        <v>103</v>
      </c>
      <c r="N1393" s="138" t="s">
        <v>424</v>
      </c>
      <c r="O1393" s="138" t="s">
        <v>424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2637</v>
      </c>
      <c r="V1393" s="13" t="s">
        <v>2637</v>
      </c>
      <c r="W1393" s="59">
        <f>+J1393/$W$2</f>
        <v>1.035391998712838E-4</v>
      </c>
    </row>
    <row r="1394" spans="1:29">
      <c r="A1394" s="13" t="s">
        <v>896</v>
      </c>
      <c r="B1394" s="13" t="s">
        <v>404</v>
      </c>
      <c r="C1394" s="138">
        <v>46329</v>
      </c>
      <c r="D1394" s="138" t="s">
        <v>424</v>
      </c>
      <c r="E1394" s="28">
        <v>0.94047937000000004</v>
      </c>
      <c r="F1394" s="13"/>
      <c r="G1394" s="18">
        <v>1655023.2</v>
      </c>
      <c r="H1394" s="18">
        <v>1556515.18</v>
      </c>
      <c r="I1394" s="18">
        <v>1655023.2</v>
      </c>
      <c r="J1394" s="18">
        <v>1556515.18</v>
      </c>
      <c r="K1394" s="15">
        <v>610</v>
      </c>
      <c r="L1394" s="13" t="s">
        <v>102</v>
      </c>
      <c r="M1394" s="13" t="s">
        <v>103</v>
      </c>
      <c r="N1394" s="138" t="s">
        <v>164</v>
      </c>
      <c r="O1394" s="138" t="s">
        <v>164</v>
      </c>
      <c r="P1394" s="28">
        <v>33</v>
      </c>
      <c r="Q1394" s="13" t="s">
        <v>54</v>
      </c>
      <c r="R1394" s="13" t="s">
        <v>28</v>
      </c>
      <c r="S1394" s="13"/>
      <c r="T1394" s="13"/>
      <c r="U1394" s="13" t="s">
        <v>889</v>
      </c>
      <c r="V1394" s="13" t="s">
        <v>889</v>
      </c>
      <c r="W1394" s="59">
        <f>+J1394/$W$2</f>
        <v>2.5474042525620809E-5</v>
      </c>
    </row>
    <row r="1395" spans="1:29">
      <c r="A1395" s="13" t="s">
        <v>896</v>
      </c>
      <c r="B1395" s="13" t="s">
        <v>404</v>
      </c>
      <c r="C1395" s="138">
        <v>46329</v>
      </c>
      <c r="D1395" s="138" t="s">
        <v>424</v>
      </c>
      <c r="E1395" s="28">
        <v>0.94047935999999999</v>
      </c>
      <c r="F1395" s="13"/>
      <c r="G1395" s="18">
        <v>3772034.12</v>
      </c>
      <c r="H1395" s="18">
        <v>3547520.23</v>
      </c>
      <c r="I1395" s="18">
        <v>3772034.12</v>
      </c>
      <c r="J1395" s="18">
        <v>3547520.23</v>
      </c>
      <c r="K1395" s="15">
        <v>639</v>
      </c>
      <c r="L1395" s="13" t="s">
        <v>102</v>
      </c>
      <c r="M1395" s="13" t="s">
        <v>103</v>
      </c>
      <c r="N1395" s="138" t="s">
        <v>164</v>
      </c>
      <c r="O1395" s="138" t="s">
        <v>164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891</v>
      </c>
      <c r="V1395" s="13" t="s">
        <v>891</v>
      </c>
      <c r="W1395" s="59">
        <f>+J1395/$W$2</f>
        <v>5.8058978390124091E-5</v>
      </c>
      <c r="AC1395" s="56"/>
    </row>
    <row r="1396" spans="1:29">
      <c r="A1396" s="13" t="s">
        <v>157</v>
      </c>
      <c r="B1396" s="13" t="s">
        <v>404</v>
      </c>
      <c r="C1396" s="138">
        <v>46329</v>
      </c>
      <c r="D1396" s="138" t="s">
        <v>424</v>
      </c>
      <c r="E1396" s="28">
        <v>0.95076844999999999</v>
      </c>
      <c r="F1396" s="13"/>
      <c r="G1396" s="18">
        <v>110000000</v>
      </c>
      <c r="H1396" s="18">
        <v>104584529.13</v>
      </c>
      <c r="I1396" s="18">
        <v>110000000</v>
      </c>
      <c r="J1396" s="18">
        <v>104584529.13</v>
      </c>
      <c r="K1396" s="15">
        <v>377</v>
      </c>
      <c r="L1396" s="13" t="s">
        <v>102</v>
      </c>
      <c r="M1396" s="13" t="s">
        <v>103</v>
      </c>
      <c r="N1396" s="138" t="s">
        <v>419</v>
      </c>
      <c r="O1396" s="138" t="s">
        <v>419</v>
      </c>
      <c r="P1396" s="28">
        <v>27</v>
      </c>
      <c r="Q1396" s="13" t="s">
        <v>54</v>
      </c>
      <c r="R1396" s="13" t="s">
        <v>28</v>
      </c>
      <c r="S1396" s="13"/>
      <c r="T1396" s="13"/>
      <c r="U1396" s="13" t="s">
        <v>1238</v>
      </c>
      <c r="V1396" s="13" t="s">
        <v>1238</v>
      </c>
      <c r="W1396" s="59">
        <f>+J1396/$W$2</f>
        <v>1.7116381367894196E-3</v>
      </c>
    </row>
    <row r="1397" spans="1:29">
      <c r="A1397" s="13" t="s">
        <v>1024</v>
      </c>
      <c r="B1397" s="13" t="s">
        <v>404</v>
      </c>
      <c r="C1397" s="138">
        <v>46329</v>
      </c>
      <c r="D1397" s="138" t="s">
        <v>424</v>
      </c>
      <c r="E1397" s="28">
        <v>0.94217870000000004</v>
      </c>
      <c r="F1397" s="13"/>
      <c r="G1397" s="18">
        <v>3517425</v>
      </c>
      <c r="H1397" s="18">
        <v>3314042.92</v>
      </c>
      <c r="I1397" s="18">
        <v>3517425</v>
      </c>
      <c r="J1397" s="18">
        <v>3314042.92</v>
      </c>
      <c r="K1397" s="15">
        <v>67525725</v>
      </c>
      <c r="L1397" s="13" t="s">
        <v>102</v>
      </c>
      <c r="M1397" s="13" t="s">
        <v>103</v>
      </c>
      <c r="N1397" s="138" t="s">
        <v>338</v>
      </c>
      <c r="O1397" s="138" t="s">
        <v>338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1012</v>
      </c>
      <c r="V1397" s="13" t="s">
        <v>1012</v>
      </c>
      <c r="W1397" s="59">
        <f>+J1397/$W$2</f>
        <v>5.4237871471200531E-5</v>
      </c>
    </row>
    <row r="1398" spans="1:29">
      <c r="A1398" s="13" t="s">
        <v>285</v>
      </c>
      <c r="B1398" s="13" t="s">
        <v>404</v>
      </c>
      <c r="C1398" s="138">
        <v>46329</v>
      </c>
      <c r="D1398" s="138" t="s">
        <v>424</v>
      </c>
      <c r="E1398" s="28">
        <v>0.94559603999999997</v>
      </c>
      <c r="F1398" s="13"/>
      <c r="G1398" s="18">
        <v>25000000</v>
      </c>
      <c r="H1398" s="18">
        <v>23639901.050000001</v>
      </c>
      <c r="I1398" s="18">
        <v>25000000</v>
      </c>
      <c r="J1398" s="18">
        <v>23639901.050000001</v>
      </c>
      <c r="K1398" s="15">
        <v>12742279</v>
      </c>
      <c r="L1398" s="13" t="s">
        <v>102</v>
      </c>
      <c r="M1398" s="13" t="s">
        <v>103</v>
      </c>
      <c r="N1398" s="138" t="s">
        <v>342</v>
      </c>
      <c r="O1398" s="138" t="s">
        <v>342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2399</v>
      </c>
      <c r="V1398" s="13" t="s">
        <v>2399</v>
      </c>
      <c r="W1398" s="59">
        <f>+J1398/$W$2</f>
        <v>3.8689236853389894E-4</v>
      </c>
      <c r="AC1398" s="56"/>
    </row>
    <row r="1399" spans="1:29">
      <c r="A1399" s="13" t="s">
        <v>285</v>
      </c>
      <c r="B1399" s="13" t="s">
        <v>404</v>
      </c>
      <c r="C1399" s="138">
        <v>46329</v>
      </c>
      <c r="D1399" s="138" t="s">
        <v>424</v>
      </c>
      <c r="E1399" s="28">
        <v>0.95250524000000003</v>
      </c>
      <c r="F1399" s="13"/>
      <c r="G1399" s="18">
        <v>15000000</v>
      </c>
      <c r="H1399" s="18">
        <v>14287578.6</v>
      </c>
      <c r="I1399" s="18">
        <v>15000000</v>
      </c>
      <c r="J1399" s="18">
        <v>14287578.6</v>
      </c>
      <c r="K1399" s="15">
        <v>9621093</v>
      </c>
      <c r="L1399" s="13" t="s">
        <v>102</v>
      </c>
      <c r="M1399" s="13" t="s">
        <v>103</v>
      </c>
      <c r="N1399" s="138" t="s">
        <v>339</v>
      </c>
      <c r="O1399" s="138" t="s">
        <v>339</v>
      </c>
      <c r="P1399" s="28">
        <v>26</v>
      </c>
      <c r="Q1399" s="13" t="s">
        <v>54</v>
      </c>
      <c r="R1399" s="13" t="s">
        <v>28</v>
      </c>
      <c r="S1399" s="13"/>
      <c r="T1399" s="13"/>
      <c r="U1399" s="13" t="s">
        <v>1594</v>
      </c>
      <c r="V1399" s="13" t="s">
        <v>1594</v>
      </c>
      <c r="W1399" s="59">
        <f>+J1399/$W$2</f>
        <v>2.33831567800418E-4</v>
      </c>
      <c r="AC1399" s="56"/>
    </row>
    <row r="1400" spans="1:29">
      <c r="A1400" s="13" t="s">
        <v>285</v>
      </c>
      <c r="B1400" s="13" t="s">
        <v>404</v>
      </c>
      <c r="C1400" s="138">
        <v>46329</v>
      </c>
      <c r="D1400" s="138" t="s">
        <v>424</v>
      </c>
      <c r="E1400" s="28">
        <v>0.95076848999999997</v>
      </c>
      <c r="F1400" s="13"/>
      <c r="G1400" s="18">
        <v>10000000</v>
      </c>
      <c r="H1400" s="18">
        <v>9507684.8699999992</v>
      </c>
      <c r="I1400" s="18">
        <v>10000000</v>
      </c>
      <c r="J1400" s="18">
        <v>9507684.8699999992</v>
      </c>
      <c r="K1400" s="15">
        <v>2013</v>
      </c>
      <c r="L1400" s="13" t="s">
        <v>102</v>
      </c>
      <c r="M1400" s="13" t="s">
        <v>103</v>
      </c>
      <c r="N1400" s="138" t="s">
        <v>420</v>
      </c>
      <c r="O1400" s="138" t="s">
        <v>420</v>
      </c>
      <c r="P1400" s="28">
        <v>27</v>
      </c>
      <c r="Q1400" s="13" t="s">
        <v>54</v>
      </c>
      <c r="R1400" s="13" t="s">
        <v>28</v>
      </c>
      <c r="S1400" s="13"/>
      <c r="T1400" s="13"/>
      <c r="U1400" s="13" t="s">
        <v>1302</v>
      </c>
      <c r="V1400" s="13" t="s">
        <v>1302</v>
      </c>
      <c r="W1400" s="59">
        <f>+J1400/$W$2</f>
        <v>1.5560347358679891E-4</v>
      </c>
    </row>
    <row r="1401" spans="1:29">
      <c r="A1401" s="13" t="s">
        <v>375</v>
      </c>
      <c r="B1401" s="13" t="s">
        <v>404</v>
      </c>
      <c r="C1401" s="138">
        <v>46329</v>
      </c>
      <c r="D1401" s="138" t="s">
        <v>424</v>
      </c>
      <c r="E1401" s="28">
        <v>0.94047944000000006</v>
      </c>
      <c r="F1401" s="13"/>
      <c r="G1401" s="18">
        <v>2502550.36</v>
      </c>
      <c r="H1401" s="18">
        <v>2353597.16</v>
      </c>
      <c r="I1401" s="18">
        <v>2502550.36</v>
      </c>
      <c r="J1401" s="18">
        <v>2353597.16</v>
      </c>
      <c r="K1401" s="15">
        <v>3143</v>
      </c>
      <c r="L1401" s="13" t="s">
        <v>102</v>
      </c>
      <c r="M1401" s="13" t="s">
        <v>103</v>
      </c>
      <c r="N1401" s="138" t="s">
        <v>386</v>
      </c>
      <c r="O1401" s="138" t="s">
        <v>386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1839</v>
      </c>
      <c r="V1401" s="13" t="s">
        <v>1839</v>
      </c>
      <c r="W1401" s="59">
        <f>+J1401/$W$2</f>
        <v>3.8519145147058809E-5</v>
      </c>
    </row>
    <row r="1402" spans="1:29">
      <c r="A1402" s="13" t="s">
        <v>375</v>
      </c>
      <c r="B1402" s="13" t="s">
        <v>404</v>
      </c>
      <c r="C1402" s="138">
        <v>46329</v>
      </c>
      <c r="D1402" s="138" t="s">
        <v>424</v>
      </c>
      <c r="E1402" s="28">
        <v>0.94047944000000006</v>
      </c>
      <c r="F1402" s="13"/>
      <c r="G1402" s="18">
        <v>2502550.36</v>
      </c>
      <c r="H1402" s="18">
        <v>2353597.16</v>
      </c>
      <c r="I1402" s="18">
        <v>2502550.36</v>
      </c>
      <c r="J1402" s="18">
        <v>2353597.16</v>
      </c>
      <c r="K1402" s="15">
        <v>3133</v>
      </c>
      <c r="L1402" s="13" t="s">
        <v>102</v>
      </c>
      <c r="M1402" s="13" t="s">
        <v>103</v>
      </c>
      <c r="N1402" s="138" t="s">
        <v>386</v>
      </c>
      <c r="O1402" s="138" t="s">
        <v>386</v>
      </c>
      <c r="P1402" s="28">
        <v>33</v>
      </c>
      <c r="Q1402" s="13" t="s">
        <v>54</v>
      </c>
      <c r="R1402" s="13" t="s">
        <v>28</v>
      </c>
      <c r="S1402" s="13"/>
      <c r="T1402" s="13"/>
      <c r="U1402" s="13" t="s">
        <v>1840</v>
      </c>
      <c r="V1402" s="13" t="s">
        <v>1840</v>
      </c>
      <c r="W1402" s="59">
        <f>+J1402/$W$2</f>
        <v>3.8519145147058809E-5</v>
      </c>
    </row>
    <row r="1403" spans="1:29">
      <c r="A1403" s="13" t="s">
        <v>375</v>
      </c>
      <c r="B1403" s="13" t="s">
        <v>404</v>
      </c>
      <c r="C1403" s="138">
        <v>46329</v>
      </c>
      <c r="D1403" s="138" t="s">
        <v>424</v>
      </c>
      <c r="E1403" s="28">
        <v>0.93878614000000005</v>
      </c>
      <c r="F1403" s="13"/>
      <c r="G1403" s="18">
        <v>990902.64</v>
      </c>
      <c r="H1403" s="18">
        <v>930245.66</v>
      </c>
      <c r="I1403" s="18">
        <v>990902.64</v>
      </c>
      <c r="J1403" s="18">
        <v>930245.66</v>
      </c>
      <c r="K1403" s="15">
        <v>2959</v>
      </c>
      <c r="L1403" s="13" t="s">
        <v>102</v>
      </c>
      <c r="M1403" s="13" t="s">
        <v>103</v>
      </c>
      <c r="N1403" s="138" t="s">
        <v>343</v>
      </c>
      <c r="O1403" s="138" t="s">
        <v>343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1436</v>
      </c>
      <c r="V1403" s="13" t="s">
        <v>1436</v>
      </c>
      <c r="W1403" s="59">
        <f>+J1403/$W$2</f>
        <v>1.5224469254526768E-5</v>
      </c>
    </row>
    <row r="1404" spans="1:29">
      <c r="A1404" s="13" t="s">
        <v>375</v>
      </c>
      <c r="B1404" s="13" t="s">
        <v>404</v>
      </c>
      <c r="C1404" s="138">
        <v>46329</v>
      </c>
      <c r="D1404" s="138" t="s">
        <v>424</v>
      </c>
      <c r="E1404" s="28">
        <v>0.93878611000000001</v>
      </c>
      <c r="F1404" s="13"/>
      <c r="G1404" s="18">
        <v>1020845.65</v>
      </c>
      <c r="H1404" s="18">
        <v>958355.72</v>
      </c>
      <c r="I1404" s="18">
        <v>1020845.65</v>
      </c>
      <c r="J1404" s="18">
        <v>958355.72</v>
      </c>
      <c r="K1404" s="15">
        <v>2909</v>
      </c>
      <c r="L1404" s="13" t="s">
        <v>102</v>
      </c>
      <c r="M1404" s="13" t="s">
        <v>103</v>
      </c>
      <c r="N1404" s="138" t="s">
        <v>343</v>
      </c>
      <c r="O1404" s="138" t="s">
        <v>343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1437</v>
      </c>
      <c r="V1404" s="13" t="s">
        <v>1437</v>
      </c>
      <c r="W1404" s="59">
        <f>+J1404/$W$2</f>
        <v>1.5684520574962814E-5</v>
      </c>
    </row>
    <row r="1405" spans="1:29">
      <c r="A1405" s="13" t="s">
        <v>1325</v>
      </c>
      <c r="B1405" s="13" t="s">
        <v>404</v>
      </c>
      <c r="C1405" s="138">
        <v>46329</v>
      </c>
      <c r="D1405" s="138" t="s">
        <v>424</v>
      </c>
      <c r="E1405" s="28">
        <v>0.93374287</v>
      </c>
      <c r="F1405" s="13"/>
      <c r="G1405" s="18">
        <v>15000000</v>
      </c>
      <c r="H1405" s="18">
        <v>14006143.109999999</v>
      </c>
      <c r="I1405" s="18">
        <v>15000000</v>
      </c>
      <c r="J1405" s="18">
        <v>14006143.109999999</v>
      </c>
      <c r="K1405" s="15">
        <v>2592</v>
      </c>
      <c r="L1405" s="13" t="s">
        <v>102</v>
      </c>
      <c r="M1405" s="13" t="s">
        <v>103</v>
      </c>
      <c r="N1405" s="138" t="s">
        <v>371</v>
      </c>
      <c r="O1405" s="138" t="s">
        <v>371</v>
      </c>
      <c r="P1405" s="28">
        <v>37</v>
      </c>
      <c r="Q1405" s="13" t="s">
        <v>54</v>
      </c>
      <c r="R1405" s="13" t="s">
        <v>28</v>
      </c>
      <c r="S1405" s="13"/>
      <c r="T1405" s="13"/>
      <c r="U1405" s="13" t="s">
        <v>2112</v>
      </c>
      <c r="V1405" s="13" t="s">
        <v>2112</v>
      </c>
      <c r="W1405" s="59">
        <f>+J1405/$W$2</f>
        <v>2.2922557376155552E-4</v>
      </c>
    </row>
    <row r="1406" spans="1:29">
      <c r="A1406" s="13" t="s">
        <v>229</v>
      </c>
      <c r="B1406" s="13" t="s">
        <v>404</v>
      </c>
      <c r="C1406" s="138">
        <v>46329</v>
      </c>
      <c r="D1406" s="138" t="s">
        <v>424</v>
      </c>
      <c r="E1406" s="28">
        <v>0.94217868999999999</v>
      </c>
      <c r="F1406" s="13"/>
      <c r="G1406" s="18">
        <v>50000000</v>
      </c>
      <c r="H1406" s="18">
        <v>47108934.490000002</v>
      </c>
      <c r="I1406" s="18">
        <v>50000000</v>
      </c>
      <c r="J1406" s="18">
        <v>47108934.490000002</v>
      </c>
      <c r="K1406" s="15">
        <v>5166</v>
      </c>
      <c r="L1406" s="13" t="s">
        <v>102</v>
      </c>
      <c r="M1406" s="13" t="s">
        <v>103</v>
      </c>
      <c r="N1406" s="138" t="s">
        <v>441</v>
      </c>
      <c r="O1406" s="138" t="s">
        <v>441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2295</v>
      </c>
      <c r="V1406" s="13" t="s">
        <v>2295</v>
      </c>
      <c r="W1406" s="59">
        <f>+J1406/$W$2</f>
        <v>7.709883051284761E-4</v>
      </c>
    </row>
    <row r="1407" spans="1:29">
      <c r="A1407" s="13" t="s">
        <v>144</v>
      </c>
      <c r="B1407" s="13" t="s">
        <v>404</v>
      </c>
      <c r="C1407" s="138">
        <v>46329</v>
      </c>
      <c r="D1407" s="138" t="s">
        <v>424</v>
      </c>
      <c r="E1407" s="28">
        <v>0.93878616000000004</v>
      </c>
      <c r="F1407" s="13"/>
      <c r="G1407" s="18">
        <v>20000000</v>
      </c>
      <c r="H1407" s="18">
        <v>18775723.210000001</v>
      </c>
      <c r="I1407" s="18">
        <v>20000000</v>
      </c>
      <c r="J1407" s="18">
        <v>18775723.210000001</v>
      </c>
      <c r="K1407" s="15">
        <v>58</v>
      </c>
      <c r="L1407" s="13" t="s">
        <v>102</v>
      </c>
      <c r="M1407" s="13" t="s">
        <v>103</v>
      </c>
      <c r="N1407" s="138" t="s">
        <v>291</v>
      </c>
      <c r="O1407" s="138" t="s">
        <v>291</v>
      </c>
      <c r="P1407" s="28">
        <v>34</v>
      </c>
      <c r="Q1407" s="13" t="s">
        <v>54</v>
      </c>
      <c r="R1407" s="13" t="s">
        <v>28</v>
      </c>
      <c r="S1407" s="13"/>
      <c r="T1407" s="13"/>
      <c r="U1407" s="13" t="s">
        <v>1908</v>
      </c>
      <c r="V1407" s="13" t="s">
        <v>1908</v>
      </c>
      <c r="W1407" s="59">
        <f>+J1407/$W$2</f>
        <v>3.0728487434399814E-4</v>
      </c>
      <c r="AC1407" s="56"/>
    </row>
    <row r="1408" spans="1:29">
      <c r="A1408" s="13" t="s">
        <v>2027</v>
      </c>
      <c r="B1408" s="13" t="s">
        <v>404</v>
      </c>
      <c r="C1408" s="138">
        <v>46329</v>
      </c>
      <c r="D1408" s="138" t="s">
        <v>424</v>
      </c>
      <c r="E1408" s="28">
        <v>0.94559587000000001</v>
      </c>
      <c r="F1408" s="13"/>
      <c r="G1408" s="18">
        <v>4957748.6399999997</v>
      </c>
      <c r="H1408" s="18">
        <v>4688026.63</v>
      </c>
      <c r="I1408" s="18">
        <v>4957748.6399999997</v>
      </c>
      <c r="J1408" s="18">
        <v>4688026.63</v>
      </c>
      <c r="K1408" s="15">
        <v>68735252</v>
      </c>
      <c r="L1408" s="13" t="s">
        <v>102</v>
      </c>
      <c r="M1408" s="13" t="s">
        <v>103</v>
      </c>
      <c r="N1408" s="138" t="s">
        <v>173</v>
      </c>
      <c r="O1408" s="138" t="s">
        <v>173</v>
      </c>
      <c r="P1408" s="28">
        <v>30</v>
      </c>
      <c r="Q1408" s="13" t="s">
        <v>54</v>
      </c>
      <c r="R1408" s="13" t="s">
        <v>28</v>
      </c>
      <c r="S1408" s="13"/>
      <c r="T1408" s="13"/>
      <c r="U1408" s="13" t="s">
        <v>2009</v>
      </c>
      <c r="V1408" s="13" t="s">
        <v>2009</v>
      </c>
      <c r="W1408" s="59">
        <f>+J1408/$W$2</f>
        <v>7.6724590462306198E-5</v>
      </c>
    </row>
    <row r="1409" spans="1:29">
      <c r="A1409" s="13" t="s">
        <v>2097</v>
      </c>
      <c r="B1409" s="13" t="s">
        <v>404</v>
      </c>
      <c r="C1409" s="138">
        <v>46329</v>
      </c>
      <c r="D1409" s="138" t="s">
        <v>424</v>
      </c>
      <c r="E1409" s="28">
        <v>0.94559599000000005</v>
      </c>
      <c r="F1409" s="13"/>
      <c r="G1409" s="18">
        <v>12000000</v>
      </c>
      <c r="H1409" s="18">
        <v>11347151.82</v>
      </c>
      <c r="I1409" s="18">
        <v>12000000</v>
      </c>
      <c r="J1409" s="18">
        <v>11347151.82</v>
      </c>
      <c r="K1409" s="15">
        <v>374</v>
      </c>
      <c r="L1409" s="13" t="s">
        <v>102</v>
      </c>
      <c r="M1409" s="13" t="s">
        <v>103</v>
      </c>
      <c r="N1409" s="138" t="s">
        <v>484</v>
      </c>
      <c r="O1409" s="138" t="s">
        <v>484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2093</v>
      </c>
      <c r="V1409" s="13" t="s">
        <v>2093</v>
      </c>
      <c r="W1409" s="59">
        <f>+J1409/$W$2</f>
        <v>1.857083257018769E-4</v>
      </c>
    </row>
    <row r="1410" spans="1:29">
      <c r="A1410" s="13" t="s">
        <v>2224</v>
      </c>
      <c r="B1410" s="13" t="s">
        <v>404</v>
      </c>
      <c r="C1410" s="138">
        <v>46329</v>
      </c>
      <c r="D1410" s="138" t="s">
        <v>424</v>
      </c>
      <c r="E1410" s="28">
        <v>0.94217885999999995</v>
      </c>
      <c r="F1410" s="13"/>
      <c r="G1410" s="18">
        <v>5444206</v>
      </c>
      <c r="H1410" s="18">
        <v>5129415.8</v>
      </c>
      <c r="I1410" s="18">
        <v>5444206</v>
      </c>
      <c r="J1410" s="18">
        <v>5129415.8</v>
      </c>
      <c r="K1410" s="15">
        <v>3445</v>
      </c>
      <c r="L1410" s="13" t="s">
        <v>102</v>
      </c>
      <c r="M1410" s="13" t="s">
        <v>103</v>
      </c>
      <c r="N1410" s="138" t="s">
        <v>424</v>
      </c>
      <c r="O1410" s="138" t="s">
        <v>424</v>
      </c>
      <c r="P1410" s="28">
        <v>32</v>
      </c>
      <c r="Q1410" s="13" t="s">
        <v>54</v>
      </c>
      <c r="R1410" s="13" t="s">
        <v>28</v>
      </c>
      <c r="S1410" s="13"/>
      <c r="T1410" s="13"/>
      <c r="U1410" s="13" t="s">
        <v>2653</v>
      </c>
      <c r="V1410" s="13" t="s">
        <v>2653</v>
      </c>
      <c r="W1410" s="59">
        <f>+J1410/$W$2</f>
        <v>8.3948398255127379E-5</v>
      </c>
    </row>
    <row r="1411" spans="1:29">
      <c r="A1411" s="13" t="s">
        <v>2519</v>
      </c>
      <c r="B1411" s="13" t="s">
        <v>404</v>
      </c>
      <c r="C1411" s="138">
        <v>46329</v>
      </c>
      <c r="D1411" s="138" t="s">
        <v>424</v>
      </c>
      <c r="E1411" s="28">
        <v>0.94047930999999996</v>
      </c>
      <c r="F1411" s="13"/>
      <c r="G1411" s="18">
        <v>44921898.869999997</v>
      </c>
      <c r="H1411" s="18">
        <v>42248116.25</v>
      </c>
      <c r="I1411" s="18">
        <v>44921898.869999997</v>
      </c>
      <c r="J1411" s="18">
        <v>42248116.25</v>
      </c>
      <c r="K1411" s="15">
        <v>72662198</v>
      </c>
      <c r="L1411" s="13" t="s">
        <v>102</v>
      </c>
      <c r="M1411" s="13" t="s">
        <v>103</v>
      </c>
      <c r="N1411" s="138" t="s">
        <v>170</v>
      </c>
      <c r="O1411" s="138" t="s">
        <v>170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2498</v>
      </c>
      <c r="V1411" s="13" t="s">
        <v>2498</v>
      </c>
      <c r="W1411" s="59">
        <f>+J1411/$W$2</f>
        <v>6.9143579440058623E-4</v>
      </c>
    </row>
    <row r="1412" spans="1:29">
      <c r="A1412" s="13" t="s">
        <v>337</v>
      </c>
      <c r="B1412" s="13" t="s">
        <v>404</v>
      </c>
      <c r="C1412" s="138">
        <v>46329</v>
      </c>
      <c r="D1412" s="138" t="s">
        <v>424</v>
      </c>
      <c r="E1412" s="28">
        <v>0.94217881999999997</v>
      </c>
      <c r="F1412" s="13"/>
      <c r="G1412" s="18">
        <v>200000000</v>
      </c>
      <c r="H1412" s="18">
        <v>188435764.5</v>
      </c>
      <c r="I1412" s="18">
        <v>200000000</v>
      </c>
      <c r="J1412" s="18">
        <v>188435764.5</v>
      </c>
      <c r="K1412" s="15">
        <v>9779581</v>
      </c>
      <c r="L1412" s="13" t="s">
        <v>102</v>
      </c>
      <c r="M1412" s="13" t="s">
        <v>103</v>
      </c>
      <c r="N1412" s="138" t="s">
        <v>445</v>
      </c>
      <c r="O1412" s="138" t="s">
        <v>445</v>
      </c>
      <c r="P1412" s="28">
        <v>32</v>
      </c>
      <c r="Q1412" s="13" t="s">
        <v>54</v>
      </c>
      <c r="R1412" s="13" t="s">
        <v>28</v>
      </c>
      <c r="S1412" s="13"/>
      <c r="T1412" s="13"/>
      <c r="U1412" s="13" t="s">
        <v>2535</v>
      </c>
      <c r="V1412" s="13" t="s">
        <v>2535</v>
      </c>
      <c r="W1412" s="59">
        <f>+J1412/$W$2</f>
        <v>3.0839536548695067E-3</v>
      </c>
    </row>
    <row r="1413" spans="1:29">
      <c r="A1413" s="13" t="s">
        <v>337</v>
      </c>
      <c r="B1413" s="13" t="s">
        <v>404</v>
      </c>
      <c r="C1413" s="138">
        <v>46329</v>
      </c>
      <c r="D1413" s="138" t="s">
        <v>424</v>
      </c>
      <c r="E1413" s="28">
        <v>0.94559594999999996</v>
      </c>
      <c r="F1413" s="13"/>
      <c r="G1413" s="18">
        <v>100000000</v>
      </c>
      <c r="H1413" s="18">
        <v>94559595.439999998</v>
      </c>
      <c r="I1413" s="18">
        <v>100000000</v>
      </c>
      <c r="J1413" s="18">
        <v>94559595.439999998</v>
      </c>
      <c r="K1413" s="15">
        <v>6716</v>
      </c>
      <c r="L1413" s="13" t="s">
        <v>102</v>
      </c>
      <c r="M1413" s="13" t="s">
        <v>103</v>
      </c>
      <c r="N1413" s="138" t="s">
        <v>343</v>
      </c>
      <c r="O1413" s="138" t="s">
        <v>343</v>
      </c>
      <c r="P1413" s="28">
        <v>30</v>
      </c>
      <c r="Q1413" s="13" t="s">
        <v>54</v>
      </c>
      <c r="R1413" s="13" t="s">
        <v>28</v>
      </c>
      <c r="S1413" s="13"/>
      <c r="T1413" s="13"/>
      <c r="U1413" s="13" t="s">
        <v>1454</v>
      </c>
      <c r="V1413" s="13" t="s">
        <v>1454</v>
      </c>
      <c r="W1413" s="59">
        <f>+J1413/$W$2</f>
        <v>1.547569330768788E-3</v>
      </c>
    </row>
    <row r="1414" spans="1:29">
      <c r="A1414" s="13" t="s">
        <v>2694</v>
      </c>
      <c r="B1414" s="13" t="s">
        <v>404</v>
      </c>
      <c r="C1414" s="138">
        <v>46329</v>
      </c>
      <c r="D1414" s="138" t="s">
        <v>424</v>
      </c>
      <c r="E1414" s="28">
        <v>0.94217885999999995</v>
      </c>
      <c r="F1414" s="13"/>
      <c r="G1414" s="18">
        <v>43185942.649999999</v>
      </c>
      <c r="H1414" s="18">
        <v>40688882.210000001</v>
      </c>
      <c r="I1414" s="18">
        <v>43185942.649999999</v>
      </c>
      <c r="J1414" s="18">
        <v>40688882.210000001</v>
      </c>
      <c r="K1414" s="15">
        <v>40085351</v>
      </c>
      <c r="L1414" s="13" t="s">
        <v>102</v>
      </c>
      <c r="M1414" s="13" t="s">
        <v>103</v>
      </c>
      <c r="N1414" s="138" t="s">
        <v>424</v>
      </c>
      <c r="O1414" s="138" t="s">
        <v>424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2668</v>
      </c>
      <c r="V1414" s="13" t="s">
        <v>2668</v>
      </c>
      <c r="W1414" s="59">
        <f>+J1414/$W$2</f>
        <v>6.6591725481117121E-4</v>
      </c>
    </row>
    <row r="1415" spans="1:29">
      <c r="A1415" s="13" t="s">
        <v>413</v>
      </c>
      <c r="B1415" s="13" t="s">
        <v>404</v>
      </c>
      <c r="C1415" s="138">
        <v>46329</v>
      </c>
      <c r="D1415" s="138" t="s">
        <v>424</v>
      </c>
      <c r="E1415" s="28">
        <v>0.94217872000000003</v>
      </c>
      <c r="F1415" s="13"/>
      <c r="G1415" s="18">
        <v>11829797.539999999</v>
      </c>
      <c r="H1415" s="18">
        <v>11145783.550000001</v>
      </c>
      <c r="I1415" s="18">
        <v>11829797.539999999</v>
      </c>
      <c r="J1415" s="18">
        <v>11145783.550000001</v>
      </c>
      <c r="K1415" s="15">
        <v>30889</v>
      </c>
      <c r="L1415" s="13" t="s">
        <v>102</v>
      </c>
      <c r="M1415" s="13" t="s">
        <v>103</v>
      </c>
      <c r="N1415" s="138" t="s">
        <v>387</v>
      </c>
      <c r="O1415" s="138" t="s">
        <v>387</v>
      </c>
      <c r="P1415" s="28">
        <v>32</v>
      </c>
      <c r="Q1415" s="13" t="s">
        <v>54</v>
      </c>
      <c r="R1415" s="13" t="s">
        <v>28</v>
      </c>
      <c r="S1415" s="13"/>
      <c r="T1415" s="13"/>
      <c r="U1415" s="13" t="s">
        <v>1734</v>
      </c>
      <c r="V1415" s="13" t="s">
        <v>1734</v>
      </c>
      <c r="W1415" s="59">
        <f>+J1415/$W$2</f>
        <v>1.8241271770575658E-4</v>
      </c>
    </row>
    <row r="1416" spans="1:29">
      <c r="A1416" s="13" t="s">
        <v>413</v>
      </c>
      <c r="B1416" s="13" t="s">
        <v>404</v>
      </c>
      <c r="C1416" s="138">
        <v>46329</v>
      </c>
      <c r="D1416" s="138" t="s">
        <v>424</v>
      </c>
      <c r="E1416" s="28">
        <v>0.94217872000000003</v>
      </c>
      <c r="F1416" s="13"/>
      <c r="G1416" s="18">
        <v>16498838.289999999</v>
      </c>
      <c r="H1416" s="18">
        <v>15544854.4</v>
      </c>
      <c r="I1416" s="18">
        <v>16498838.289999999</v>
      </c>
      <c r="J1416" s="18">
        <v>15544854.4</v>
      </c>
      <c r="K1416" s="15">
        <v>30845</v>
      </c>
      <c r="L1416" s="13" t="s">
        <v>102</v>
      </c>
      <c r="M1416" s="13" t="s">
        <v>103</v>
      </c>
      <c r="N1416" s="138" t="s">
        <v>387</v>
      </c>
      <c r="O1416" s="138" t="s">
        <v>387</v>
      </c>
      <c r="P1416" s="28">
        <v>32</v>
      </c>
      <c r="Q1416" s="13" t="s">
        <v>54</v>
      </c>
      <c r="R1416" s="13" t="s">
        <v>28</v>
      </c>
      <c r="S1416" s="13"/>
      <c r="T1416" s="13"/>
      <c r="U1416" s="13" t="s">
        <v>1735</v>
      </c>
      <c r="V1416" s="13" t="s">
        <v>1735</v>
      </c>
      <c r="W1416" s="59">
        <f>+J1416/$W$2</f>
        <v>2.5440823650700519E-4</v>
      </c>
    </row>
    <row r="1417" spans="1:29">
      <c r="A1417" s="13" t="s">
        <v>413</v>
      </c>
      <c r="B1417" s="13" t="s">
        <v>404</v>
      </c>
      <c r="C1417" s="138">
        <v>46329</v>
      </c>
      <c r="D1417" s="138" t="s">
        <v>424</v>
      </c>
      <c r="E1417" s="28">
        <v>0.94217868000000005</v>
      </c>
      <c r="F1417" s="13"/>
      <c r="G1417" s="18">
        <v>10655603.279999999</v>
      </c>
      <c r="H1417" s="18">
        <v>10039482.26</v>
      </c>
      <c r="I1417" s="18">
        <v>10655603.279999999</v>
      </c>
      <c r="J1417" s="18">
        <v>10039482.26</v>
      </c>
      <c r="K1417" s="15">
        <v>30835</v>
      </c>
      <c r="L1417" s="13" t="s">
        <v>102</v>
      </c>
      <c r="M1417" s="13" t="s">
        <v>103</v>
      </c>
      <c r="N1417" s="138" t="s">
        <v>421</v>
      </c>
      <c r="O1417" s="138" t="s">
        <v>421</v>
      </c>
      <c r="P1417" s="28">
        <v>32</v>
      </c>
      <c r="Q1417" s="13" t="s">
        <v>54</v>
      </c>
      <c r="R1417" s="13" t="s">
        <v>28</v>
      </c>
      <c r="S1417" s="13"/>
      <c r="T1417" s="13"/>
      <c r="U1417" s="13" t="s">
        <v>1358</v>
      </c>
      <c r="V1417" s="13" t="s">
        <v>1358</v>
      </c>
      <c r="W1417" s="59">
        <f>+J1417/$W$2</f>
        <v>1.6430690899298244E-4</v>
      </c>
    </row>
    <row r="1418" spans="1:29">
      <c r="A1418" s="13" t="s">
        <v>1235</v>
      </c>
      <c r="B1418" s="13" t="s">
        <v>404</v>
      </c>
      <c r="C1418" s="138">
        <v>46329</v>
      </c>
      <c r="D1418" s="138" t="s">
        <v>424</v>
      </c>
      <c r="E1418" s="28">
        <v>0.93709889999999996</v>
      </c>
      <c r="F1418" s="13"/>
      <c r="G1418" s="18">
        <v>10867742.35</v>
      </c>
      <c r="H1418" s="18">
        <v>10184149.369999999</v>
      </c>
      <c r="I1418" s="18">
        <v>10867742.35</v>
      </c>
      <c r="J1418" s="18">
        <v>10184149.369999999</v>
      </c>
      <c r="K1418" s="15">
        <v>40603614</v>
      </c>
      <c r="L1418" s="13" t="s">
        <v>102</v>
      </c>
      <c r="M1418" s="13" t="s">
        <v>103</v>
      </c>
      <c r="N1418" s="138" t="s">
        <v>374</v>
      </c>
      <c r="O1418" s="138" t="s">
        <v>374</v>
      </c>
      <c r="P1418" s="28">
        <v>35</v>
      </c>
      <c r="Q1418" s="13" t="s">
        <v>54</v>
      </c>
      <c r="R1418" s="13" t="s">
        <v>28</v>
      </c>
      <c r="S1418" s="13"/>
      <c r="T1418" s="13"/>
      <c r="U1418" s="13" t="s">
        <v>1228</v>
      </c>
      <c r="V1418" s="13" t="s">
        <v>1228</v>
      </c>
      <c r="W1418" s="59">
        <f>+J1418/$W$2</f>
        <v>1.6667454161202228E-4</v>
      </c>
    </row>
    <row r="1419" spans="1:29">
      <c r="A1419" s="13" t="s">
        <v>318</v>
      </c>
      <c r="B1419" s="13" t="s">
        <v>404</v>
      </c>
      <c r="C1419" s="138">
        <v>46330</v>
      </c>
      <c r="D1419" s="138" t="s">
        <v>424</v>
      </c>
      <c r="E1419" s="28">
        <v>0.95362519999999995</v>
      </c>
      <c r="F1419" s="13"/>
      <c r="G1419" s="18">
        <v>12000000</v>
      </c>
      <c r="H1419" s="18">
        <v>11443502.380000001</v>
      </c>
      <c r="I1419" s="18">
        <v>12000000</v>
      </c>
      <c r="J1419" s="18">
        <v>11443502.380000001</v>
      </c>
      <c r="K1419" s="15">
        <v>34562</v>
      </c>
      <c r="L1419" s="13" t="s">
        <v>102</v>
      </c>
      <c r="M1419" s="13" t="s">
        <v>103</v>
      </c>
      <c r="N1419" s="138" t="s">
        <v>341</v>
      </c>
      <c r="O1419" s="138" t="s">
        <v>341</v>
      </c>
      <c r="P1419" s="28">
        <v>25</v>
      </c>
      <c r="Q1419" s="13" t="s">
        <v>54</v>
      </c>
      <c r="R1419" s="13" t="s">
        <v>28</v>
      </c>
      <c r="S1419" s="13"/>
      <c r="T1419" s="13"/>
      <c r="U1419" s="13" t="s">
        <v>1930</v>
      </c>
      <c r="V1419" s="13" t="s">
        <v>1930</v>
      </c>
      <c r="W1419" s="59">
        <f>+J1419/$W$2</f>
        <v>1.8728520609105975E-4</v>
      </c>
    </row>
    <row r="1420" spans="1:29">
      <c r="A1420" s="13" t="s">
        <v>305</v>
      </c>
      <c r="B1420" s="13" t="s">
        <v>127</v>
      </c>
      <c r="C1420" s="138">
        <v>46330</v>
      </c>
      <c r="D1420" s="138" t="s">
        <v>424</v>
      </c>
      <c r="E1420" s="28">
        <v>0.98467680000000002</v>
      </c>
      <c r="F1420" s="13" t="s">
        <v>2681</v>
      </c>
      <c r="G1420" s="18">
        <v>500000</v>
      </c>
      <c r="H1420" s="18">
        <v>492338.4</v>
      </c>
      <c r="I1420" s="18">
        <v>755766269.90999997</v>
      </c>
      <c r="J1420" s="18">
        <v>744185512.20000005</v>
      </c>
      <c r="K1420" s="15">
        <v>152502</v>
      </c>
      <c r="L1420" s="13" t="s">
        <v>102</v>
      </c>
      <c r="M1420" s="13" t="s">
        <v>103</v>
      </c>
      <c r="N1420" s="138" t="s">
        <v>330</v>
      </c>
      <c r="O1420" s="138" t="s">
        <v>330</v>
      </c>
      <c r="P1420" s="28">
        <v>8</v>
      </c>
      <c r="Q1420" s="13" t="s">
        <v>54</v>
      </c>
      <c r="R1420" s="13" t="s">
        <v>28</v>
      </c>
      <c r="S1420" s="13"/>
      <c r="T1420" s="13"/>
      <c r="U1420" s="13" t="s">
        <v>951</v>
      </c>
      <c r="V1420" s="13" t="s">
        <v>951</v>
      </c>
      <c r="W1420" s="59">
        <f>+J1420/$W$2</f>
        <v>1.21793951182241E-2</v>
      </c>
    </row>
    <row r="1421" spans="1:29">
      <c r="A1421" s="13" t="s">
        <v>744</v>
      </c>
      <c r="B1421" s="13" t="s">
        <v>404</v>
      </c>
      <c r="C1421" s="138">
        <v>46330</v>
      </c>
      <c r="D1421" s="138" t="s">
        <v>424</v>
      </c>
      <c r="E1421" s="28">
        <v>0.93796592999999995</v>
      </c>
      <c r="F1421" s="13"/>
      <c r="G1421" s="18">
        <v>6200000</v>
      </c>
      <c r="H1421" s="18">
        <v>5815388.79</v>
      </c>
      <c r="I1421" s="18">
        <v>6200000</v>
      </c>
      <c r="J1421" s="18">
        <v>5815388.79</v>
      </c>
      <c r="K1421" s="15">
        <v>69261880</v>
      </c>
      <c r="L1421" s="13" t="s">
        <v>102</v>
      </c>
      <c r="M1421" s="13" t="s">
        <v>103</v>
      </c>
      <c r="N1421" s="138" t="s">
        <v>424</v>
      </c>
      <c r="O1421" s="138" t="s">
        <v>424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2630</v>
      </c>
      <c r="V1421" s="13" t="s">
        <v>2630</v>
      </c>
      <c r="W1421" s="59">
        <f>+J1421/$W$2</f>
        <v>9.517508293075468E-5</v>
      </c>
    </row>
    <row r="1422" spans="1:29">
      <c r="A1422" s="13" t="s">
        <v>798</v>
      </c>
      <c r="B1422" s="13" t="s">
        <v>404</v>
      </c>
      <c r="C1422" s="138">
        <v>46330</v>
      </c>
      <c r="D1422" s="138" t="s">
        <v>424</v>
      </c>
      <c r="E1422" s="28">
        <v>0.94140115999999996</v>
      </c>
      <c r="F1422" s="13"/>
      <c r="G1422" s="18">
        <v>2558197.12</v>
      </c>
      <c r="H1422" s="18">
        <v>2408289.73</v>
      </c>
      <c r="I1422" s="18">
        <v>2558197.12</v>
      </c>
      <c r="J1422" s="18">
        <v>2408289.73</v>
      </c>
      <c r="K1422" s="15">
        <v>356</v>
      </c>
      <c r="L1422" s="13" t="s">
        <v>102</v>
      </c>
      <c r="M1422" s="13" t="s">
        <v>103</v>
      </c>
      <c r="N1422" s="138" t="s">
        <v>341</v>
      </c>
      <c r="O1422" s="138" t="s">
        <v>341</v>
      </c>
      <c r="P1422" s="28">
        <v>32</v>
      </c>
      <c r="Q1422" s="13" t="s">
        <v>54</v>
      </c>
      <c r="R1422" s="13" t="s">
        <v>28</v>
      </c>
      <c r="S1422" s="13"/>
      <c r="T1422" s="13"/>
      <c r="U1422" s="13" t="s">
        <v>1949</v>
      </c>
      <c r="V1422" s="13" t="s">
        <v>1949</v>
      </c>
      <c r="W1422" s="59">
        <f>+J1422/$W$2</f>
        <v>3.9414247791682862E-5</v>
      </c>
    </row>
    <row r="1423" spans="1:29">
      <c r="A1423" s="13" t="s">
        <v>129</v>
      </c>
      <c r="B1423" s="13" t="s">
        <v>127</v>
      </c>
      <c r="C1423" s="138">
        <v>46330</v>
      </c>
      <c r="D1423" s="138" t="s">
        <v>424</v>
      </c>
      <c r="E1423" s="28">
        <v>0.98467700000000002</v>
      </c>
      <c r="F1423" s="13" t="s">
        <v>2681</v>
      </c>
      <c r="G1423" s="18">
        <v>50000</v>
      </c>
      <c r="H1423" s="18">
        <v>49233.85</v>
      </c>
      <c r="I1423" s="18">
        <v>75576626.989999995</v>
      </c>
      <c r="J1423" s="18">
        <v>74418566.340000004</v>
      </c>
      <c r="K1423" s="15">
        <v>158025</v>
      </c>
      <c r="L1423" s="13" t="s">
        <v>102</v>
      </c>
      <c r="M1423" s="13" t="s">
        <v>103</v>
      </c>
      <c r="N1423" s="138" t="s">
        <v>481</v>
      </c>
      <c r="O1423" s="138" t="s">
        <v>481</v>
      </c>
      <c r="P1423" s="28">
        <v>8</v>
      </c>
      <c r="Q1423" s="13" t="s">
        <v>54</v>
      </c>
      <c r="R1423" s="13" t="s">
        <v>28</v>
      </c>
      <c r="S1423" s="13"/>
      <c r="T1423" s="13"/>
      <c r="U1423" s="13" t="s">
        <v>1778</v>
      </c>
      <c r="V1423" s="13" t="s">
        <v>1778</v>
      </c>
      <c r="W1423" s="59">
        <f>+J1423/$W$2</f>
        <v>1.2179397592774479E-3</v>
      </c>
    </row>
    <row r="1424" spans="1:29">
      <c r="A1424" s="13" t="s">
        <v>126</v>
      </c>
      <c r="B1424" s="13" t="s">
        <v>127</v>
      </c>
      <c r="C1424" s="138">
        <v>46330</v>
      </c>
      <c r="D1424" s="138" t="s">
        <v>424</v>
      </c>
      <c r="E1424" s="28">
        <v>0.9827939</v>
      </c>
      <c r="F1424" s="13" t="s">
        <v>2681</v>
      </c>
      <c r="G1424" s="18">
        <v>100000</v>
      </c>
      <c r="H1424" s="18">
        <v>98279.39</v>
      </c>
      <c r="I1424" s="18">
        <v>151153253.97999999</v>
      </c>
      <c r="J1424" s="18">
        <v>148552495.97999999</v>
      </c>
      <c r="K1424" s="15">
        <v>155821</v>
      </c>
      <c r="L1424" s="13" t="s">
        <v>102</v>
      </c>
      <c r="M1424" s="13" t="s">
        <v>103</v>
      </c>
      <c r="N1424" s="138" t="s">
        <v>355</v>
      </c>
      <c r="O1424" s="138" t="s">
        <v>355</v>
      </c>
      <c r="P1424" s="28">
        <v>9</v>
      </c>
      <c r="Q1424" s="13" t="s">
        <v>54</v>
      </c>
      <c r="R1424" s="13" t="s">
        <v>28</v>
      </c>
      <c r="S1424" s="13"/>
      <c r="T1424" s="13"/>
      <c r="U1424" s="13" t="s">
        <v>1207</v>
      </c>
      <c r="V1424" s="13" t="s">
        <v>1207</v>
      </c>
      <c r="W1424" s="59">
        <f>+J1424/$W$2</f>
        <v>2.4312211332764735E-3</v>
      </c>
      <c r="AC1424" s="56"/>
    </row>
    <row r="1425" spans="1:29">
      <c r="A1425" s="13" t="s">
        <v>634</v>
      </c>
      <c r="B1425" s="13" t="s">
        <v>127</v>
      </c>
      <c r="C1425" s="138">
        <v>46330</v>
      </c>
      <c r="D1425" s="138" t="s">
        <v>424</v>
      </c>
      <c r="E1425" s="28">
        <v>0.98467687000000004</v>
      </c>
      <c r="F1425" s="13" t="s">
        <v>2681</v>
      </c>
      <c r="G1425" s="18">
        <v>188100</v>
      </c>
      <c r="H1425" s="18">
        <v>185217.72</v>
      </c>
      <c r="I1425" s="18">
        <v>284319270.74000001</v>
      </c>
      <c r="J1425" s="18">
        <v>279962610.73000002</v>
      </c>
      <c r="K1425" s="15">
        <v>160722</v>
      </c>
      <c r="L1425" s="13" t="s">
        <v>102</v>
      </c>
      <c r="M1425" s="13" t="s">
        <v>103</v>
      </c>
      <c r="N1425" s="138" t="s">
        <v>441</v>
      </c>
      <c r="O1425" s="138" t="s">
        <v>441</v>
      </c>
      <c r="P1425" s="28">
        <v>8</v>
      </c>
      <c r="Q1425" s="13" t="s">
        <v>54</v>
      </c>
      <c r="R1425" s="13" t="s">
        <v>28</v>
      </c>
      <c r="S1425" s="13"/>
      <c r="T1425" s="13"/>
      <c r="U1425" s="13" t="s">
        <v>2315</v>
      </c>
      <c r="V1425" s="13" t="s">
        <v>2315</v>
      </c>
      <c r="W1425" s="59">
        <f>+J1425/$W$2</f>
        <v>4.5818887878239936E-3</v>
      </c>
    </row>
    <row r="1426" spans="1:29">
      <c r="A1426" s="13" t="s">
        <v>417</v>
      </c>
      <c r="B1426" s="13" t="s">
        <v>404</v>
      </c>
      <c r="C1426" s="138">
        <v>46330</v>
      </c>
      <c r="D1426" s="138" t="s">
        <v>424</v>
      </c>
      <c r="E1426" s="28">
        <v>0.93968032000000001</v>
      </c>
      <c r="F1426" s="13"/>
      <c r="G1426" s="18">
        <v>2000000</v>
      </c>
      <c r="H1426" s="18">
        <v>1879360.64</v>
      </c>
      <c r="I1426" s="18">
        <v>2000000</v>
      </c>
      <c r="J1426" s="18">
        <v>1879360.64</v>
      </c>
      <c r="K1426" s="15">
        <v>42</v>
      </c>
      <c r="L1426" s="13" t="s">
        <v>102</v>
      </c>
      <c r="M1426" s="13" t="s">
        <v>103</v>
      </c>
      <c r="N1426" s="138" t="s">
        <v>535</v>
      </c>
      <c r="O1426" s="138" t="s">
        <v>535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2334</v>
      </c>
      <c r="V1426" s="13" t="s">
        <v>2334</v>
      </c>
      <c r="W1426" s="59">
        <f>+J1426/$W$2</f>
        <v>3.0757755195383276E-5</v>
      </c>
    </row>
    <row r="1427" spans="1:29">
      <c r="A1427" s="13" t="s">
        <v>517</v>
      </c>
      <c r="B1427" s="13" t="s">
        <v>404</v>
      </c>
      <c r="C1427" s="138">
        <v>46330</v>
      </c>
      <c r="D1427" s="138" t="s">
        <v>424</v>
      </c>
      <c r="E1427" s="28">
        <v>0.93796584999999999</v>
      </c>
      <c r="F1427" s="13"/>
      <c r="G1427" s="18">
        <v>10000000</v>
      </c>
      <c r="H1427" s="18">
        <v>9379658.5099999998</v>
      </c>
      <c r="I1427" s="18">
        <v>10000000</v>
      </c>
      <c r="J1427" s="18">
        <v>9379658.5099999998</v>
      </c>
      <c r="K1427" s="15">
        <v>14284512</v>
      </c>
      <c r="L1427" s="13" t="s">
        <v>102</v>
      </c>
      <c r="M1427" s="13" t="s">
        <v>103</v>
      </c>
      <c r="N1427" s="138" t="s">
        <v>464</v>
      </c>
      <c r="O1427" s="138" t="s">
        <v>464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2542</v>
      </c>
      <c r="V1427" s="13" t="s">
        <v>2542</v>
      </c>
      <c r="W1427" s="59">
        <f>+J1427/$W$2</f>
        <v>1.5350818471268691E-4</v>
      </c>
    </row>
    <row r="1428" spans="1:29">
      <c r="A1428" s="13" t="s">
        <v>285</v>
      </c>
      <c r="B1428" s="13" t="s">
        <v>404</v>
      </c>
      <c r="C1428" s="138">
        <v>46330</v>
      </c>
      <c r="D1428" s="138" t="s">
        <v>424</v>
      </c>
      <c r="E1428" s="28">
        <v>0.94486163000000001</v>
      </c>
      <c r="F1428" s="13"/>
      <c r="G1428" s="18">
        <v>11000000</v>
      </c>
      <c r="H1428" s="18">
        <v>10393477.949999999</v>
      </c>
      <c r="I1428" s="18">
        <v>11000000</v>
      </c>
      <c r="J1428" s="18">
        <v>10393477.949999999</v>
      </c>
      <c r="K1428" s="15">
        <v>10679147</v>
      </c>
      <c r="L1428" s="13" t="s">
        <v>102</v>
      </c>
      <c r="M1428" s="13" t="s">
        <v>103</v>
      </c>
      <c r="N1428" s="138" t="s">
        <v>342</v>
      </c>
      <c r="O1428" s="138" t="s">
        <v>342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2408</v>
      </c>
      <c r="V1428" s="13" t="s">
        <v>2408</v>
      </c>
      <c r="W1428" s="59">
        <f>+J1428/$W$2</f>
        <v>1.7010042863019309E-4</v>
      </c>
    </row>
    <row r="1429" spans="1:29">
      <c r="A1429" s="13" t="s">
        <v>405</v>
      </c>
      <c r="B1429" s="13" t="s">
        <v>404</v>
      </c>
      <c r="C1429" s="138">
        <v>46330</v>
      </c>
      <c r="D1429" s="138" t="s">
        <v>424</v>
      </c>
      <c r="E1429" s="28">
        <v>0.93968048999999998</v>
      </c>
      <c r="F1429" s="13"/>
      <c r="G1429" s="18">
        <v>2500000</v>
      </c>
      <c r="H1429" s="18">
        <v>2349201.23</v>
      </c>
      <c r="I1429" s="18">
        <v>2500000</v>
      </c>
      <c r="J1429" s="18">
        <v>2349201.23</v>
      </c>
      <c r="K1429" s="15">
        <v>1014</v>
      </c>
      <c r="L1429" s="13" t="s">
        <v>102</v>
      </c>
      <c r="M1429" s="13" t="s">
        <v>103</v>
      </c>
      <c r="N1429" s="138" t="s">
        <v>170</v>
      </c>
      <c r="O1429" s="138" t="s">
        <v>170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2472</v>
      </c>
      <c r="V1429" s="13" t="s">
        <v>2472</v>
      </c>
      <c r="W1429" s="59">
        <f>+J1429/$W$2</f>
        <v>3.8447201031640892E-5</v>
      </c>
    </row>
    <row r="1430" spans="1:29">
      <c r="A1430" s="13" t="s">
        <v>405</v>
      </c>
      <c r="B1430" s="13" t="s">
        <v>404</v>
      </c>
      <c r="C1430" s="138">
        <v>46330</v>
      </c>
      <c r="D1430" s="138" t="s">
        <v>424</v>
      </c>
      <c r="E1430" s="28">
        <v>0.94140117000000001</v>
      </c>
      <c r="F1430" s="13"/>
      <c r="G1430" s="18">
        <v>3000000</v>
      </c>
      <c r="H1430" s="18">
        <v>2824203.5</v>
      </c>
      <c r="I1430" s="18">
        <v>3000000</v>
      </c>
      <c r="J1430" s="18">
        <v>2824203.5</v>
      </c>
      <c r="K1430" s="15">
        <v>1048</v>
      </c>
      <c r="L1430" s="13" t="s">
        <v>102</v>
      </c>
      <c r="M1430" s="13" t="s">
        <v>103</v>
      </c>
      <c r="N1430" s="138" t="s">
        <v>424</v>
      </c>
      <c r="O1430" s="138" t="s">
        <v>424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2597</v>
      </c>
      <c r="V1430" s="13" t="s">
        <v>2597</v>
      </c>
      <c r="W1430" s="59">
        <f>+J1430/$W$2</f>
        <v>4.6221123304436469E-5</v>
      </c>
    </row>
    <row r="1431" spans="1:29">
      <c r="A1431" s="13" t="s">
        <v>375</v>
      </c>
      <c r="B1431" s="13" t="s">
        <v>404</v>
      </c>
      <c r="C1431" s="138">
        <v>46330</v>
      </c>
      <c r="D1431" s="138" t="s">
        <v>424</v>
      </c>
      <c r="E1431" s="28">
        <v>0.93796584000000005</v>
      </c>
      <c r="F1431" s="13"/>
      <c r="G1431" s="18">
        <v>990902.64</v>
      </c>
      <c r="H1431" s="18">
        <v>929432.83</v>
      </c>
      <c r="I1431" s="18">
        <v>990902.64</v>
      </c>
      <c r="J1431" s="18">
        <v>929432.83</v>
      </c>
      <c r="K1431" s="15">
        <v>2960</v>
      </c>
      <c r="L1431" s="13" t="s">
        <v>102</v>
      </c>
      <c r="M1431" s="13" t="s">
        <v>103</v>
      </c>
      <c r="N1431" s="138" t="s">
        <v>343</v>
      </c>
      <c r="O1431" s="138" t="s">
        <v>343</v>
      </c>
      <c r="P1431" s="28">
        <v>34</v>
      </c>
      <c r="Q1431" s="13" t="s">
        <v>54</v>
      </c>
      <c r="R1431" s="13" t="s">
        <v>28</v>
      </c>
      <c r="S1431" s="13"/>
      <c r="T1431" s="13"/>
      <c r="U1431" s="13" t="s">
        <v>1438</v>
      </c>
      <c r="V1431" s="13" t="s">
        <v>1438</v>
      </c>
      <c r="W1431" s="59">
        <f>+J1431/$W$2</f>
        <v>1.521116641864559E-5</v>
      </c>
    </row>
    <row r="1432" spans="1:29">
      <c r="A1432" s="13" t="s">
        <v>375</v>
      </c>
      <c r="B1432" s="13" t="s">
        <v>404</v>
      </c>
      <c r="C1432" s="138">
        <v>46330</v>
      </c>
      <c r="D1432" s="138" t="s">
        <v>424</v>
      </c>
      <c r="E1432" s="28">
        <v>0.93796581999999995</v>
      </c>
      <c r="F1432" s="13"/>
      <c r="G1432" s="18">
        <v>1020845.65</v>
      </c>
      <c r="H1432" s="18">
        <v>957518.33</v>
      </c>
      <c r="I1432" s="18">
        <v>1020845.65</v>
      </c>
      <c r="J1432" s="18">
        <v>957518.33</v>
      </c>
      <c r="K1432" s="15">
        <v>2910</v>
      </c>
      <c r="L1432" s="13" t="s">
        <v>102</v>
      </c>
      <c r="M1432" s="13" t="s">
        <v>103</v>
      </c>
      <c r="N1432" s="138" t="s">
        <v>343</v>
      </c>
      <c r="O1432" s="138" t="s">
        <v>343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1439</v>
      </c>
      <c r="V1432" s="13" t="s">
        <v>1439</v>
      </c>
      <c r="W1432" s="59">
        <f>+J1432/$W$2</f>
        <v>1.5670815788305656E-5</v>
      </c>
      <c r="AC1432" s="56"/>
    </row>
    <row r="1433" spans="1:29">
      <c r="A1433" s="13" t="s">
        <v>1325</v>
      </c>
      <c r="B1433" s="13" t="s">
        <v>404</v>
      </c>
      <c r="C1433" s="138">
        <v>46330</v>
      </c>
      <c r="D1433" s="138" t="s">
        <v>424</v>
      </c>
      <c r="E1433" s="28">
        <v>0.93285982000000001</v>
      </c>
      <c r="F1433" s="13"/>
      <c r="G1433" s="18">
        <v>25000000</v>
      </c>
      <c r="H1433" s="18">
        <v>23321495.530000001</v>
      </c>
      <c r="I1433" s="18">
        <v>25000000</v>
      </c>
      <c r="J1433" s="18">
        <v>23321495.530000001</v>
      </c>
      <c r="K1433" s="15">
        <v>2593</v>
      </c>
      <c r="L1433" s="13" t="s">
        <v>102</v>
      </c>
      <c r="M1433" s="13" t="s">
        <v>103</v>
      </c>
      <c r="N1433" s="138" t="s">
        <v>371</v>
      </c>
      <c r="O1433" s="138" t="s">
        <v>371</v>
      </c>
      <c r="P1433" s="28">
        <v>37</v>
      </c>
      <c r="Q1433" s="13" t="s">
        <v>54</v>
      </c>
      <c r="R1433" s="13" t="s">
        <v>28</v>
      </c>
      <c r="S1433" s="13"/>
      <c r="T1433" s="13"/>
      <c r="U1433" s="13" t="s">
        <v>2109</v>
      </c>
      <c r="V1433" s="13" t="s">
        <v>2109</v>
      </c>
      <c r="W1433" s="59">
        <f>+J1433/$W$2</f>
        <v>3.8168132025046849E-4</v>
      </c>
    </row>
    <row r="1434" spans="1:29">
      <c r="A1434" s="13" t="s">
        <v>868</v>
      </c>
      <c r="B1434" s="13" t="s">
        <v>404</v>
      </c>
      <c r="C1434" s="138">
        <v>46330</v>
      </c>
      <c r="D1434" s="138" t="s">
        <v>424</v>
      </c>
      <c r="E1434" s="28">
        <v>0.93968030000000002</v>
      </c>
      <c r="F1434" s="13"/>
      <c r="G1434" s="18">
        <v>933333333</v>
      </c>
      <c r="H1434" s="18">
        <v>877034942.52999997</v>
      </c>
      <c r="I1434" s="18">
        <v>933333333</v>
      </c>
      <c r="J1434" s="18">
        <v>877034942.52999997</v>
      </c>
      <c r="K1434" s="15">
        <v>154531</v>
      </c>
      <c r="L1434" s="13" t="s">
        <v>102</v>
      </c>
      <c r="M1434" s="13" t="s">
        <v>103</v>
      </c>
      <c r="N1434" s="138" t="s">
        <v>312</v>
      </c>
      <c r="O1434" s="138" t="s">
        <v>312</v>
      </c>
      <c r="P1434" s="28">
        <v>33</v>
      </c>
      <c r="Q1434" s="13" t="s">
        <v>54</v>
      </c>
      <c r="R1434" s="13" t="s">
        <v>28</v>
      </c>
      <c r="S1434" s="13"/>
      <c r="T1434" s="13"/>
      <c r="U1434" s="13" t="s">
        <v>1085</v>
      </c>
      <c r="V1434" s="13" t="s">
        <v>1085</v>
      </c>
      <c r="W1434" s="59">
        <f>+J1434/$W$2</f>
        <v>1.4353618717977823E-2</v>
      </c>
    </row>
    <row r="1435" spans="1:29">
      <c r="A1435" s="13" t="s">
        <v>2689</v>
      </c>
      <c r="B1435" s="13" t="s">
        <v>404</v>
      </c>
      <c r="C1435" s="138">
        <v>46330</v>
      </c>
      <c r="D1435" s="138" t="s">
        <v>424</v>
      </c>
      <c r="E1435" s="28">
        <v>0.94140117000000001</v>
      </c>
      <c r="F1435" s="13"/>
      <c r="G1435" s="18">
        <v>6427534.4199999999</v>
      </c>
      <c r="H1435" s="18">
        <v>6050888.4000000004</v>
      </c>
      <c r="I1435" s="18">
        <v>6427534.4199999999</v>
      </c>
      <c r="J1435" s="18">
        <v>6050888.4000000004</v>
      </c>
      <c r="K1435" s="15">
        <v>68962809</v>
      </c>
      <c r="L1435" s="13" t="s">
        <v>102</v>
      </c>
      <c r="M1435" s="13" t="s">
        <v>103</v>
      </c>
      <c r="N1435" s="138" t="s">
        <v>424</v>
      </c>
      <c r="O1435" s="138" t="s">
        <v>424</v>
      </c>
      <c r="P1435" s="28">
        <v>32</v>
      </c>
      <c r="Q1435" s="13" t="s">
        <v>54</v>
      </c>
      <c r="R1435" s="13" t="s">
        <v>28</v>
      </c>
      <c r="S1435" s="13"/>
      <c r="T1435" s="13"/>
      <c r="U1435" s="13" t="s">
        <v>2667</v>
      </c>
      <c r="V1435" s="13" t="s">
        <v>2667</v>
      </c>
      <c r="W1435" s="59">
        <f>+J1435/$W$2</f>
        <v>9.9029286961008412E-5</v>
      </c>
      <c r="AC1435" s="56"/>
    </row>
    <row r="1436" spans="1:29">
      <c r="A1436" s="13" t="s">
        <v>356</v>
      </c>
      <c r="B1436" s="13" t="s">
        <v>404</v>
      </c>
      <c r="C1436" s="138">
        <v>46330</v>
      </c>
      <c r="D1436" s="138" t="s">
        <v>424</v>
      </c>
      <c r="E1436" s="28">
        <v>0.94140102000000003</v>
      </c>
      <c r="F1436" s="13"/>
      <c r="G1436" s="18">
        <v>40000000</v>
      </c>
      <c r="H1436" s="18">
        <v>37656040.719999999</v>
      </c>
      <c r="I1436" s="18">
        <v>40000000</v>
      </c>
      <c r="J1436" s="18">
        <v>37656040.719999999</v>
      </c>
      <c r="K1436" s="15">
        <v>13953435</v>
      </c>
      <c r="L1436" s="13" t="s">
        <v>102</v>
      </c>
      <c r="M1436" s="13" t="s">
        <v>103</v>
      </c>
      <c r="N1436" s="138" t="s">
        <v>421</v>
      </c>
      <c r="O1436" s="138" t="s">
        <v>421</v>
      </c>
      <c r="P1436" s="28">
        <v>32</v>
      </c>
      <c r="Q1436" s="13" t="s">
        <v>54</v>
      </c>
      <c r="R1436" s="13" t="s">
        <v>28</v>
      </c>
      <c r="S1436" s="13"/>
      <c r="T1436" s="13"/>
      <c r="U1436" s="13" t="s">
        <v>1355</v>
      </c>
      <c r="V1436" s="13" t="s">
        <v>1355</v>
      </c>
      <c r="W1436" s="59">
        <f>+J1436/$W$2</f>
        <v>6.1628154673556653E-4</v>
      </c>
    </row>
    <row r="1437" spans="1:29">
      <c r="A1437" s="13" t="s">
        <v>2216</v>
      </c>
      <c r="B1437" s="13" t="s">
        <v>404</v>
      </c>
      <c r="C1437" s="138">
        <v>46330</v>
      </c>
      <c r="D1437" s="138" t="s">
        <v>424</v>
      </c>
      <c r="E1437" s="28">
        <v>0.93285978000000003</v>
      </c>
      <c r="F1437" s="13"/>
      <c r="G1437" s="18">
        <v>68000000</v>
      </c>
      <c r="H1437" s="18">
        <v>63434464.969999999</v>
      </c>
      <c r="I1437" s="18">
        <v>68000000</v>
      </c>
      <c r="J1437" s="18">
        <v>63434464.969999999</v>
      </c>
      <c r="K1437" s="15">
        <v>29850239</v>
      </c>
      <c r="L1437" s="13" t="s">
        <v>102</v>
      </c>
      <c r="M1437" s="13" t="s">
        <v>103</v>
      </c>
      <c r="N1437" s="138" t="s">
        <v>639</v>
      </c>
      <c r="O1437" s="138" t="s">
        <v>639</v>
      </c>
      <c r="P1437" s="28">
        <v>37</v>
      </c>
      <c r="Q1437" s="13" t="s">
        <v>54</v>
      </c>
      <c r="R1437" s="13" t="s">
        <v>28</v>
      </c>
      <c r="S1437" s="13"/>
      <c r="T1437" s="13"/>
      <c r="U1437" s="13" t="s">
        <v>2135</v>
      </c>
      <c r="V1437" s="13" t="s">
        <v>2135</v>
      </c>
      <c r="W1437" s="59">
        <f>+J1437/$W$2</f>
        <v>1.0381731440844563E-3</v>
      </c>
    </row>
    <row r="1438" spans="1:29">
      <c r="A1438" s="13" t="s">
        <v>2224</v>
      </c>
      <c r="B1438" s="13" t="s">
        <v>404</v>
      </c>
      <c r="C1438" s="138">
        <v>46330</v>
      </c>
      <c r="D1438" s="138" t="s">
        <v>424</v>
      </c>
      <c r="E1438" s="28">
        <v>0.94140117000000001</v>
      </c>
      <c r="F1438" s="13"/>
      <c r="G1438" s="18">
        <v>5444206</v>
      </c>
      <c r="H1438" s="18">
        <v>5125181.88</v>
      </c>
      <c r="I1438" s="18">
        <v>5444206</v>
      </c>
      <c r="J1438" s="18">
        <v>5125181.88</v>
      </c>
      <c r="K1438" s="15">
        <v>3446</v>
      </c>
      <c r="L1438" s="13" t="s">
        <v>102</v>
      </c>
      <c r="M1438" s="13" t="s">
        <v>103</v>
      </c>
      <c r="N1438" s="138" t="s">
        <v>424</v>
      </c>
      <c r="O1438" s="138" t="s">
        <v>424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2644</v>
      </c>
      <c r="V1438" s="13" t="s">
        <v>2644</v>
      </c>
      <c r="W1438" s="59">
        <f>+J1438/$W$2</f>
        <v>8.3879105607348591E-5</v>
      </c>
    </row>
    <row r="1439" spans="1:29">
      <c r="A1439" s="13" t="s">
        <v>448</v>
      </c>
      <c r="B1439" s="13" t="s">
        <v>404</v>
      </c>
      <c r="C1439" s="138">
        <v>46330</v>
      </c>
      <c r="D1439" s="138" t="s">
        <v>424</v>
      </c>
      <c r="E1439" s="28">
        <v>0.93796583</v>
      </c>
      <c r="F1439" s="13"/>
      <c r="G1439" s="18">
        <v>3000000</v>
      </c>
      <c r="H1439" s="18">
        <v>2813897.49</v>
      </c>
      <c r="I1439" s="18">
        <v>3000000</v>
      </c>
      <c r="J1439" s="18">
        <v>2813897.49</v>
      </c>
      <c r="K1439" s="15">
        <v>4565</v>
      </c>
      <c r="L1439" s="13" t="s">
        <v>102</v>
      </c>
      <c r="M1439" s="13" t="s">
        <v>103</v>
      </c>
      <c r="N1439" s="138" t="s">
        <v>343</v>
      </c>
      <c r="O1439" s="138" t="s">
        <v>343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1452</v>
      </c>
      <c r="V1439" s="13" t="s">
        <v>1452</v>
      </c>
      <c r="W1439" s="59">
        <f>+J1439/$W$2</f>
        <v>4.6052454382743419E-5</v>
      </c>
    </row>
    <row r="1440" spans="1:29">
      <c r="A1440" s="13" t="s">
        <v>413</v>
      </c>
      <c r="B1440" s="13" t="s">
        <v>404</v>
      </c>
      <c r="C1440" s="138">
        <v>46330</v>
      </c>
      <c r="D1440" s="138" t="s">
        <v>424</v>
      </c>
      <c r="E1440" s="28">
        <v>0.94140106000000001</v>
      </c>
      <c r="F1440" s="13"/>
      <c r="G1440" s="18">
        <v>11829797.539999999</v>
      </c>
      <c r="H1440" s="18">
        <v>11136583.9</v>
      </c>
      <c r="I1440" s="18">
        <v>11829797.539999999</v>
      </c>
      <c r="J1440" s="18">
        <v>11136583.9</v>
      </c>
      <c r="K1440" s="15">
        <v>30890</v>
      </c>
      <c r="L1440" s="13" t="s">
        <v>102</v>
      </c>
      <c r="M1440" s="13" t="s">
        <v>103</v>
      </c>
      <c r="N1440" s="138" t="s">
        <v>387</v>
      </c>
      <c r="O1440" s="138" t="s">
        <v>387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1731</v>
      </c>
      <c r="V1440" s="13" t="s">
        <v>1731</v>
      </c>
      <c r="W1440" s="59">
        <f>+J1440/$W$2</f>
        <v>1.822621555536285E-4</v>
      </c>
    </row>
    <row r="1441" spans="1:29">
      <c r="A1441" s="13" t="s">
        <v>413</v>
      </c>
      <c r="B1441" s="13" t="s">
        <v>404</v>
      </c>
      <c r="C1441" s="138">
        <v>46330</v>
      </c>
      <c r="D1441" s="138" t="s">
        <v>424</v>
      </c>
      <c r="E1441" s="28">
        <v>0.94140106000000001</v>
      </c>
      <c r="F1441" s="13"/>
      <c r="G1441" s="18">
        <v>16498838.289999999</v>
      </c>
      <c r="H1441" s="18">
        <v>15532023.789999999</v>
      </c>
      <c r="I1441" s="18">
        <v>16498838.289999999</v>
      </c>
      <c r="J1441" s="18">
        <v>15532023.789999999</v>
      </c>
      <c r="K1441" s="15">
        <v>30846</v>
      </c>
      <c r="L1441" s="13" t="s">
        <v>102</v>
      </c>
      <c r="M1441" s="13" t="s">
        <v>103</v>
      </c>
      <c r="N1441" s="138" t="s">
        <v>387</v>
      </c>
      <c r="O1441" s="138" t="s">
        <v>387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1732</v>
      </c>
      <c r="V1441" s="13" t="s">
        <v>1732</v>
      </c>
      <c r="W1441" s="59">
        <f>+J1441/$W$2</f>
        <v>2.5419824979504155E-4</v>
      </c>
    </row>
    <row r="1442" spans="1:29">
      <c r="A1442" s="13" t="s">
        <v>413</v>
      </c>
      <c r="B1442" s="13" t="s">
        <v>404</v>
      </c>
      <c r="C1442" s="138">
        <v>46330</v>
      </c>
      <c r="D1442" s="138" t="s">
        <v>424</v>
      </c>
      <c r="E1442" s="28">
        <v>0.94140106000000001</v>
      </c>
      <c r="F1442" s="13"/>
      <c r="G1442" s="18">
        <v>11490967.4</v>
      </c>
      <c r="H1442" s="18">
        <v>10817608.84</v>
      </c>
      <c r="I1442" s="18">
        <v>11490967.4</v>
      </c>
      <c r="J1442" s="18">
        <v>10817608.84</v>
      </c>
      <c r="K1442" s="15">
        <v>30900</v>
      </c>
      <c r="L1442" s="13" t="s">
        <v>102</v>
      </c>
      <c r="M1442" s="13" t="s">
        <v>103</v>
      </c>
      <c r="N1442" s="138" t="s">
        <v>387</v>
      </c>
      <c r="O1442" s="138" t="s">
        <v>387</v>
      </c>
      <c r="P1442" s="28">
        <v>32</v>
      </c>
      <c r="Q1442" s="13" t="s">
        <v>54</v>
      </c>
      <c r="R1442" s="13" t="s">
        <v>28</v>
      </c>
      <c r="S1442" s="13"/>
      <c r="T1442" s="13"/>
      <c r="U1442" s="13" t="s">
        <v>1733</v>
      </c>
      <c r="V1442" s="13" t="s">
        <v>1733</v>
      </c>
      <c r="W1442" s="59">
        <f>+J1442/$W$2</f>
        <v>1.7704178613644589E-4</v>
      </c>
    </row>
    <row r="1443" spans="1:29">
      <c r="A1443" s="13" t="s">
        <v>413</v>
      </c>
      <c r="B1443" s="13" t="s">
        <v>404</v>
      </c>
      <c r="C1443" s="138">
        <v>46330</v>
      </c>
      <c r="D1443" s="138" t="s">
        <v>424</v>
      </c>
      <c r="E1443" s="28">
        <v>0.94140106000000001</v>
      </c>
      <c r="F1443" s="13"/>
      <c r="G1443" s="18">
        <v>9142894.3200000003</v>
      </c>
      <c r="H1443" s="18">
        <v>8607130.3699999992</v>
      </c>
      <c r="I1443" s="18">
        <v>9142894.3200000003</v>
      </c>
      <c r="J1443" s="18">
        <v>8607130.3699999992</v>
      </c>
      <c r="K1443" s="15">
        <v>9933024</v>
      </c>
      <c r="L1443" s="13" t="s">
        <v>102</v>
      </c>
      <c r="M1443" s="13" t="s">
        <v>103</v>
      </c>
      <c r="N1443" s="138" t="s">
        <v>387</v>
      </c>
      <c r="O1443" s="138" t="s">
        <v>387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1737</v>
      </c>
      <c r="V1443" s="13" t="s">
        <v>1737</v>
      </c>
      <c r="W1443" s="59">
        <f>+J1443/$W$2</f>
        <v>1.4086493205221575E-4</v>
      </c>
      <c r="AC1443" s="56"/>
    </row>
    <row r="1444" spans="1:29">
      <c r="A1444" s="13" t="s">
        <v>979</v>
      </c>
      <c r="B1444" s="13" t="s">
        <v>404</v>
      </c>
      <c r="C1444" s="138">
        <v>46330</v>
      </c>
      <c r="D1444" s="138" t="s">
        <v>424</v>
      </c>
      <c r="E1444" s="28">
        <v>0.93455555000000001</v>
      </c>
      <c r="F1444" s="13"/>
      <c r="G1444" s="18">
        <v>20408241.140000001</v>
      </c>
      <c r="H1444" s="18">
        <v>19072634.940000001</v>
      </c>
      <c r="I1444" s="18">
        <v>20408241.140000001</v>
      </c>
      <c r="J1444" s="18">
        <v>19072634.940000001</v>
      </c>
      <c r="K1444" s="15">
        <v>67998060</v>
      </c>
      <c r="L1444" s="13" t="s">
        <v>102</v>
      </c>
      <c r="M1444" s="13" t="s">
        <v>103</v>
      </c>
      <c r="N1444" s="138" t="s">
        <v>163</v>
      </c>
      <c r="O1444" s="138" t="s">
        <v>163</v>
      </c>
      <c r="P1444" s="28">
        <v>36</v>
      </c>
      <c r="Q1444" s="13" t="s">
        <v>54</v>
      </c>
      <c r="R1444" s="13" t="s">
        <v>28</v>
      </c>
      <c r="S1444" s="13"/>
      <c r="T1444" s="13"/>
      <c r="U1444" s="13" t="s">
        <v>1150</v>
      </c>
      <c r="V1444" s="13" t="s">
        <v>1150</v>
      </c>
      <c r="W1444" s="59">
        <f>+J1444/$W$2</f>
        <v>3.1214415367102381E-4</v>
      </c>
    </row>
    <row r="1445" spans="1:29">
      <c r="A1445" s="13" t="s">
        <v>1208</v>
      </c>
      <c r="B1445" s="13" t="s">
        <v>404</v>
      </c>
      <c r="C1445" s="138">
        <v>46330</v>
      </c>
      <c r="D1445" s="138" t="s">
        <v>424</v>
      </c>
      <c r="E1445" s="28">
        <v>0.94486161999999996</v>
      </c>
      <c r="F1445" s="13"/>
      <c r="G1445" s="18">
        <v>10900000</v>
      </c>
      <c r="H1445" s="18">
        <v>10298991.67</v>
      </c>
      <c r="I1445" s="18">
        <v>10900000</v>
      </c>
      <c r="J1445" s="18">
        <v>10298991.67</v>
      </c>
      <c r="K1445" s="15">
        <v>237</v>
      </c>
      <c r="L1445" s="13" t="s">
        <v>102</v>
      </c>
      <c r="M1445" s="13" t="s">
        <v>103</v>
      </c>
      <c r="N1445" s="138" t="s">
        <v>355</v>
      </c>
      <c r="O1445" s="138" t="s">
        <v>355</v>
      </c>
      <c r="P1445" s="28">
        <v>30</v>
      </c>
      <c r="Q1445" s="13" t="s">
        <v>54</v>
      </c>
      <c r="R1445" s="13" t="s">
        <v>28</v>
      </c>
      <c r="S1445" s="13"/>
      <c r="T1445" s="13"/>
      <c r="U1445" s="13" t="s">
        <v>1185</v>
      </c>
      <c r="V1445" s="13" t="s">
        <v>1185</v>
      </c>
      <c r="W1445" s="59">
        <f>+J1445/$W$2</f>
        <v>1.6855405918533636E-4</v>
      </c>
      <c r="AC1445" s="56"/>
    </row>
    <row r="1446" spans="1:29">
      <c r="A1446" s="13" t="s">
        <v>916</v>
      </c>
      <c r="B1446" s="13" t="s">
        <v>404</v>
      </c>
      <c r="C1446" s="138">
        <v>46331</v>
      </c>
      <c r="D1446" s="138" t="s">
        <v>424</v>
      </c>
      <c r="E1446" s="28">
        <v>0.93714697000000002</v>
      </c>
      <c r="F1446" s="13"/>
      <c r="G1446" s="18">
        <v>200000000</v>
      </c>
      <c r="H1446" s="18">
        <v>187429393.03999999</v>
      </c>
      <c r="I1446" s="18">
        <v>200000000</v>
      </c>
      <c r="J1446" s="18">
        <v>187429393.03999999</v>
      </c>
      <c r="K1446" s="15">
        <v>90004087</v>
      </c>
      <c r="L1446" s="13" t="s">
        <v>102</v>
      </c>
      <c r="M1446" s="13" t="s">
        <v>103</v>
      </c>
      <c r="N1446" s="138" t="s">
        <v>464</v>
      </c>
      <c r="O1446" s="138" t="s">
        <v>464</v>
      </c>
      <c r="P1446" s="28">
        <v>34</v>
      </c>
      <c r="Q1446" s="13" t="s">
        <v>54</v>
      </c>
      <c r="R1446" s="13" t="s">
        <v>28</v>
      </c>
      <c r="S1446" s="13"/>
      <c r="T1446" s="13"/>
      <c r="U1446" s="13" t="s">
        <v>2568</v>
      </c>
      <c r="V1446" s="13" t="s">
        <v>2568</v>
      </c>
      <c r="W1446" s="59">
        <f>+J1446/$W$2</f>
        <v>3.0674833051433886E-3</v>
      </c>
    </row>
    <row r="1447" spans="1:29">
      <c r="A1447" s="13" t="s">
        <v>744</v>
      </c>
      <c r="B1447" s="13" t="s">
        <v>404</v>
      </c>
      <c r="C1447" s="138">
        <v>46331</v>
      </c>
      <c r="D1447" s="138" t="s">
        <v>424</v>
      </c>
      <c r="E1447" s="28">
        <v>0.92856426999999997</v>
      </c>
      <c r="F1447" s="13"/>
      <c r="G1447" s="18">
        <v>3750000</v>
      </c>
      <c r="H1447" s="18">
        <v>3482116</v>
      </c>
      <c r="I1447" s="18">
        <v>3750000</v>
      </c>
      <c r="J1447" s="18">
        <v>3482116</v>
      </c>
      <c r="K1447" s="15">
        <v>66918287</v>
      </c>
      <c r="L1447" s="13" t="s">
        <v>102</v>
      </c>
      <c r="M1447" s="13" t="s">
        <v>103</v>
      </c>
      <c r="N1447" s="138" t="s">
        <v>322</v>
      </c>
      <c r="O1447" s="138" t="s">
        <v>322</v>
      </c>
      <c r="P1447" s="28">
        <v>39</v>
      </c>
      <c r="Q1447" s="13" t="s">
        <v>54</v>
      </c>
      <c r="R1447" s="13" t="s">
        <v>28</v>
      </c>
      <c r="S1447" s="13"/>
      <c r="T1447" s="13"/>
      <c r="U1447" s="13" t="s">
        <v>738</v>
      </c>
      <c r="V1447" s="13" t="s">
        <v>738</v>
      </c>
      <c r="W1447" s="59">
        <f>+J1447/$W$2</f>
        <v>5.6988567925912953E-5</v>
      </c>
      <c r="AC1447" s="56"/>
    </row>
    <row r="1448" spans="1:29">
      <c r="A1448" s="13" t="s">
        <v>565</v>
      </c>
      <c r="B1448" s="13" t="s">
        <v>404</v>
      </c>
      <c r="C1448" s="138">
        <v>46331</v>
      </c>
      <c r="D1448" s="138" t="s">
        <v>424</v>
      </c>
      <c r="E1448" s="28">
        <v>0.94943301000000002</v>
      </c>
      <c r="F1448" s="13"/>
      <c r="G1448" s="18">
        <v>15000000</v>
      </c>
      <c r="H1448" s="18">
        <v>14241495.109999999</v>
      </c>
      <c r="I1448" s="18">
        <v>15000000</v>
      </c>
      <c r="J1448" s="18">
        <v>14241495.109999999</v>
      </c>
      <c r="K1448" s="15">
        <v>236</v>
      </c>
      <c r="L1448" s="13" t="s">
        <v>102</v>
      </c>
      <c r="M1448" s="13" t="s">
        <v>103</v>
      </c>
      <c r="N1448" s="138" t="s">
        <v>355</v>
      </c>
      <c r="O1448" s="138" t="s">
        <v>355</v>
      </c>
      <c r="P1448" s="28">
        <v>27</v>
      </c>
      <c r="Q1448" s="13" t="s">
        <v>54</v>
      </c>
      <c r="R1448" s="13" t="s">
        <v>28</v>
      </c>
      <c r="S1448" s="13"/>
      <c r="T1448" s="13"/>
      <c r="U1448" s="13" t="s">
        <v>1206</v>
      </c>
      <c r="V1448" s="13" t="s">
        <v>1206</v>
      </c>
      <c r="W1448" s="59">
        <f>+J1448/$W$2</f>
        <v>2.3307736199563487E-4</v>
      </c>
    </row>
    <row r="1449" spans="1:29">
      <c r="A1449" s="13" t="s">
        <v>565</v>
      </c>
      <c r="B1449" s="13" t="s">
        <v>404</v>
      </c>
      <c r="C1449" s="138">
        <v>46331</v>
      </c>
      <c r="D1449" s="138" t="s">
        <v>424</v>
      </c>
      <c r="E1449" s="28">
        <v>0.94943301999999996</v>
      </c>
      <c r="F1449" s="13"/>
      <c r="G1449" s="18">
        <v>25000000</v>
      </c>
      <c r="H1449" s="18">
        <v>23735825.399999999</v>
      </c>
      <c r="I1449" s="18">
        <v>25000000</v>
      </c>
      <c r="J1449" s="18">
        <v>23735825.399999999</v>
      </c>
      <c r="K1449" s="15">
        <v>9508922</v>
      </c>
      <c r="L1449" s="13" t="s">
        <v>102</v>
      </c>
      <c r="M1449" s="13" t="s">
        <v>103</v>
      </c>
      <c r="N1449" s="138" t="s">
        <v>601</v>
      </c>
      <c r="O1449" s="138" t="s">
        <v>601</v>
      </c>
      <c r="P1449" s="28">
        <v>27</v>
      </c>
      <c r="Q1449" s="13" t="s">
        <v>54</v>
      </c>
      <c r="R1449" s="13" t="s">
        <v>28</v>
      </c>
      <c r="S1449" s="13"/>
      <c r="T1449" s="13"/>
      <c r="U1449" s="13" t="s">
        <v>1331</v>
      </c>
      <c r="V1449" s="13" t="s">
        <v>1331</v>
      </c>
      <c r="W1449" s="59">
        <f>+J1449/$W$2</f>
        <v>3.8846227353870748E-4</v>
      </c>
    </row>
    <row r="1450" spans="1:29">
      <c r="A1450" s="13" t="s">
        <v>285</v>
      </c>
      <c r="B1450" s="13" t="s">
        <v>404</v>
      </c>
      <c r="C1450" s="138">
        <v>46331</v>
      </c>
      <c r="D1450" s="138" t="s">
        <v>424</v>
      </c>
      <c r="E1450" s="28">
        <v>0.94765816999999997</v>
      </c>
      <c r="F1450" s="13"/>
      <c r="G1450" s="18">
        <v>60000000</v>
      </c>
      <c r="H1450" s="18">
        <v>56859490.049999997</v>
      </c>
      <c r="I1450" s="18">
        <v>60000000</v>
      </c>
      <c r="J1450" s="18">
        <v>56859490.049999997</v>
      </c>
      <c r="K1450" s="15">
        <v>99</v>
      </c>
      <c r="L1450" s="13" t="s">
        <v>102</v>
      </c>
      <c r="M1450" s="13" t="s">
        <v>103</v>
      </c>
      <c r="N1450" s="138" t="s">
        <v>346</v>
      </c>
      <c r="O1450" s="138" t="s">
        <v>346</v>
      </c>
      <c r="P1450" s="28">
        <v>28</v>
      </c>
      <c r="Q1450" s="13" t="s">
        <v>54</v>
      </c>
      <c r="R1450" s="13" t="s">
        <v>28</v>
      </c>
      <c r="S1450" s="13"/>
      <c r="T1450" s="13"/>
      <c r="U1450" s="13" t="s">
        <v>1537</v>
      </c>
      <c r="V1450" s="13" t="s">
        <v>1537</v>
      </c>
      <c r="W1450" s="59">
        <f>+J1450/$W$2</f>
        <v>9.3056661838583112E-4</v>
      </c>
      <c r="AC1450" s="56"/>
    </row>
    <row r="1451" spans="1:29">
      <c r="A1451" s="13" t="s">
        <v>405</v>
      </c>
      <c r="B1451" s="13" t="s">
        <v>404</v>
      </c>
      <c r="C1451" s="138">
        <v>46331</v>
      </c>
      <c r="D1451" s="138" t="s">
        <v>424</v>
      </c>
      <c r="E1451" s="28">
        <v>0.93888276999999998</v>
      </c>
      <c r="F1451" s="13"/>
      <c r="G1451" s="18">
        <v>2500000</v>
      </c>
      <c r="H1451" s="18">
        <v>2347206.92</v>
      </c>
      <c r="I1451" s="18">
        <v>2500000</v>
      </c>
      <c r="J1451" s="18">
        <v>2347206.92</v>
      </c>
      <c r="K1451" s="15">
        <v>1011</v>
      </c>
      <c r="L1451" s="13" t="s">
        <v>102</v>
      </c>
      <c r="M1451" s="13" t="s">
        <v>103</v>
      </c>
      <c r="N1451" s="138" t="s">
        <v>170</v>
      </c>
      <c r="O1451" s="138" t="s">
        <v>170</v>
      </c>
      <c r="P1451" s="28">
        <v>33</v>
      </c>
      <c r="Q1451" s="13" t="s">
        <v>54</v>
      </c>
      <c r="R1451" s="13" t="s">
        <v>28</v>
      </c>
      <c r="S1451" s="13"/>
      <c r="T1451" s="13"/>
      <c r="U1451" s="13" t="s">
        <v>2491</v>
      </c>
      <c r="V1451" s="13" t="s">
        <v>2491</v>
      </c>
      <c r="W1451" s="59">
        <f>+J1451/$W$2</f>
        <v>3.8414562006720318E-5</v>
      </c>
    </row>
    <row r="1452" spans="1:29">
      <c r="A1452" s="13" t="s">
        <v>405</v>
      </c>
      <c r="B1452" s="13" t="s">
        <v>404</v>
      </c>
      <c r="C1452" s="138">
        <v>46331</v>
      </c>
      <c r="D1452" s="138" t="s">
        <v>424</v>
      </c>
      <c r="E1452" s="28">
        <v>0.94062475999999995</v>
      </c>
      <c r="F1452" s="13"/>
      <c r="G1452" s="18">
        <v>3000000</v>
      </c>
      <c r="H1452" s="18">
        <v>2821874.27</v>
      </c>
      <c r="I1452" s="18">
        <v>3000000</v>
      </c>
      <c r="J1452" s="18">
        <v>2821874.27</v>
      </c>
      <c r="K1452" s="15">
        <v>1049</v>
      </c>
      <c r="L1452" s="13" t="s">
        <v>102</v>
      </c>
      <c r="M1452" s="13" t="s">
        <v>103</v>
      </c>
      <c r="N1452" s="138" t="s">
        <v>424</v>
      </c>
      <c r="O1452" s="138" t="s">
        <v>424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2617</v>
      </c>
      <c r="V1452" s="13" t="s">
        <v>2617</v>
      </c>
      <c r="W1452" s="59">
        <f>+J1452/$W$2</f>
        <v>4.6183002954031694E-5</v>
      </c>
    </row>
    <row r="1453" spans="1:29">
      <c r="A1453" s="13" t="s">
        <v>375</v>
      </c>
      <c r="B1453" s="13" t="s">
        <v>404</v>
      </c>
      <c r="C1453" s="138">
        <v>46331</v>
      </c>
      <c r="D1453" s="138" t="s">
        <v>424</v>
      </c>
      <c r="E1453" s="28">
        <v>0.93714704000000004</v>
      </c>
      <c r="F1453" s="13"/>
      <c r="G1453" s="18">
        <v>1020845.65</v>
      </c>
      <c r="H1453" s="18">
        <v>956682.48</v>
      </c>
      <c r="I1453" s="18">
        <v>1020845.65</v>
      </c>
      <c r="J1453" s="18">
        <v>956682.48</v>
      </c>
      <c r="K1453" s="15">
        <v>2911</v>
      </c>
      <c r="L1453" s="13" t="s">
        <v>102</v>
      </c>
      <c r="M1453" s="13" t="s">
        <v>103</v>
      </c>
      <c r="N1453" s="138" t="s">
        <v>346</v>
      </c>
      <c r="O1453" s="138" t="s">
        <v>346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1507</v>
      </c>
      <c r="V1453" s="13" t="s">
        <v>1507</v>
      </c>
      <c r="W1453" s="59">
        <f>+J1453/$W$2</f>
        <v>1.5657136205402364E-5</v>
      </c>
    </row>
    <row r="1454" spans="1:29">
      <c r="A1454" s="13" t="s">
        <v>375</v>
      </c>
      <c r="B1454" s="13" t="s">
        <v>404</v>
      </c>
      <c r="C1454" s="138">
        <v>46331</v>
      </c>
      <c r="D1454" s="138" t="s">
        <v>424</v>
      </c>
      <c r="E1454" s="28">
        <v>0.93714702999999999</v>
      </c>
      <c r="F1454" s="13"/>
      <c r="G1454" s="18">
        <v>990902.64</v>
      </c>
      <c r="H1454" s="18">
        <v>928621.47</v>
      </c>
      <c r="I1454" s="18">
        <v>990902.64</v>
      </c>
      <c r="J1454" s="18">
        <v>928621.47</v>
      </c>
      <c r="K1454" s="15">
        <v>2961</v>
      </c>
      <c r="L1454" s="13" t="s">
        <v>102</v>
      </c>
      <c r="M1454" s="13" t="s">
        <v>103</v>
      </c>
      <c r="N1454" s="138" t="s">
        <v>346</v>
      </c>
      <c r="O1454" s="138" t="s">
        <v>346</v>
      </c>
      <c r="P1454" s="28">
        <v>34</v>
      </c>
      <c r="Q1454" s="13" t="s">
        <v>54</v>
      </c>
      <c r="R1454" s="13" t="s">
        <v>28</v>
      </c>
      <c r="S1454" s="13"/>
      <c r="T1454" s="13"/>
      <c r="U1454" s="13" t="s">
        <v>1510</v>
      </c>
      <c r="V1454" s="13" t="s">
        <v>1510</v>
      </c>
      <c r="W1454" s="59">
        <f>+J1454/$W$2</f>
        <v>1.5197887640893105E-5</v>
      </c>
      <c r="AC1454" s="56"/>
    </row>
    <row r="1455" spans="1:29">
      <c r="A1455" s="13" t="s">
        <v>1325</v>
      </c>
      <c r="B1455" s="13" t="s">
        <v>404</v>
      </c>
      <c r="C1455" s="138">
        <v>46331</v>
      </c>
      <c r="D1455" s="138" t="s">
        <v>424</v>
      </c>
      <c r="E1455" s="28">
        <v>0.93197843999999996</v>
      </c>
      <c r="F1455" s="13"/>
      <c r="G1455" s="18">
        <v>20000000</v>
      </c>
      <c r="H1455" s="18">
        <v>18639568.73</v>
      </c>
      <c r="I1455" s="18">
        <v>20000000</v>
      </c>
      <c r="J1455" s="18">
        <v>18639568.73</v>
      </c>
      <c r="K1455" s="15">
        <v>2594</v>
      </c>
      <c r="L1455" s="13" t="s">
        <v>102</v>
      </c>
      <c r="M1455" s="13" t="s">
        <v>103</v>
      </c>
      <c r="N1455" s="138" t="s">
        <v>371</v>
      </c>
      <c r="O1455" s="138" t="s">
        <v>371</v>
      </c>
      <c r="P1455" s="28">
        <v>37</v>
      </c>
      <c r="Q1455" s="13" t="s">
        <v>54</v>
      </c>
      <c r="R1455" s="13" t="s">
        <v>28</v>
      </c>
      <c r="S1455" s="13"/>
      <c r="T1455" s="13"/>
      <c r="U1455" s="13" t="s">
        <v>2113</v>
      </c>
      <c r="V1455" s="13" t="s">
        <v>2113</v>
      </c>
      <c r="W1455" s="59">
        <f>+J1455/$W$2</f>
        <v>3.0505656005696771E-4</v>
      </c>
    </row>
    <row r="1456" spans="1:29">
      <c r="A1456" s="13" t="s">
        <v>356</v>
      </c>
      <c r="B1456" s="13" t="s">
        <v>404</v>
      </c>
      <c r="C1456" s="138">
        <v>46331</v>
      </c>
      <c r="D1456" s="138" t="s">
        <v>424</v>
      </c>
      <c r="E1456" s="28">
        <v>0.94062486000000001</v>
      </c>
      <c r="F1456" s="13"/>
      <c r="G1456" s="18">
        <v>40000000</v>
      </c>
      <c r="H1456" s="18">
        <v>37624994.520000003</v>
      </c>
      <c r="I1456" s="18">
        <v>40000000</v>
      </c>
      <c r="J1456" s="18">
        <v>37624994.520000003</v>
      </c>
      <c r="K1456" s="15">
        <v>13953436</v>
      </c>
      <c r="L1456" s="13" t="s">
        <v>102</v>
      </c>
      <c r="M1456" s="13" t="s">
        <v>103</v>
      </c>
      <c r="N1456" s="138" t="s">
        <v>387</v>
      </c>
      <c r="O1456" s="138" t="s">
        <v>387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1711</v>
      </c>
      <c r="V1456" s="13" t="s">
        <v>1711</v>
      </c>
      <c r="W1456" s="59">
        <f>+J1456/$W$2</f>
        <v>6.157734423307905E-4</v>
      </c>
    </row>
    <row r="1457" spans="1:29">
      <c r="A1457" s="13" t="s">
        <v>523</v>
      </c>
      <c r="B1457" s="13" t="s">
        <v>404</v>
      </c>
      <c r="C1457" s="138">
        <v>46331</v>
      </c>
      <c r="D1457" s="138" t="s">
        <v>424</v>
      </c>
      <c r="E1457" s="28">
        <v>0.94412832000000002</v>
      </c>
      <c r="F1457" s="13"/>
      <c r="G1457" s="18">
        <v>11923076.92</v>
      </c>
      <c r="H1457" s="18">
        <v>11256914.609999999</v>
      </c>
      <c r="I1457" s="18">
        <v>11923076.92</v>
      </c>
      <c r="J1457" s="18">
        <v>11256914.609999999</v>
      </c>
      <c r="K1457" s="15">
        <v>90021990</v>
      </c>
      <c r="L1457" s="13" t="s">
        <v>102</v>
      </c>
      <c r="M1457" s="13" t="s">
        <v>103</v>
      </c>
      <c r="N1457" s="138" t="s">
        <v>315</v>
      </c>
      <c r="O1457" s="138" t="s">
        <v>315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711</v>
      </c>
      <c r="V1457" s="13" t="s">
        <v>711</v>
      </c>
      <c r="W1457" s="59">
        <f>+J1457/$W$2</f>
        <v>1.8423149685081912E-4</v>
      </c>
    </row>
    <row r="1458" spans="1:29">
      <c r="A1458" s="13" t="s">
        <v>318</v>
      </c>
      <c r="B1458" s="13" t="s">
        <v>404</v>
      </c>
      <c r="C1458" s="138">
        <v>46335</v>
      </c>
      <c r="D1458" s="138" t="s">
        <v>424</v>
      </c>
      <c r="E1458" s="28">
        <v>0.95052088999999995</v>
      </c>
      <c r="F1458" s="13"/>
      <c r="G1458" s="18">
        <v>12000000</v>
      </c>
      <c r="H1458" s="18">
        <v>11406250.68</v>
      </c>
      <c r="I1458" s="18">
        <v>12000000</v>
      </c>
      <c r="J1458" s="18">
        <v>11406250.68</v>
      </c>
      <c r="K1458" s="15">
        <v>34561</v>
      </c>
      <c r="L1458" s="13" t="s">
        <v>102</v>
      </c>
      <c r="M1458" s="13" t="s">
        <v>103</v>
      </c>
      <c r="N1458" s="138" t="s">
        <v>341</v>
      </c>
      <c r="O1458" s="138" t="s">
        <v>341</v>
      </c>
      <c r="P1458" s="28">
        <v>25</v>
      </c>
      <c r="Q1458" s="13" t="s">
        <v>54</v>
      </c>
      <c r="R1458" s="13" t="s">
        <v>28</v>
      </c>
      <c r="S1458" s="13"/>
      <c r="T1458" s="13"/>
      <c r="U1458" s="13" t="s">
        <v>1931</v>
      </c>
      <c r="V1458" s="13" t="s">
        <v>1931</v>
      </c>
      <c r="W1458" s="59">
        <f>+J1458/$W$2</f>
        <v>1.8667554201444491E-4</v>
      </c>
    </row>
    <row r="1459" spans="1:29">
      <c r="A1459" s="13" t="s">
        <v>518</v>
      </c>
      <c r="B1459" s="13" t="s">
        <v>404</v>
      </c>
      <c r="C1459" s="138">
        <v>46335</v>
      </c>
      <c r="D1459" s="138" t="s">
        <v>424</v>
      </c>
      <c r="E1459" s="28">
        <v>0.93570571999999996</v>
      </c>
      <c r="F1459" s="13"/>
      <c r="G1459" s="18">
        <v>7954930.75</v>
      </c>
      <c r="H1459" s="18">
        <v>7443474.21</v>
      </c>
      <c r="I1459" s="18">
        <v>7954930.75</v>
      </c>
      <c r="J1459" s="18">
        <v>7443474.21</v>
      </c>
      <c r="K1459" s="15">
        <v>9</v>
      </c>
      <c r="L1459" s="13" t="s">
        <v>102</v>
      </c>
      <c r="M1459" s="13" t="s">
        <v>103</v>
      </c>
      <c r="N1459" s="138" t="s">
        <v>484</v>
      </c>
      <c r="O1459" s="138" t="s">
        <v>484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2066</v>
      </c>
      <c r="V1459" s="13" t="s">
        <v>2066</v>
      </c>
      <c r="W1459" s="59">
        <f>+J1459/$W$2</f>
        <v>1.218204492961654E-4</v>
      </c>
      <c r="AC1459" s="56"/>
    </row>
    <row r="1460" spans="1:29">
      <c r="A1460" s="13" t="s">
        <v>625</v>
      </c>
      <c r="B1460" s="13" t="s">
        <v>404</v>
      </c>
      <c r="C1460" s="138">
        <v>46335</v>
      </c>
      <c r="D1460" s="138" t="s">
        <v>424</v>
      </c>
      <c r="E1460" s="28">
        <v>0.93570560999999997</v>
      </c>
      <c r="F1460" s="13"/>
      <c r="G1460" s="18">
        <v>85000000</v>
      </c>
      <c r="H1460" s="18">
        <v>79534977.109999999</v>
      </c>
      <c r="I1460" s="18">
        <v>85000000</v>
      </c>
      <c r="J1460" s="18">
        <v>79534977.109999999</v>
      </c>
      <c r="K1460" s="15">
        <v>68458957</v>
      </c>
      <c r="L1460" s="13" t="s">
        <v>102</v>
      </c>
      <c r="M1460" s="13" t="s">
        <v>103</v>
      </c>
      <c r="N1460" s="138" t="s">
        <v>161</v>
      </c>
      <c r="O1460" s="138" t="s">
        <v>161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1686</v>
      </c>
      <c r="V1460" s="13" t="s">
        <v>1686</v>
      </c>
      <c r="W1460" s="59">
        <f>+J1460/$W$2</f>
        <v>1.3016753162499949E-3</v>
      </c>
    </row>
    <row r="1461" spans="1:29">
      <c r="A1461" s="13" t="s">
        <v>744</v>
      </c>
      <c r="B1461" s="13" t="s">
        <v>404</v>
      </c>
      <c r="C1461" s="138">
        <v>46335</v>
      </c>
      <c r="D1461" s="138" t="s">
        <v>424</v>
      </c>
      <c r="E1461" s="28">
        <v>0.93388603999999997</v>
      </c>
      <c r="F1461" s="13"/>
      <c r="G1461" s="18">
        <v>6200000</v>
      </c>
      <c r="H1461" s="18">
        <v>5790093.46</v>
      </c>
      <c r="I1461" s="18">
        <v>6200000</v>
      </c>
      <c r="J1461" s="18">
        <v>5790093.46</v>
      </c>
      <c r="K1461" s="15">
        <v>69261919</v>
      </c>
      <c r="L1461" s="13" t="s">
        <v>102</v>
      </c>
      <c r="M1461" s="13" t="s">
        <v>103</v>
      </c>
      <c r="N1461" s="138" t="s">
        <v>424</v>
      </c>
      <c r="O1461" s="138" t="s">
        <v>424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2629</v>
      </c>
      <c r="V1461" s="13" t="s">
        <v>2629</v>
      </c>
      <c r="W1461" s="59">
        <f>+J1461/$W$2</f>
        <v>9.4761097689621593E-5</v>
      </c>
      <c r="AC1461" s="56"/>
    </row>
    <row r="1462" spans="1:29">
      <c r="A1462" s="13" t="s">
        <v>763</v>
      </c>
      <c r="B1462" s="13" t="s">
        <v>404</v>
      </c>
      <c r="C1462" s="138">
        <v>46335</v>
      </c>
      <c r="D1462" s="138" t="s">
        <v>424</v>
      </c>
      <c r="E1462" s="28">
        <v>0.93026827000000001</v>
      </c>
      <c r="F1462" s="13"/>
      <c r="G1462" s="18">
        <v>1555000.5</v>
      </c>
      <c r="H1462" s="18">
        <v>1446567.63</v>
      </c>
      <c r="I1462" s="18">
        <v>1555000.5</v>
      </c>
      <c r="J1462" s="18">
        <v>1446567.63</v>
      </c>
      <c r="K1462" s="15">
        <v>503</v>
      </c>
      <c r="L1462" s="13" t="s">
        <v>102</v>
      </c>
      <c r="M1462" s="13" t="s">
        <v>103</v>
      </c>
      <c r="N1462" s="138" t="s">
        <v>170</v>
      </c>
      <c r="O1462" s="138" t="s">
        <v>170</v>
      </c>
      <c r="P1462" s="28">
        <v>36</v>
      </c>
      <c r="Q1462" s="13" t="s">
        <v>54</v>
      </c>
      <c r="R1462" s="13" t="s">
        <v>28</v>
      </c>
      <c r="S1462" s="13"/>
      <c r="T1462" s="13"/>
      <c r="U1462" s="13" t="s">
        <v>2460</v>
      </c>
      <c r="V1462" s="13" t="s">
        <v>2460</v>
      </c>
      <c r="W1462" s="59">
        <f>+J1462/$W$2</f>
        <v>2.367463279272773E-5</v>
      </c>
    </row>
    <row r="1463" spans="1:29">
      <c r="A1463" s="13" t="s">
        <v>407</v>
      </c>
      <c r="B1463" s="13" t="s">
        <v>404</v>
      </c>
      <c r="C1463" s="138">
        <v>46335</v>
      </c>
      <c r="D1463" s="138" t="s">
        <v>424</v>
      </c>
      <c r="E1463" s="28">
        <v>0.94120689999999996</v>
      </c>
      <c r="F1463" s="13"/>
      <c r="G1463" s="18">
        <v>75000000</v>
      </c>
      <c r="H1463" s="18">
        <v>70590517.219999999</v>
      </c>
      <c r="I1463" s="18">
        <v>75000000</v>
      </c>
      <c r="J1463" s="18">
        <v>70590517.219999999</v>
      </c>
      <c r="K1463" s="15">
        <v>341</v>
      </c>
      <c r="L1463" s="13" t="s">
        <v>102</v>
      </c>
      <c r="M1463" s="13" t="s">
        <v>103</v>
      </c>
      <c r="N1463" s="138" t="s">
        <v>173</v>
      </c>
      <c r="O1463" s="138" t="s">
        <v>173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2015</v>
      </c>
      <c r="V1463" s="13" t="s">
        <v>2015</v>
      </c>
      <c r="W1463" s="59">
        <f>+J1463/$W$2</f>
        <v>1.1552896243310958E-3</v>
      </c>
    </row>
    <row r="1464" spans="1:29">
      <c r="A1464" s="13" t="s">
        <v>375</v>
      </c>
      <c r="B1464" s="13" t="s">
        <v>404</v>
      </c>
      <c r="C1464" s="138">
        <v>46335</v>
      </c>
      <c r="D1464" s="138" t="s">
        <v>424</v>
      </c>
      <c r="E1464" s="28">
        <v>0.93570555</v>
      </c>
      <c r="F1464" s="13"/>
      <c r="G1464" s="18">
        <v>2502550.36</v>
      </c>
      <c r="H1464" s="18">
        <v>2341650.25</v>
      </c>
      <c r="I1464" s="18">
        <v>2502550.36</v>
      </c>
      <c r="J1464" s="18">
        <v>2341650.25</v>
      </c>
      <c r="K1464" s="15">
        <v>3134</v>
      </c>
      <c r="L1464" s="13" t="s">
        <v>102</v>
      </c>
      <c r="M1464" s="13" t="s">
        <v>103</v>
      </c>
      <c r="N1464" s="138" t="s">
        <v>386</v>
      </c>
      <c r="O1464" s="138" t="s">
        <v>386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1832</v>
      </c>
      <c r="V1464" s="13" t="s">
        <v>1832</v>
      </c>
      <c r="W1464" s="59">
        <f>+J1464/$W$2</f>
        <v>3.8323621134636542E-5</v>
      </c>
    </row>
    <row r="1465" spans="1:29">
      <c r="A1465" s="13" t="s">
        <v>375</v>
      </c>
      <c r="B1465" s="13" t="s">
        <v>404</v>
      </c>
      <c r="C1465" s="138">
        <v>46335</v>
      </c>
      <c r="D1465" s="138" t="s">
        <v>424</v>
      </c>
      <c r="E1465" s="28">
        <v>0.93570555</v>
      </c>
      <c r="F1465" s="13"/>
      <c r="G1465" s="18">
        <v>2502550.36</v>
      </c>
      <c r="H1465" s="18">
        <v>2341650.25</v>
      </c>
      <c r="I1465" s="18">
        <v>2502550.36</v>
      </c>
      <c r="J1465" s="18">
        <v>2341650.25</v>
      </c>
      <c r="K1465" s="15">
        <v>3144</v>
      </c>
      <c r="L1465" s="13" t="s">
        <v>102</v>
      </c>
      <c r="M1465" s="13" t="s">
        <v>103</v>
      </c>
      <c r="N1465" s="138" t="s">
        <v>386</v>
      </c>
      <c r="O1465" s="138" t="s">
        <v>386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1833</v>
      </c>
      <c r="V1465" s="13" t="s">
        <v>1833</v>
      </c>
      <c r="W1465" s="59">
        <f>+J1465/$W$2</f>
        <v>3.8323621134636542E-5</v>
      </c>
    </row>
    <row r="1466" spans="1:29">
      <c r="A1466" s="13" t="s">
        <v>375</v>
      </c>
      <c r="B1466" s="13" t="s">
        <v>404</v>
      </c>
      <c r="C1466" s="138">
        <v>46335</v>
      </c>
      <c r="D1466" s="138" t="s">
        <v>424</v>
      </c>
      <c r="E1466" s="28">
        <v>0.93570555</v>
      </c>
      <c r="F1466" s="13"/>
      <c r="G1466" s="18">
        <v>2250000</v>
      </c>
      <c r="H1466" s="18">
        <v>2105337.48</v>
      </c>
      <c r="I1466" s="18">
        <v>2250000</v>
      </c>
      <c r="J1466" s="18">
        <v>2105337.48</v>
      </c>
      <c r="K1466" s="15">
        <v>3059</v>
      </c>
      <c r="L1466" s="13" t="s">
        <v>102</v>
      </c>
      <c r="M1466" s="13" t="s">
        <v>103</v>
      </c>
      <c r="N1466" s="138" t="s">
        <v>386</v>
      </c>
      <c r="O1466" s="138" t="s">
        <v>386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1836</v>
      </c>
      <c r="V1466" s="13" t="s">
        <v>1836</v>
      </c>
      <c r="W1466" s="59">
        <f>+J1466/$W$2</f>
        <v>3.445610886769723E-5</v>
      </c>
    </row>
    <row r="1467" spans="1:29">
      <c r="A1467" s="13" t="s">
        <v>285</v>
      </c>
      <c r="B1467" s="13" t="s">
        <v>404</v>
      </c>
      <c r="C1467" s="138">
        <v>46335</v>
      </c>
      <c r="D1467" s="138" t="s">
        <v>424</v>
      </c>
      <c r="E1467" s="28">
        <v>0.94120685000000004</v>
      </c>
      <c r="F1467" s="13"/>
      <c r="G1467" s="18">
        <v>10000000</v>
      </c>
      <c r="H1467" s="18">
        <v>9412068.4600000009</v>
      </c>
      <c r="I1467" s="18">
        <v>10000000</v>
      </c>
      <c r="J1467" s="18">
        <v>9412068.4600000009</v>
      </c>
      <c r="K1467" s="15">
        <v>108</v>
      </c>
      <c r="L1467" s="13" t="s">
        <v>102</v>
      </c>
      <c r="M1467" s="13" t="s">
        <v>103</v>
      </c>
      <c r="N1467" s="138" t="s">
        <v>342</v>
      </c>
      <c r="O1467" s="138" t="s">
        <v>342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2386</v>
      </c>
      <c r="V1467" s="13" t="s">
        <v>2386</v>
      </c>
      <c r="W1467" s="59">
        <f>+J1467/$W$2</f>
        <v>1.5403860835079962E-4</v>
      </c>
    </row>
    <row r="1468" spans="1:29">
      <c r="A1468" s="13" t="s">
        <v>405</v>
      </c>
      <c r="B1468" s="13" t="s">
        <v>404</v>
      </c>
      <c r="C1468" s="138">
        <v>46335</v>
      </c>
      <c r="D1468" s="138" t="s">
        <v>424</v>
      </c>
      <c r="E1468" s="28">
        <v>0.94120700999999996</v>
      </c>
      <c r="F1468" s="13"/>
      <c r="G1468" s="18">
        <v>2500000</v>
      </c>
      <c r="H1468" s="18">
        <v>2353017.52</v>
      </c>
      <c r="I1468" s="18">
        <v>2500000</v>
      </c>
      <c r="J1468" s="18">
        <v>2353017.52</v>
      </c>
      <c r="K1468" s="15">
        <v>897</v>
      </c>
      <c r="L1468" s="13" t="s">
        <v>102</v>
      </c>
      <c r="M1468" s="13" t="s">
        <v>103</v>
      </c>
      <c r="N1468" s="138" t="s">
        <v>484</v>
      </c>
      <c r="O1468" s="138" t="s">
        <v>484</v>
      </c>
      <c r="P1468" s="28">
        <v>30</v>
      </c>
      <c r="Q1468" s="13" t="s">
        <v>54</v>
      </c>
      <c r="R1468" s="13" t="s">
        <v>28</v>
      </c>
      <c r="S1468" s="13"/>
      <c r="T1468" s="13"/>
      <c r="U1468" s="13" t="s">
        <v>2073</v>
      </c>
      <c r="V1468" s="13" t="s">
        <v>2073</v>
      </c>
      <c r="W1468" s="59">
        <f>+J1468/$W$2</f>
        <v>3.850965871595985E-5</v>
      </c>
    </row>
    <row r="1469" spans="1:29">
      <c r="A1469" s="13" t="s">
        <v>405</v>
      </c>
      <c r="B1469" s="13" t="s">
        <v>404</v>
      </c>
      <c r="C1469" s="138">
        <v>46335</v>
      </c>
      <c r="D1469" s="138" t="s">
        <v>424</v>
      </c>
      <c r="E1469" s="28">
        <v>0.93570564000000001</v>
      </c>
      <c r="F1469" s="13"/>
      <c r="G1469" s="18">
        <v>2500000</v>
      </c>
      <c r="H1469" s="18">
        <v>2339264.1</v>
      </c>
      <c r="I1469" s="18">
        <v>2500000</v>
      </c>
      <c r="J1469" s="18">
        <v>2339264.1</v>
      </c>
      <c r="K1469" s="15">
        <v>1012</v>
      </c>
      <c r="L1469" s="13" t="s">
        <v>102</v>
      </c>
      <c r="M1469" s="13" t="s">
        <v>103</v>
      </c>
      <c r="N1469" s="138" t="s">
        <v>170</v>
      </c>
      <c r="O1469" s="138" t="s">
        <v>170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2473</v>
      </c>
      <c r="V1469" s="13" t="s">
        <v>2473</v>
      </c>
      <c r="W1469" s="59">
        <f>+J1469/$W$2</f>
        <v>3.8284569227303065E-5</v>
      </c>
      <c r="AC1469" s="56"/>
    </row>
    <row r="1470" spans="1:29">
      <c r="A1470" s="13" t="s">
        <v>405</v>
      </c>
      <c r="B1470" s="13" t="s">
        <v>404</v>
      </c>
      <c r="C1470" s="138">
        <v>46335</v>
      </c>
      <c r="D1470" s="138" t="s">
        <v>424</v>
      </c>
      <c r="E1470" s="28">
        <v>0.93753215999999995</v>
      </c>
      <c r="F1470" s="13"/>
      <c r="G1470" s="18">
        <v>3000000</v>
      </c>
      <c r="H1470" s="18">
        <v>2812596.47</v>
      </c>
      <c r="I1470" s="18">
        <v>3000000</v>
      </c>
      <c r="J1470" s="18">
        <v>2812596.47</v>
      </c>
      <c r="K1470" s="15">
        <v>1050</v>
      </c>
      <c r="L1470" s="13" t="s">
        <v>102</v>
      </c>
      <c r="M1470" s="13" t="s">
        <v>103</v>
      </c>
      <c r="N1470" s="138" t="s">
        <v>424</v>
      </c>
      <c r="O1470" s="138" t="s">
        <v>424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2598</v>
      </c>
      <c r="V1470" s="13" t="s">
        <v>2598</v>
      </c>
      <c r="W1470" s="59">
        <f>+J1470/$W$2</f>
        <v>4.603116179322516E-5</v>
      </c>
    </row>
    <row r="1471" spans="1:29">
      <c r="A1471" s="13" t="s">
        <v>375</v>
      </c>
      <c r="B1471" s="13" t="s">
        <v>404</v>
      </c>
      <c r="C1471" s="138">
        <v>46335</v>
      </c>
      <c r="D1471" s="138" t="s">
        <v>424</v>
      </c>
      <c r="E1471" s="28">
        <v>0.93388607000000001</v>
      </c>
      <c r="F1471" s="13"/>
      <c r="G1471" s="18">
        <v>990902.64</v>
      </c>
      <c r="H1471" s="18">
        <v>925390.17</v>
      </c>
      <c r="I1471" s="18">
        <v>990902.64</v>
      </c>
      <c r="J1471" s="18">
        <v>925390.17</v>
      </c>
      <c r="K1471" s="15">
        <v>2962</v>
      </c>
      <c r="L1471" s="13" t="s">
        <v>102</v>
      </c>
      <c r="M1471" s="13" t="s">
        <v>103</v>
      </c>
      <c r="N1471" s="138" t="s">
        <v>346</v>
      </c>
      <c r="O1471" s="138" t="s">
        <v>346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1514</v>
      </c>
      <c r="V1471" s="13" t="s">
        <v>1514</v>
      </c>
      <c r="W1471" s="59">
        <f>+J1471/$W$2</f>
        <v>1.5145003946168692E-5</v>
      </c>
    </row>
    <row r="1472" spans="1:29">
      <c r="A1472" s="13" t="s">
        <v>375</v>
      </c>
      <c r="B1472" s="13" t="s">
        <v>404</v>
      </c>
      <c r="C1472" s="138">
        <v>46335</v>
      </c>
      <c r="D1472" s="138" t="s">
        <v>424</v>
      </c>
      <c r="E1472" s="28">
        <v>0.93388603000000003</v>
      </c>
      <c r="F1472" s="13"/>
      <c r="G1472" s="18">
        <v>1020845.65</v>
      </c>
      <c r="H1472" s="18">
        <v>953353.49</v>
      </c>
      <c r="I1472" s="18">
        <v>1020845.65</v>
      </c>
      <c r="J1472" s="18">
        <v>953353.49</v>
      </c>
      <c r="K1472" s="15">
        <v>2912</v>
      </c>
      <c r="L1472" s="13" t="s">
        <v>102</v>
      </c>
      <c r="M1472" s="13" t="s">
        <v>103</v>
      </c>
      <c r="N1472" s="138" t="s">
        <v>346</v>
      </c>
      <c r="O1472" s="138" t="s">
        <v>346</v>
      </c>
      <c r="P1472" s="28">
        <v>34</v>
      </c>
      <c r="Q1472" s="13" t="s">
        <v>54</v>
      </c>
      <c r="R1472" s="13" t="s">
        <v>28</v>
      </c>
      <c r="S1472" s="13"/>
      <c r="T1472" s="13"/>
      <c r="U1472" s="13" t="s">
        <v>1515</v>
      </c>
      <c r="V1472" s="13" t="s">
        <v>1515</v>
      </c>
      <c r="W1472" s="59">
        <f>+J1472/$W$2</f>
        <v>1.5602653708914688E-5</v>
      </c>
    </row>
    <row r="1473" spans="1:29">
      <c r="A1473" s="13" t="s">
        <v>375</v>
      </c>
      <c r="B1473" s="13" t="s">
        <v>404</v>
      </c>
      <c r="C1473" s="138">
        <v>46335</v>
      </c>
      <c r="D1473" s="138" t="s">
        <v>424</v>
      </c>
      <c r="E1473" s="28">
        <v>0.93026827999999995</v>
      </c>
      <c r="F1473" s="13"/>
      <c r="G1473" s="18">
        <v>2510000.36</v>
      </c>
      <c r="H1473" s="18">
        <v>2334973.71</v>
      </c>
      <c r="I1473" s="18">
        <v>2510000.36</v>
      </c>
      <c r="J1473" s="18">
        <v>2334973.71</v>
      </c>
      <c r="K1473" s="15">
        <v>3159</v>
      </c>
      <c r="L1473" s="13" t="s">
        <v>102</v>
      </c>
      <c r="M1473" s="13" t="s">
        <v>103</v>
      </c>
      <c r="N1473" s="138" t="s">
        <v>170</v>
      </c>
      <c r="O1473" s="138" t="s">
        <v>170</v>
      </c>
      <c r="P1473" s="28">
        <v>36</v>
      </c>
      <c r="Q1473" s="13" t="s">
        <v>54</v>
      </c>
      <c r="R1473" s="13" t="s">
        <v>28</v>
      </c>
      <c r="S1473" s="13"/>
      <c r="T1473" s="13"/>
      <c r="U1473" s="13" t="s">
        <v>2468</v>
      </c>
      <c r="V1473" s="13" t="s">
        <v>2468</v>
      </c>
      <c r="W1473" s="59">
        <f>+J1473/$W$2</f>
        <v>3.8214352387328848E-5</v>
      </c>
    </row>
    <row r="1474" spans="1:29">
      <c r="A1474" s="13" t="s">
        <v>1325</v>
      </c>
      <c r="B1474" s="13" t="s">
        <v>404</v>
      </c>
      <c r="C1474" s="138">
        <v>46335</v>
      </c>
      <c r="D1474" s="138" t="s">
        <v>424</v>
      </c>
      <c r="E1474" s="28">
        <v>0.92846974000000004</v>
      </c>
      <c r="F1474" s="13"/>
      <c r="G1474" s="18">
        <v>20000000</v>
      </c>
      <c r="H1474" s="18">
        <v>18569394.829999998</v>
      </c>
      <c r="I1474" s="18">
        <v>20000000</v>
      </c>
      <c r="J1474" s="18">
        <v>18569394.829999998</v>
      </c>
      <c r="K1474" s="15">
        <v>2595</v>
      </c>
      <c r="L1474" s="13" t="s">
        <v>102</v>
      </c>
      <c r="M1474" s="13" t="s">
        <v>103</v>
      </c>
      <c r="N1474" s="138" t="s">
        <v>371</v>
      </c>
      <c r="O1474" s="138" t="s">
        <v>371</v>
      </c>
      <c r="P1474" s="28">
        <v>37</v>
      </c>
      <c r="Q1474" s="13" t="s">
        <v>54</v>
      </c>
      <c r="R1474" s="13" t="s">
        <v>28</v>
      </c>
      <c r="S1474" s="13"/>
      <c r="T1474" s="13"/>
      <c r="U1474" s="13" t="s">
        <v>2114</v>
      </c>
      <c r="V1474" s="13" t="s">
        <v>2114</v>
      </c>
      <c r="W1474" s="59">
        <f>+J1474/$W$2</f>
        <v>3.03908088820864E-4</v>
      </c>
    </row>
    <row r="1475" spans="1:29">
      <c r="A1475" s="13" t="s">
        <v>1417</v>
      </c>
      <c r="B1475" s="13" t="s">
        <v>404</v>
      </c>
      <c r="C1475" s="138">
        <v>46335</v>
      </c>
      <c r="D1475" s="138" t="s">
        <v>424</v>
      </c>
      <c r="E1475" s="28">
        <v>0.93753222999999997</v>
      </c>
      <c r="F1475" s="13"/>
      <c r="G1475" s="18">
        <v>475000000</v>
      </c>
      <c r="H1475" s="18">
        <v>445327808.35000002</v>
      </c>
      <c r="I1475" s="18">
        <v>475000000</v>
      </c>
      <c r="J1475" s="18">
        <v>445327808.35000002</v>
      </c>
      <c r="K1475" s="15">
        <v>931</v>
      </c>
      <c r="L1475" s="13" t="s">
        <v>102</v>
      </c>
      <c r="M1475" s="13" t="s">
        <v>103</v>
      </c>
      <c r="N1475" s="138" t="s">
        <v>421</v>
      </c>
      <c r="O1475" s="138" t="s">
        <v>421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1390</v>
      </c>
      <c r="V1475" s="13" t="s">
        <v>1390</v>
      </c>
      <c r="W1475" s="59">
        <f>+J1475/$W$2</f>
        <v>7.2882678392827589E-3</v>
      </c>
    </row>
    <row r="1476" spans="1:29">
      <c r="A1476" s="13" t="s">
        <v>356</v>
      </c>
      <c r="B1476" s="13" t="s">
        <v>404</v>
      </c>
      <c r="C1476" s="138">
        <v>46335</v>
      </c>
      <c r="D1476" s="138" t="s">
        <v>424</v>
      </c>
      <c r="E1476" s="28">
        <v>0.93753228</v>
      </c>
      <c r="F1476" s="13"/>
      <c r="G1476" s="18">
        <v>40000000</v>
      </c>
      <c r="H1476" s="18">
        <v>37501291.020000003</v>
      </c>
      <c r="I1476" s="18">
        <v>40000000</v>
      </c>
      <c r="J1476" s="18">
        <v>37501291.020000003</v>
      </c>
      <c r="K1476" s="15">
        <v>13953437</v>
      </c>
      <c r="L1476" s="13" t="s">
        <v>102</v>
      </c>
      <c r="M1476" s="13" t="s">
        <v>103</v>
      </c>
      <c r="N1476" s="138" t="s">
        <v>387</v>
      </c>
      <c r="O1476" s="138" t="s">
        <v>387</v>
      </c>
      <c r="P1476" s="28">
        <v>32</v>
      </c>
      <c r="Q1476" s="13" t="s">
        <v>54</v>
      </c>
      <c r="R1476" s="13" t="s">
        <v>28</v>
      </c>
      <c r="S1476" s="13"/>
      <c r="T1476" s="13"/>
      <c r="U1476" s="13" t="s">
        <v>1712</v>
      </c>
      <c r="V1476" s="13" t="s">
        <v>1712</v>
      </c>
      <c r="W1476" s="59">
        <f>+J1476/$W$2</f>
        <v>6.1374890170307354E-4</v>
      </c>
    </row>
    <row r="1477" spans="1:29">
      <c r="A1477" s="13" t="s">
        <v>2435</v>
      </c>
      <c r="B1477" s="13" t="s">
        <v>404</v>
      </c>
      <c r="C1477" s="138">
        <v>46335</v>
      </c>
      <c r="D1477" s="138" t="s">
        <v>424</v>
      </c>
      <c r="E1477" s="28">
        <v>0.93753218000000005</v>
      </c>
      <c r="F1477" s="13"/>
      <c r="G1477" s="18">
        <v>105000000</v>
      </c>
      <c r="H1477" s="18">
        <v>98440878.379999995</v>
      </c>
      <c r="I1477" s="18">
        <v>105000000</v>
      </c>
      <c r="J1477" s="18">
        <v>98440878.379999995</v>
      </c>
      <c r="K1477" s="15">
        <v>322</v>
      </c>
      <c r="L1477" s="13" t="s">
        <v>102</v>
      </c>
      <c r="M1477" s="13" t="s">
        <v>103</v>
      </c>
      <c r="N1477" s="138" t="s">
        <v>345</v>
      </c>
      <c r="O1477" s="138" t="s">
        <v>345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2422</v>
      </c>
      <c r="V1477" s="13" t="s">
        <v>2422</v>
      </c>
      <c r="W1477" s="59">
        <f>+J1477/$W$2</f>
        <v>1.611090694349403E-3</v>
      </c>
      <c r="AC1477" s="56"/>
    </row>
    <row r="1478" spans="1:29">
      <c r="A1478" s="13" t="s">
        <v>518</v>
      </c>
      <c r="B1478" s="13" t="s">
        <v>404</v>
      </c>
      <c r="C1478" s="138">
        <v>46336</v>
      </c>
      <c r="D1478" s="138" t="s">
        <v>424</v>
      </c>
      <c r="E1478" s="28">
        <v>0.93491473999999997</v>
      </c>
      <c r="F1478" s="13"/>
      <c r="G1478" s="18">
        <v>7954930.75</v>
      </c>
      <c r="H1478" s="18">
        <v>7437182.0099999998</v>
      </c>
      <c r="I1478" s="18">
        <v>7954930.75</v>
      </c>
      <c r="J1478" s="18">
        <v>7437182.0099999998</v>
      </c>
      <c r="K1478" s="15">
        <v>60</v>
      </c>
      <c r="L1478" s="13" t="s">
        <v>102</v>
      </c>
      <c r="M1478" s="13" t="s">
        <v>103</v>
      </c>
      <c r="N1478" s="138" t="s">
        <v>484</v>
      </c>
      <c r="O1478" s="138" t="s">
        <v>484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2067</v>
      </c>
      <c r="V1478" s="13" t="s">
        <v>2067</v>
      </c>
      <c r="W1478" s="59">
        <f>+J1478/$W$2</f>
        <v>1.2171747068571604E-4</v>
      </c>
    </row>
    <row r="1479" spans="1:29">
      <c r="A1479" s="13" t="s">
        <v>744</v>
      </c>
      <c r="B1479" s="13" t="s">
        <v>404</v>
      </c>
      <c r="C1479" s="138">
        <v>46336</v>
      </c>
      <c r="D1479" s="138" t="s">
        <v>424</v>
      </c>
      <c r="E1479" s="28">
        <v>0.92398051000000003</v>
      </c>
      <c r="F1479" s="13"/>
      <c r="G1479" s="18">
        <v>3750000</v>
      </c>
      <c r="H1479" s="18">
        <v>3464926.92</v>
      </c>
      <c r="I1479" s="18">
        <v>3750000</v>
      </c>
      <c r="J1479" s="18">
        <v>3464926.92</v>
      </c>
      <c r="K1479" s="15">
        <v>66918815</v>
      </c>
      <c r="L1479" s="13" t="s">
        <v>102</v>
      </c>
      <c r="M1479" s="13" t="s">
        <v>103</v>
      </c>
      <c r="N1479" s="138" t="s">
        <v>322</v>
      </c>
      <c r="O1479" s="138" t="s">
        <v>322</v>
      </c>
      <c r="P1479" s="28">
        <v>39</v>
      </c>
      <c r="Q1479" s="13" t="s">
        <v>54</v>
      </c>
      <c r="R1479" s="13" t="s">
        <v>28</v>
      </c>
      <c r="S1479" s="13"/>
      <c r="T1479" s="13"/>
      <c r="U1479" s="13" t="s">
        <v>739</v>
      </c>
      <c r="V1479" s="13" t="s">
        <v>739</v>
      </c>
      <c r="W1479" s="59">
        <f>+J1479/$W$2</f>
        <v>5.6707250171661244E-5</v>
      </c>
    </row>
    <row r="1480" spans="1:29">
      <c r="A1480" s="13" t="s">
        <v>763</v>
      </c>
      <c r="B1480" s="13" t="s">
        <v>404</v>
      </c>
      <c r="C1480" s="138">
        <v>46336</v>
      </c>
      <c r="D1480" s="138" t="s">
        <v>424</v>
      </c>
      <c r="E1480" s="28">
        <v>0.92941543000000004</v>
      </c>
      <c r="F1480" s="13"/>
      <c r="G1480" s="18">
        <v>4213657.9800000004</v>
      </c>
      <c r="H1480" s="18">
        <v>3916238.76</v>
      </c>
      <c r="I1480" s="18">
        <v>4213657.9800000004</v>
      </c>
      <c r="J1480" s="18">
        <v>3916238.76</v>
      </c>
      <c r="K1480" s="15">
        <v>425</v>
      </c>
      <c r="L1480" s="13" t="s">
        <v>102</v>
      </c>
      <c r="M1480" s="13" t="s">
        <v>103</v>
      </c>
      <c r="N1480" s="138" t="s">
        <v>170</v>
      </c>
      <c r="O1480" s="138" t="s">
        <v>170</v>
      </c>
      <c r="P1480" s="28">
        <v>36</v>
      </c>
      <c r="Q1480" s="13" t="s">
        <v>54</v>
      </c>
      <c r="R1480" s="13" t="s">
        <v>28</v>
      </c>
      <c r="S1480" s="13"/>
      <c r="T1480" s="13"/>
      <c r="U1480" s="13" t="s">
        <v>2461</v>
      </c>
      <c r="V1480" s="13" t="s">
        <v>2461</v>
      </c>
      <c r="W1480" s="59">
        <f>+J1480/$W$2</f>
        <v>6.4093453115391072E-5</v>
      </c>
    </row>
    <row r="1481" spans="1:29">
      <c r="A1481" s="13" t="s">
        <v>763</v>
      </c>
      <c r="B1481" s="13" t="s">
        <v>404</v>
      </c>
      <c r="C1481" s="138">
        <v>46336</v>
      </c>
      <c r="D1481" s="138" t="s">
        <v>424</v>
      </c>
      <c r="E1481" s="28">
        <v>0.92941543999999998</v>
      </c>
      <c r="F1481" s="13"/>
      <c r="G1481" s="18">
        <v>1555000.5</v>
      </c>
      <c r="H1481" s="18">
        <v>1445241.47</v>
      </c>
      <c r="I1481" s="18">
        <v>1555000.5</v>
      </c>
      <c r="J1481" s="18">
        <v>1445241.47</v>
      </c>
      <c r="K1481" s="15">
        <v>504</v>
      </c>
      <c r="L1481" s="13" t="s">
        <v>102</v>
      </c>
      <c r="M1481" s="13" t="s">
        <v>103</v>
      </c>
      <c r="N1481" s="138" t="s">
        <v>170</v>
      </c>
      <c r="O1481" s="138" t="s">
        <v>170</v>
      </c>
      <c r="P1481" s="28">
        <v>36</v>
      </c>
      <c r="Q1481" s="13" t="s">
        <v>54</v>
      </c>
      <c r="R1481" s="13" t="s">
        <v>28</v>
      </c>
      <c r="S1481" s="13"/>
      <c r="T1481" s="13"/>
      <c r="U1481" s="13" t="s">
        <v>2462</v>
      </c>
      <c r="V1481" s="13" t="s">
        <v>2462</v>
      </c>
      <c r="W1481" s="59">
        <f>+J1481/$W$2</f>
        <v>2.3652928760110601E-5</v>
      </c>
      <c r="AC1481" s="56"/>
    </row>
    <row r="1482" spans="1:29">
      <c r="A1482" s="13" t="s">
        <v>405</v>
      </c>
      <c r="B1482" s="13" t="s">
        <v>404</v>
      </c>
      <c r="C1482" s="138">
        <v>46336</v>
      </c>
      <c r="D1482" s="138" t="s">
        <v>424</v>
      </c>
      <c r="E1482" s="28">
        <v>0.93676238999999994</v>
      </c>
      <c r="F1482" s="13"/>
      <c r="G1482" s="18">
        <v>3000000</v>
      </c>
      <c r="H1482" s="18">
        <v>2810287.18</v>
      </c>
      <c r="I1482" s="18">
        <v>3000000</v>
      </c>
      <c r="J1482" s="18">
        <v>2810287.18</v>
      </c>
      <c r="K1482" s="15">
        <v>1051</v>
      </c>
      <c r="L1482" s="13" t="s">
        <v>102</v>
      </c>
      <c r="M1482" s="13" t="s">
        <v>103</v>
      </c>
      <c r="N1482" s="138" t="s">
        <v>424</v>
      </c>
      <c r="O1482" s="138" t="s">
        <v>424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2618</v>
      </c>
      <c r="V1482" s="13" t="s">
        <v>2618</v>
      </c>
      <c r="W1482" s="59">
        <f>+J1482/$W$2</f>
        <v>4.5993367782334757E-5</v>
      </c>
    </row>
    <row r="1483" spans="1:29">
      <c r="A1483" s="13" t="s">
        <v>517</v>
      </c>
      <c r="B1483" s="13" t="s">
        <v>404</v>
      </c>
      <c r="C1483" s="138">
        <v>46336</v>
      </c>
      <c r="D1483" s="138" t="s">
        <v>424</v>
      </c>
      <c r="E1483" s="28">
        <v>0.93307446999999999</v>
      </c>
      <c r="F1483" s="13"/>
      <c r="G1483" s="18">
        <v>10000000</v>
      </c>
      <c r="H1483" s="18">
        <v>9330744.7200000007</v>
      </c>
      <c r="I1483" s="18">
        <v>10000000</v>
      </c>
      <c r="J1483" s="18">
        <v>9330744.7200000007</v>
      </c>
      <c r="K1483" s="15">
        <v>14284513</v>
      </c>
      <c r="L1483" s="13" t="s">
        <v>102</v>
      </c>
      <c r="M1483" s="13" t="s">
        <v>103</v>
      </c>
      <c r="N1483" s="138" t="s">
        <v>464</v>
      </c>
      <c r="O1483" s="138" t="s">
        <v>464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2543</v>
      </c>
      <c r="V1483" s="13" t="s">
        <v>2543</v>
      </c>
      <c r="W1483" s="59">
        <f>+J1483/$W$2</f>
        <v>1.5270765800882961E-4</v>
      </c>
    </row>
    <row r="1484" spans="1:29">
      <c r="A1484" s="13" t="s">
        <v>285</v>
      </c>
      <c r="B1484" s="13" t="s">
        <v>404</v>
      </c>
      <c r="C1484" s="138">
        <v>46336</v>
      </c>
      <c r="D1484" s="138" t="s">
        <v>424</v>
      </c>
      <c r="E1484" s="28">
        <v>0.94047946000000004</v>
      </c>
      <c r="F1484" s="13"/>
      <c r="G1484" s="18">
        <v>3000000</v>
      </c>
      <c r="H1484" s="18">
        <v>2821438.39</v>
      </c>
      <c r="I1484" s="18">
        <v>3000000</v>
      </c>
      <c r="J1484" s="18">
        <v>2821438.39</v>
      </c>
      <c r="K1484" s="15">
        <v>12759460</v>
      </c>
      <c r="L1484" s="13" t="s">
        <v>102</v>
      </c>
      <c r="M1484" s="13" t="s">
        <v>103</v>
      </c>
      <c r="N1484" s="138" t="s">
        <v>342</v>
      </c>
      <c r="O1484" s="138" t="s">
        <v>342</v>
      </c>
      <c r="P1484" s="28">
        <v>30</v>
      </c>
      <c r="Q1484" s="13" t="s">
        <v>54</v>
      </c>
      <c r="R1484" s="13" t="s">
        <v>28</v>
      </c>
      <c r="S1484" s="13"/>
      <c r="T1484" s="13"/>
      <c r="U1484" s="13" t="s">
        <v>2395</v>
      </c>
      <c r="V1484" s="13" t="s">
        <v>2395</v>
      </c>
      <c r="W1484" s="59">
        <f>+J1484/$W$2</f>
        <v>4.617586930972245E-5</v>
      </c>
    </row>
    <row r="1485" spans="1:29">
      <c r="A1485" s="13" t="s">
        <v>375</v>
      </c>
      <c r="B1485" s="13" t="s">
        <v>404</v>
      </c>
      <c r="C1485" s="138">
        <v>46336</v>
      </c>
      <c r="D1485" s="138" t="s">
        <v>424</v>
      </c>
      <c r="E1485" s="28">
        <v>0.93491477000000001</v>
      </c>
      <c r="F1485" s="13"/>
      <c r="G1485" s="18">
        <v>2502550.36</v>
      </c>
      <c r="H1485" s="18">
        <v>2339671.2999999998</v>
      </c>
      <c r="I1485" s="18">
        <v>2502550.36</v>
      </c>
      <c r="J1485" s="18">
        <v>2339671.2999999998</v>
      </c>
      <c r="K1485" s="15">
        <v>3145</v>
      </c>
      <c r="L1485" s="13" t="s">
        <v>102</v>
      </c>
      <c r="M1485" s="13" t="s">
        <v>103</v>
      </c>
      <c r="N1485" s="138" t="s">
        <v>386</v>
      </c>
      <c r="O1485" s="138" t="s">
        <v>386</v>
      </c>
      <c r="P1485" s="28">
        <v>33</v>
      </c>
      <c r="Q1485" s="13" t="s">
        <v>54</v>
      </c>
      <c r="R1485" s="13" t="s">
        <v>28</v>
      </c>
      <c r="S1485" s="13"/>
      <c r="T1485" s="13"/>
      <c r="U1485" s="13" t="s">
        <v>1834</v>
      </c>
      <c r="V1485" s="13" t="s">
        <v>1834</v>
      </c>
      <c r="W1485" s="59">
        <f>+J1485/$W$2</f>
        <v>3.8291233492611689E-5</v>
      </c>
    </row>
    <row r="1486" spans="1:29">
      <c r="A1486" s="13" t="s">
        <v>285</v>
      </c>
      <c r="B1486" s="13" t="s">
        <v>404</v>
      </c>
      <c r="C1486" s="138">
        <v>46336</v>
      </c>
      <c r="D1486" s="138" t="s">
        <v>424</v>
      </c>
      <c r="E1486" s="28">
        <v>0.94047946999999998</v>
      </c>
      <c r="F1486" s="13"/>
      <c r="G1486" s="18">
        <v>10000000</v>
      </c>
      <c r="H1486" s="18">
        <v>9404794.6500000004</v>
      </c>
      <c r="I1486" s="18">
        <v>10000000</v>
      </c>
      <c r="J1486" s="18">
        <v>9404794.6500000004</v>
      </c>
      <c r="K1486" s="15">
        <v>68856195</v>
      </c>
      <c r="L1486" s="13" t="s">
        <v>102</v>
      </c>
      <c r="M1486" s="13" t="s">
        <v>103</v>
      </c>
      <c r="N1486" s="138" t="s">
        <v>342</v>
      </c>
      <c r="O1486" s="138" t="s">
        <v>342</v>
      </c>
      <c r="P1486" s="28">
        <v>30</v>
      </c>
      <c r="Q1486" s="13" t="s">
        <v>54</v>
      </c>
      <c r="R1486" s="13" t="s">
        <v>28</v>
      </c>
      <c r="S1486" s="13"/>
      <c r="T1486" s="13"/>
      <c r="U1486" s="13" t="s">
        <v>2402</v>
      </c>
      <c r="V1486" s="13" t="s">
        <v>2402</v>
      </c>
      <c r="W1486" s="59">
        <f>+J1486/$W$2</f>
        <v>1.539195646385094E-4</v>
      </c>
      <c r="AC1486" s="56"/>
    </row>
    <row r="1487" spans="1:29">
      <c r="A1487" s="13" t="s">
        <v>405</v>
      </c>
      <c r="B1487" s="13" t="s">
        <v>404</v>
      </c>
      <c r="C1487" s="138">
        <v>46336</v>
      </c>
      <c r="D1487" s="138" t="s">
        <v>424</v>
      </c>
      <c r="E1487" s="28">
        <v>0.94047941000000002</v>
      </c>
      <c r="F1487" s="13"/>
      <c r="G1487" s="18">
        <v>2500000</v>
      </c>
      <c r="H1487" s="18">
        <v>2351198.5299999998</v>
      </c>
      <c r="I1487" s="18">
        <v>2500000</v>
      </c>
      <c r="J1487" s="18">
        <v>2351198.5299999998</v>
      </c>
      <c r="K1487" s="15">
        <v>898</v>
      </c>
      <c r="L1487" s="13" t="s">
        <v>102</v>
      </c>
      <c r="M1487" s="13" t="s">
        <v>103</v>
      </c>
      <c r="N1487" s="138" t="s">
        <v>484</v>
      </c>
      <c r="O1487" s="138" t="s">
        <v>484</v>
      </c>
      <c r="P1487" s="28">
        <v>30</v>
      </c>
      <c r="Q1487" s="13" t="s">
        <v>54</v>
      </c>
      <c r="R1487" s="13" t="s">
        <v>28</v>
      </c>
      <c r="S1487" s="13"/>
      <c r="T1487" s="13"/>
      <c r="U1487" s="13" t="s">
        <v>2080</v>
      </c>
      <c r="V1487" s="13" t="s">
        <v>2080</v>
      </c>
      <c r="W1487" s="59">
        <f>+J1487/$W$2</f>
        <v>3.8479888991122546E-5</v>
      </c>
    </row>
    <row r="1488" spans="1:29">
      <c r="A1488" s="13" t="s">
        <v>405</v>
      </c>
      <c r="B1488" s="13" t="s">
        <v>404</v>
      </c>
      <c r="C1488" s="138">
        <v>46336</v>
      </c>
      <c r="D1488" s="138" t="s">
        <v>424</v>
      </c>
      <c r="E1488" s="28">
        <v>0.93491464999999996</v>
      </c>
      <c r="F1488" s="13"/>
      <c r="G1488" s="18">
        <v>2500000</v>
      </c>
      <c r="H1488" s="18">
        <v>2337286.63</v>
      </c>
      <c r="I1488" s="18">
        <v>2500000</v>
      </c>
      <c r="J1488" s="18">
        <v>2337286.63</v>
      </c>
      <c r="K1488" s="15">
        <v>1013</v>
      </c>
      <c r="L1488" s="13" t="s">
        <v>102</v>
      </c>
      <c r="M1488" s="13" t="s">
        <v>103</v>
      </c>
      <c r="N1488" s="138" t="s">
        <v>170</v>
      </c>
      <c r="O1488" s="138" t="s">
        <v>170</v>
      </c>
      <c r="P1488" s="28">
        <v>33</v>
      </c>
      <c r="Q1488" s="13" t="s">
        <v>54</v>
      </c>
      <c r="R1488" s="13" t="s">
        <v>28</v>
      </c>
      <c r="S1488" s="13"/>
      <c r="T1488" s="13"/>
      <c r="U1488" s="13" t="s">
        <v>2474</v>
      </c>
      <c r="V1488" s="13" t="s">
        <v>2474</v>
      </c>
      <c r="W1488" s="59">
        <f>+J1488/$W$2</f>
        <v>3.8252205807067649E-5</v>
      </c>
    </row>
    <row r="1489" spans="1:29">
      <c r="A1489" s="13" t="s">
        <v>375</v>
      </c>
      <c r="B1489" s="13" t="s">
        <v>404</v>
      </c>
      <c r="C1489" s="138">
        <v>46336</v>
      </c>
      <c r="D1489" s="138" t="s">
        <v>424</v>
      </c>
      <c r="E1489" s="28">
        <v>0.93307446999999999</v>
      </c>
      <c r="F1489" s="13"/>
      <c r="G1489" s="18">
        <v>1020845.65</v>
      </c>
      <c r="H1489" s="18">
        <v>952525.01</v>
      </c>
      <c r="I1489" s="18">
        <v>1020845.65</v>
      </c>
      <c r="J1489" s="18">
        <v>952525.01</v>
      </c>
      <c r="K1489" s="15">
        <v>2913</v>
      </c>
      <c r="L1489" s="13" t="s">
        <v>102</v>
      </c>
      <c r="M1489" s="13" t="s">
        <v>103</v>
      </c>
      <c r="N1489" s="138" t="s">
        <v>346</v>
      </c>
      <c r="O1489" s="138" t="s">
        <v>346</v>
      </c>
      <c r="P1489" s="28">
        <v>34</v>
      </c>
      <c r="Q1489" s="13" t="s">
        <v>54</v>
      </c>
      <c r="R1489" s="13" t="s">
        <v>28</v>
      </c>
      <c r="S1489" s="13"/>
      <c r="T1489" s="13"/>
      <c r="U1489" s="13" t="s">
        <v>1508</v>
      </c>
      <c r="V1489" s="13" t="s">
        <v>1508</v>
      </c>
      <c r="W1489" s="59">
        <f>+J1489/$W$2</f>
        <v>1.5589094743976339E-5</v>
      </c>
    </row>
    <row r="1490" spans="1:29">
      <c r="A1490" s="13" t="s">
        <v>375</v>
      </c>
      <c r="B1490" s="13" t="s">
        <v>404</v>
      </c>
      <c r="C1490" s="138">
        <v>46336</v>
      </c>
      <c r="D1490" s="138" t="s">
        <v>424</v>
      </c>
      <c r="E1490" s="28">
        <v>0.93307446999999999</v>
      </c>
      <c r="F1490" s="13"/>
      <c r="G1490" s="18">
        <v>990902.64</v>
      </c>
      <c r="H1490" s="18">
        <v>924585.96</v>
      </c>
      <c r="I1490" s="18">
        <v>990902.64</v>
      </c>
      <c r="J1490" s="18">
        <v>924585.96</v>
      </c>
      <c r="K1490" s="15">
        <v>2963</v>
      </c>
      <c r="L1490" s="13" t="s">
        <v>102</v>
      </c>
      <c r="M1490" s="13" t="s">
        <v>103</v>
      </c>
      <c r="N1490" s="138" t="s">
        <v>346</v>
      </c>
      <c r="O1490" s="138" t="s">
        <v>346</v>
      </c>
      <c r="P1490" s="28">
        <v>34</v>
      </c>
      <c r="Q1490" s="13" t="s">
        <v>54</v>
      </c>
      <c r="R1490" s="13" t="s">
        <v>28</v>
      </c>
      <c r="S1490" s="13"/>
      <c r="T1490" s="13"/>
      <c r="U1490" s="13" t="s">
        <v>1513</v>
      </c>
      <c r="V1490" s="13" t="s">
        <v>1513</v>
      </c>
      <c r="W1490" s="59">
        <f>+J1490/$W$2</f>
        <v>1.5131842185844881E-5</v>
      </c>
    </row>
    <row r="1491" spans="1:29">
      <c r="A1491" s="13" t="s">
        <v>375</v>
      </c>
      <c r="B1491" s="13" t="s">
        <v>404</v>
      </c>
      <c r="C1491" s="138">
        <v>46336</v>
      </c>
      <c r="D1491" s="138" t="s">
        <v>424</v>
      </c>
      <c r="E1491" s="28">
        <v>0.92941543999999998</v>
      </c>
      <c r="F1491" s="13"/>
      <c r="G1491" s="18">
        <v>3789564.21</v>
      </c>
      <c r="H1491" s="18">
        <v>3522079.47</v>
      </c>
      <c r="I1491" s="18">
        <v>3789564.21</v>
      </c>
      <c r="J1491" s="18">
        <v>3522079.47</v>
      </c>
      <c r="K1491" s="15">
        <v>3272</v>
      </c>
      <c r="L1491" s="13" t="s">
        <v>102</v>
      </c>
      <c r="M1491" s="13" t="s">
        <v>103</v>
      </c>
      <c r="N1491" s="138" t="s">
        <v>170</v>
      </c>
      <c r="O1491" s="138" t="s">
        <v>170</v>
      </c>
      <c r="P1491" s="28">
        <v>36</v>
      </c>
      <c r="Q1491" s="13" t="s">
        <v>54</v>
      </c>
      <c r="R1491" s="13" t="s">
        <v>28</v>
      </c>
      <c r="S1491" s="13"/>
      <c r="T1491" s="13"/>
      <c r="U1491" s="13" t="s">
        <v>2469</v>
      </c>
      <c r="V1491" s="13" t="s">
        <v>2469</v>
      </c>
      <c r="W1491" s="59">
        <f>+J1491/$W$2</f>
        <v>5.7642613030857822E-5</v>
      </c>
    </row>
    <row r="1492" spans="1:29">
      <c r="A1492" s="13" t="s">
        <v>375</v>
      </c>
      <c r="B1492" s="13" t="s">
        <v>404</v>
      </c>
      <c r="C1492" s="138">
        <v>46336</v>
      </c>
      <c r="D1492" s="138" t="s">
        <v>424</v>
      </c>
      <c r="E1492" s="28">
        <v>0.92941543000000004</v>
      </c>
      <c r="F1492" s="13"/>
      <c r="G1492" s="18">
        <v>2510000.36</v>
      </c>
      <c r="H1492" s="18">
        <v>2332833.0699999998</v>
      </c>
      <c r="I1492" s="18">
        <v>2510000.36</v>
      </c>
      <c r="J1492" s="18">
        <v>2332833.0699999998</v>
      </c>
      <c r="K1492" s="15">
        <v>3160</v>
      </c>
      <c r="L1492" s="13" t="s">
        <v>102</v>
      </c>
      <c r="M1492" s="13" t="s">
        <v>103</v>
      </c>
      <c r="N1492" s="138" t="s">
        <v>170</v>
      </c>
      <c r="O1492" s="138" t="s">
        <v>170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2470</v>
      </c>
      <c r="V1492" s="13" t="s">
        <v>2470</v>
      </c>
      <c r="W1492" s="59">
        <f>+J1492/$W$2</f>
        <v>3.8179318514808538E-5</v>
      </c>
    </row>
    <row r="1493" spans="1:29">
      <c r="A1493" s="13" t="s">
        <v>1325</v>
      </c>
      <c r="B1493" s="13" t="s">
        <v>404</v>
      </c>
      <c r="C1493" s="138">
        <v>46336</v>
      </c>
      <c r="D1493" s="138" t="s">
        <v>424</v>
      </c>
      <c r="E1493" s="28">
        <v>0.92759689000000001</v>
      </c>
      <c r="F1493" s="13"/>
      <c r="G1493" s="18">
        <v>25000000</v>
      </c>
      <c r="H1493" s="18">
        <v>23189922.140000001</v>
      </c>
      <c r="I1493" s="18">
        <v>25000000</v>
      </c>
      <c r="J1493" s="18">
        <v>23189922.140000001</v>
      </c>
      <c r="K1493" s="15">
        <v>2596</v>
      </c>
      <c r="L1493" s="13" t="s">
        <v>102</v>
      </c>
      <c r="M1493" s="13" t="s">
        <v>103</v>
      </c>
      <c r="N1493" s="138" t="s">
        <v>371</v>
      </c>
      <c r="O1493" s="138" t="s">
        <v>371</v>
      </c>
      <c r="P1493" s="28">
        <v>37</v>
      </c>
      <c r="Q1493" s="13" t="s">
        <v>54</v>
      </c>
      <c r="R1493" s="13" t="s">
        <v>28</v>
      </c>
      <c r="S1493" s="13"/>
      <c r="T1493" s="13"/>
      <c r="U1493" s="13" t="s">
        <v>2110</v>
      </c>
      <c r="V1493" s="13" t="s">
        <v>2110</v>
      </c>
      <c r="W1493" s="59">
        <f>+J1493/$W$2</f>
        <v>3.7952798042110682E-4</v>
      </c>
    </row>
    <row r="1494" spans="1:29">
      <c r="A1494" s="13" t="s">
        <v>169</v>
      </c>
      <c r="B1494" s="13" t="s">
        <v>404</v>
      </c>
      <c r="C1494" s="138">
        <v>46336</v>
      </c>
      <c r="D1494" s="138" t="s">
        <v>424</v>
      </c>
      <c r="E1494" s="28">
        <v>0.93491471999999998</v>
      </c>
      <c r="F1494" s="13"/>
      <c r="G1494" s="18">
        <v>933333333</v>
      </c>
      <c r="H1494" s="18">
        <v>872587075.88999999</v>
      </c>
      <c r="I1494" s="18">
        <v>933333333</v>
      </c>
      <c r="J1494" s="18">
        <v>872587075.88999999</v>
      </c>
      <c r="K1494" s="15">
        <v>154563</v>
      </c>
      <c r="L1494" s="13" t="s">
        <v>102</v>
      </c>
      <c r="M1494" s="13" t="s">
        <v>103</v>
      </c>
      <c r="N1494" s="138" t="s">
        <v>411</v>
      </c>
      <c r="O1494" s="138" t="s">
        <v>411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1088</v>
      </c>
      <c r="V1494" s="13" t="s">
        <v>1088</v>
      </c>
      <c r="W1494" s="59">
        <f>+J1494/$W$2</f>
        <v>1.4280824603669444E-2</v>
      </c>
    </row>
    <row r="1495" spans="1:29">
      <c r="A1495" s="13" t="s">
        <v>2685</v>
      </c>
      <c r="B1495" s="13" t="s">
        <v>404</v>
      </c>
      <c r="C1495" s="138">
        <v>46336</v>
      </c>
      <c r="D1495" s="138" t="s">
        <v>424</v>
      </c>
      <c r="E1495" s="28">
        <v>0.93676238999999994</v>
      </c>
      <c r="F1495" s="13"/>
      <c r="G1495" s="18">
        <v>5082311.97</v>
      </c>
      <c r="H1495" s="18">
        <v>4760918.72</v>
      </c>
      <c r="I1495" s="18">
        <v>5082311.97</v>
      </c>
      <c r="J1495" s="18">
        <v>4760918.72</v>
      </c>
      <c r="K1495" s="15">
        <v>69012952</v>
      </c>
      <c r="L1495" s="13" t="s">
        <v>102</v>
      </c>
      <c r="M1495" s="13" t="s">
        <v>103</v>
      </c>
      <c r="N1495" s="138" t="s">
        <v>424</v>
      </c>
      <c r="O1495" s="138" t="s">
        <v>424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2633</v>
      </c>
      <c r="V1495" s="13" t="s">
        <v>2633</v>
      </c>
      <c r="W1495" s="59">
        <f>+J1495/$W$2</f>
        <v>7.7917547796934542E-5</v>
      </c>
    </row>
    <row r="1496" spans="1:29">
      <c r="A1496" s="13" t="s">
        <v>356</v>
      </c>
      <c r="B1496" s="13" t="s">
        <v>404</v>
      </c>
      <c r="C1496" s="138">
        <v>46336</v>
      </c>
      <c r="D1496" s="138" t="s">
        <v>424</v>
      </c>
      <c r="E1496" s="28">
        <v>0.93676225000000002</v>
      </c>
      <c r="F1496" s="13"/>
      <c r="G1496" s="18">
        <v>40000000</v>
      </c>
      <c r="H1496" s="18">
        <v>37470490.170000002</v>
      </c>
      <c r="I1496" s="18">
        <v>40000000</v>
      </c>
      <c r="J1496" s="18">
        <v>37470490.170000002</v>
      </c>
      <c r="K1496" s="15">
        <v>13953438</v>
      </c>
      <c r="L1496" s="13" t="s">
        <v>102</v>
      </c>
      <c r="M1496" s="13" t="s">
        <v>103</v>
      </c>
      <c r="N1496" s="138" t="s">
        <v>387</v>
      </c>
      <c r="O1496" s="138" t="s">
        <v>387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1713</v>
      </c>
      <c r="V1496" s="13" t="s">
        <v>1713</v>
      </c>
      <c r="W1496" s="59">
        <f>+J1496/$W$2</f>
        <v>6.1324481271453877E-4</v>
      </c>
    </row>
    <row r="1497" spans="1:29">
      <c r="A1497" s="13" t="s">
        <v>2054</v>
      </c>
      <c r="B1497" s="13" t="s">
        <v>404</v>
      </c>
      <c r="C1497" s="138">
        <v>46336</v>
      </c>
      <c r="D1497" s="138" t="s">
        <v>424</v>
      </c>
      <c r="E1497" s="28">
        <v>0.95564755000000001</v>
      </c>
      <c r="F1497" s="13"/>
      <c r="G1497" s="18">
        <v>5300000</v>
      </c>
      <c r="H1497" s="18">
        <v>5064932.0199999996</v>
      </c>
      <c r="I1497" s="18">
        <v>5300000</v>
      </c>
      <c r="J1497" s="18">
        <v>5064932.0199999996</v>
      </c>
      <c r="K1497" s="15">
        <v>3</v>
      </c>
      <c r="L1497" s="13" t="s">
        <v>102</v>
      </c>
      <c r="M1497" s="13" t="s">
        <v>103</v>
      </c>
      <c r="N1497" s="138" t="s">
        <v>416</v>
      </c>
      <c r="O1497" s="138" t="s">
        <v>416</v>
      </c>
      <c r="P1497" s="28">
        <v>22</v>
      </c>
      <c r="Q1497" s="13" t="s">
        <v>54</v>
      </c>
      <c r="R1497" s="13" t="s">
        <v>28</v>
      </c>
      <c r="S1497" s="13"/>
      <c r="T1497" s="13"/>
      <c r="U1497" s="13" t="s">
        <v>2056</v>
      </c>
      <c r="V1497" s="13" t="s">
        <v>2056</v>
      </c>
      <c r="W1497" s="59">
        <f>+J1497/$W$2</f>
        <v>8.2893051943674901E-5</v>
      </c>
    </row>
    <row r="1498" spans="1:29">
      <c r="A1498" s="13" t="s">
        <v>2277</v>
      </c>
      <c r="B1498" s="13" t="s">
        <v>404</v>
      </c>
      <c r="C1498" s="138">
        <v>46336</v>
      </c>
      <c r="D1498" s="138" t="s">
        <v>424</v>
      </c>
      <c r="E1498" s="28">
        <v>0.92218294000000001</v>
      </c>
      <c r="F1498" s="13"/>
      <c r="G1498" s="18">
        <v>40000000</v>
      </c>
      <c r="H1498" s="18">
        <v>36887317.619999997</v>
      </c>
      <c r="I1498" s="18">
        <v>40000000</v>
      </c>
      <c r="J1498" s="18">
        <v>36887317.619999997</v>
      </c>
      <c r="K1498" s="15">
        <v>160531</v>
      </c>
      <c r="L1498" s="13" t="s">
        <v>102</v>
      </c>
      <c r="M1498" s="13" t="s">
        <v>103</v>
      </c>
      <c r="N1498" s="138" t="s">
        <v>422</v>
      </c>
      <c r="O1498" s="138" t="s">
        <v>422</v>
      </c>
      <c r="P1498" s="28">
        <v>40</v>
      </c>
      <c r="Q1498" s="13" t="s">
        <v>54</v>
      </c>
      <c r="R1498" s="13" t="s">
        <v>28</v>
      </c>
      <c r="S1498" s="13"/>
      <c r="T1498" s="13"/>
      <c r="U1498" s="13" t="s">
        <v>2234</v>
      </c>
      <c r="V1498" s="13" t="s">
        <v>2234</v>
      </c>
      <c r="W1498" s="59">
        <f>+J1498/$W$2</f>
        <v>6.0370056764108245E-4</v>
      </c>
    </row>
    <row r="1499" spans="1:29">
      <c r="A1499" s="13" t="s">
        <v>626</v>
      </c>
      <c r="B1499" s="13" t="s">
        <v>404</v>
      </c>
      <c r="C1499" s="138">
        <v>46337</v>
      </c>
      <c r="D1499" s="138" t="s">
        <v>424</v>
      </c>
      <c r="E1499" s="28">
        <v>0.93412508000000005</v>
      </c>
      <c r="F1499" s="13"/>
      <c r="G1499" s="18">
        <v>5448062.4299999997</v>
      </c>
      <c r="H1499" s="18">
        <v>5089171.75</v>
      </c>
      <c r="I1499" s="18">
        <v>5448062.4299999997</v>
      </c>
      <c r="J1499" s="18">
        <v>5089171.75</v>
      </c>
      <c r="K1499" s="15">
        <v>90000595</v>
      </c>
      <c r="L1499" s="13" t="s">
        <v>102</v>
      </c>
      <c r="M1499" s="13" t="s">
        <v>103</v>
      </c>
      <c r="N1499" s="138" t="s">
        <v>164</v>
      </c>
      <c r="O1499" s="138" t="s">
        <v>164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881</v>
      </c>
      <c r="V1499" s="13" t="s">
        <v>881</v>
      </c>
      <c r="W1499" s="59">
        <f>+J1499/$W$2</f>
        <v>8.3289761157156247E-5</v>
      </c>
    </row>
    <row r="1500" spans="1:29">
      <c r="A1500" s="13" t="s">
        <v>763</v>
      </c>
      <c r="B1500" s="13" t="s">
        <v>404</v>
      </c>
      <c r="C1500" s="138">
        <v>46337</v>
      </c>
      <c r="D1500" s="138" t="s">
        <v>424</v>
      </c>
      <c r="E1500" s="28">
        <v>0.92856444000000005</v>
      </c>
      <c r="F1500" s="13"/>
      <c r="G1500" s="18">
        <v>3256800.5</v>
      </c>
      <c r="H1500" s="18">
        <v>3024149.14</v>
      </c>
      <c r="I1500" s="18">
        <v>3256800.5</v>
      </c>
      <c r="J1500" s="18">
        <v>3024149.14</v>
      </c>
      <c r="K1500" s="15">
        <v>505</v>
      </c>
      <c r="L1500" s="13" t="s">
        <v>102</v>
      </c>
      <c r="M1500" s="13" t="s">
        <v>103</v>
      </c>
      <c r="N1500" s="138" t="s">
        <v>170</v>
      </c>
      <c r="O1500" s="138" t="s">
        <v>170</v>
      </c>
      <c r="P1500" s="28">
        <v>36</v>
      </c>
      <c r="Q1500" s="13" t="s">
        <v>54</v>
      </c>
      <c r="R1500" s="13" t="s">
        <v>28</v>
      </c>
      <c r="S1500" s="13"/>
      <c r="T1500" s="13"/>
      <c r="U1500" s="13" t="s">
        <v>2463</v>
      </c>
      <c r="V1500" s="13" t="s">
        <v>2463</v>
      </c>
      <c r="W1500" s="59">
        <f>+J1500/$W$2</f>
        <v>4.9493448432786633E-5</v>
      </c>
      <c r="AC1500"/>
    </row>
    <row r="1501" spans="1:29">
      <c r="A1501" s="13" t="s">
        <v>426</v>
      </c>
      <c r="B1501" s="13" t="s">
        <v>404</v>
      </c>
      <c r="C1501" s="138">
        <v>46337</v>
      </c>
      <c r="D1501" s="138" t="s">
        <v>424</v>
      </c>
      <c r="E1501" s="28">
        <v>0.92856421</v>
      </c>
      <c r="F1501" s="13"/>
      <c r="G1501" s="18">
        <v>8560000</v>
      </c>
      <c r="H1501" s="18">
        <v>7948509.5999999996</v>
      </c>
      <c r="I1501" s="18">
        <v>8560000</v>
      </c>
      <c r="J1501" s="18">
        <v>7948509.5999999996</v>
      </c>
      <c r="K1501" s="15">
        <v>13054211</v>
      </c>
      <c r="L1501" s="13" t="s">
        <v>102</v>
      </c>
      <c r="M1501" s="13" t="s">
        <v>103</v>
      </c>
      <c r="N1501" s="138" t="s">
        <v>289</v>
      </c>
      <c r="O1501" s="138" t="s">
        <v>289</v>
      </c>
      <c r="P1501" s="28">
        <v>36</v>
      </c>
      <c r="Q1501" s="13" t="s">
        <v>54</v>
      </c>
      <c r="R1501" s="13" t="s">
        <v>28</v>
      </c>
      <c r="S1501" s="13"/>
      <c r="T1501" s="13"/>
      <c r="U1501" s="13" t="s">
        <v>574</v>
      </c>
      <c r="V1501" s="13" t="s">
        <v>574</v>
      </c>
      <c r="W1501" s="59">
        <f>+J1501/$W$2</f>
        <v>1.3008589583154932E-4</v>
      </c>
    </row>
    <row r="1502" spans="1:29">
      <c r="A1502" s="13" t="s">
        <v>284</v>
      </c>
      <c r="B1502" s="13" t="s">
        <v>404</v>
      </c>
      <c r="C1502" s="138">
        <v>46337</v>
      </c>
      <c r="D1502" s="138" t="s">
        <v>424</v>
      </c>
      <c r="E1502" s="28">
        <v>0.94164389999999998</v>
      </c>
      <c r="F1502" s="13"/>
      <c r="G1502" s="18">
        <v>5109127.71</v>
      </c>
      <c r="H1502" s="18">
        <v>4810978.92</v>
      </c>
      <c r="I1502" s="18">
        <v>5109127.71</v>
      </c>
      <c r="J1502" s="18">
        <v>4810978.92</v>
      </c>
      <c r="K1502" s="15">
        <v>90000654</v>
      </c>
      <c r="L1502" s="13" t="s">
        <v>102</v>
      </c>
      <c r="M1502" s="13" t="s">
        <v>103</v>
      </c>
      <c r="N1502" s="138" t="s">
        <v>374</v>
      </c>
      <c r="O1502" s="138" t="s">
        <v>374</v>
      </c>
      <c r="P1502" s="28">
        <v>29</v>
      </c>
      <c r="Q1502" s="13" t="s">
        <v>54</v>
      </c>
      <c r="R1502" s="13" t="s">
        <v>28</v>
      </c>
      <c r="S1502" s="13"/>
      <c r="T1502" s="13"/>
      <c r="U1502" s="13" t="s">
        <v>1223</v>
      </c>
      <c r="V1502" s="13" t="s">
        <v>1223</v>
      </c>
      <c r="W1502" s="59">
        <f>+J1502/$W$2</f>
        <v>7.8736836731618169E-5</v>
      </c>
    </row>
    <row r="1503" spans="1:29">
      <c r="A1503" s="13" t="s">
        <v>517</v>
      </c>
      <c r="B1503" s="13" t="s">
        <v>404</v>
      </c>
      <c r="C1503" s="138">
        <v>46337</v>
      </c>
      <c r="D1503" s="138" t="s">
        <v>424</v>
      </c>
      <c r="E1503" s="28">
        <v>0.93226410000000004</v>
      </c>
      <c r="F1503" s="13"/>
      <c r="G1503" s="18">
        <v>10000000</v>
      </c>
      <c r="H1503" s="18">
        <v>9322641.0099999998</v>
      </c>
      <c r="I1503" s="18">
        <v>10000000</v>
      </c>
      <c r="J1503" s="18">
        <v>9322641.0099999998</v>
      </c>
      <c r="K1503" s="15">
        <v>14284514</v>
      </c>
      <c r="L1503" s="13" t="s">
        <v>102</v>
      </c>
      <c r="M1503" s="13" t="s">
        <v>103</v>
      </c>
      <c r="N1503" s="138" t="s">
        <v>464</v>
      </c>
      <c r="O1503" s="138" t="s">
        <v>464</v>
      </c>
      <c r="P1503" s="28">
        <v>34</v>
      </c>
      <c r="Q1503" s="13" t="s">
        <v>54</v>
      </c>
      <c r="R1503" s="13" t="s">
        <v>28</v>
      </c>
      <c r="S1503" s="13"/>
      <c r="T1503" s="13"/>
      <c r="U1503" s="13" t="s">
        <v>2540</v>
      </c>
      <c r="V1503" s="13" t="s">
        <v>2540</v>
      </c>
      <c r="W1503" s="59">
        <f>+J1503/$W$2</f>
        <v>1.5257503209177602E-4</v>
      </c>
    </row>
    <row r="1504" spans="1:29">
      <c r="A1504" s="13" t="s">
        <v>565</v>
      </c>
      <c r="B1504" s="13" t="s">
        <v>404</v>
      </c>
      <c r="C1504" s="138">
        <v>46337</v>
      </c>
      <c r="D1504" s="138" t="s">
        <v>424</v>
      </c>
      <c r="E1504" s="28">
        <v>0.94164393999999996</v>
      </c>
      <c r="F1504" s="13"/>
      <c r="G1504" s="18">
        <v>35000000</v>
      </c>
      <c r="H1504" s="18">
        <v>32957537.920000002</v>
      </c>
      <c r="I1504" s="18">
        <v>35000000</v>
      </c>
      <c r="J1504" s="18">
        <v>32957537.920000002</v>
      </c>
      <c r="K1504" s="15">
        <v>65</v>
      </c>
      <c r="L1504" s="13" t="s">
        <v>102</v>
      </c>
      <c r="M1504" s="13" t="s">
        <v>103</v>
      </c>
      <c r="N1504" s="138" t="s">
        <v>282</v>
      </c>
      <c r="O1504" s="138" t="s">
        <v>282</v>
      </c>
      <c r="P1504" s="28">
        <v>29</v>
      </c>
      <c r="Q1504" s="13" t="s">
        <v>54</v>
      </c>
      <c r="R1504" s="13" t="s">
        <v>28</v>
      </c>
      <c r="S1504" s="13"/>
      <c r="T1504" s="13"/>
      <c r="U1504" s="13" t="s">
        <v>825</v>
      </c>
      <c r="V1504" s="13" t="s">
        <v>825</v>
      </c>
      <c r="W1504" s="59">
        <f>+J1504/$W$2</f>
        <v>5.3938550250042557E-4</v>
      </c>
    </row>
    <row r="1505" spans="1:23">
      <c r="A1505" s="13" t="s">
        <v>285</v>
      </c>
      <c r="B1505" s="13" t="s">
        <v>404</v>
      </c>
      <c r="C1505" s="138">
        <v>46337</v>
      </c>
      <c r="D1505" s="138" t="s">
        <v>424</v>
      </c>
      <c r="E1505" s="28">
        <v>0.94544892000000003</v>
      </c>
      <c r="F1505" s="13"/>
      <c r="G1505" s="18">
        <v>10000000</v>
      </c>
      <c r="H1505" s="18">
        <v>9454489.25</v>
      </c>
      <c r="I1505" s="18">
        <v>10000000</v>
      </c>
      <c r="J1505" s="18">
        <v>9454489.25</v>
      </c>
      <c r="K1505" s="15">
        <v>2014</v>
      </c>
      <c r="L1505" s="13" t="s">
        <v>102</v>
      </c>
      <c r="M1505" s="13" t="s">
        <v>103</v>
      </c>
      <c r="N1505" s="138" t="s">
        <v>420</v>
      </c>
      <c r="O1505" s="138" t="s">
        <v>420</v>
      </c>
      <c r="P1505" s="28">
        <v>27</v>
      </c>
      <c r="Q1505" s="13" t="s">
        <v>54</v>
      </c>
      <c r="R1505" s="13" t="s">
        <v>28</v>
      </c>
      <c r="S1505" s="13"/>
      <c r="T1505" s="13"/>
      <c r="U1505" s="13" t="s">
        <v>1305</v>
      </c>
      <c r="V1505" s="13" t="s">
        <v>1305</v>
      </c>
      <c r="W1505" s="59">
        <f>+J1505/$W$2</f>
        <v>1.5473287013656031E-4</v>
      </c>
    </row>
    <row r="1506" spans="1:23">
      <c r="A1506" s="13" t="s">
        <v>375</v>
      </c>
      <c r="B1506" s="13" t="s">
        <v>404</v>
      </c>
      <c r="C1506" s="138">
        <v>46337</v>
      </c>
      <c r="D1506" s="138" t="s">
        <v>424</v>
      </c>
      <c r="E1506" s="28">
        <v>0.93412519999999999</v>
      </c>
      <c r="F1506" s="13"/>
      <c r="G1506" s="18">
        <v>990902.64</v>
      </c>
      <c r="H1506" s="18">
        <v>925627.13</v>
      </c>
      <c r="I1506" s="18">
        <v>990902.64</v>
      </c>
      <c r="J1506" s="18">
        <v>925627.13</v>
      </c>
      <c r="K1506" s="15">
        <v>2965</v>
      </c>
      <c r="L1506" s="13" t="s">
        <v>102</v>
      </c>
      <c r="M1506" s="13" t="s">
        <v>103</v>
      </c>
      <c r="N1506" s="138" t="s">
        <v>388</v>
      </c>
      <c r="O1506" s="138" t="s">
        <v>388</v>
      </c>
      <c r="P1506" s="28">
        <v>33</v>
      </c>
      <c r="Q1506" s="13" t="s">
        <v>54</v>
      </c>
      <c r="R1506" s="13" t="s">
        <v>28</v>
      </c>
      <c r="S1506" s="13"/>
      <c r="T1506" s="13"/>
      <c r="U1506" s="13" t="s">
        <v>1865</v>
      </c>
      <c r="V1506" s="13" t="s">
        <v>1865</v>
      </c>
      <c r="W1506" s="59">
        <f>+J1506/$W$2</f>
        <v>1.5148882051049667E-5</v>
      </c>
    </row>
    <row r="1507" spans="1:23">
      <c r="A1507" s="13" t="s">
        <v>285</v>
      </c>
      <c r="B1507" s="13" t="s">
        <v>404</v>
      </c>
      <c r="C1507" s="138">
        <v>46337</v>
      </c>
      <c r="D1507" s="138" t="s">
        <v>424</v>
      </c>
      <c r="E1507" s="28">
        <v>0.94354265999999998</v>
      </c>
      <c r="F1507" s="13"/>
      <c r="G1507" s="18">
        <v>60000000</v>
      </c>
      <c r="H1507" s="18">
        <v>56612559.609999999</v>
      </c>
      <c r="I1507" s="18">
        <v>60000000</v>
      </c>
      <c r="J1507" s="18">
        <v>56612559.609999999</v>
      </c>
      <c r="K1507" s="15">
        <v>100</v>
      </c>
      <c r="L1507" s="13" t="s">
        <v>102</v>
      </c>
      <c r="M1507" s="13" t="s">
        <v>103</v>
      </c>
      <c r="N1507" s="138" t="s">
        <v>346</v>
      </c>
      <c r="O1507" s="138" t="s">
        <v>346</v>
      </c>
      <c r="P1507" s="28">
        <v>28</v>
      </c>
      <c r="Q1507" s="13" t="s">
        <v>54</v>
      </c>
      <c r="R1507" s="13" t="s">
        <v>28</v>
      </c>
      <c r="S1507" s="13"/>
      <c r="T1507" s="13"/>
      <c r="U1507" s="13" t="s">
        <v>1538</v>
      </c>
      <c r="V1507" s="13" t="s">
        <v>1538</v>
      </c>
      <c r="W1507" s="59">
        <f>+J1507/$W$2</f>
        <v>9.265253365465944E-4</v>
      </c>
    </row>
    <row r="1508" spans="1:23">
      <c r="A1508" s="13" t="s">
        <v>285</v>
      </c>
      <c r="B1508" s="13" t="s">
        <v>404</v>
      </c>
      <c r="C1508" s="138">
        <v>46337</v>
      </c>
      <c r="D1508" s="138" t="s">
        <v>424</v>
      </c>
      <c r="E1508" s="28">
        <v>0.93975297999999996</v>
      </c>
      <c r="F1508" s="13"/>
      <c r="G1508" s="18">
        <v>10000000</v>
      </c>
      <c r="H1508" s="18">
        <v>9397529.7599999998</v>
      </c>
      <c r="I1508" s="18">
        <v>10000000</v>
      </c>
      <c r="J1508" s="18">
        <v>9397529.7599999998</v>
      </c>
      <c r="K1508" s="15">
        <v>68856220</v>
      </c>
      <c r="L1508" s="13" t="s">
        <v>102</v>
      </c>
      <c r="M1508" s="13" t="s">
        <v>103</v>
      </c>
      <c r="N1508" s="138" t="s">
        <v>342</v>
      </c>
      <c r="O1508" s="138" t="s">
        <v>342</v>
      </c>
      <c r="P1508" s="28">
        <v>30</v>
      </c>
      <c r="Q1508" s="13" t="s">
        <v>54</v>
      </c>
      <c r="R1508" s="13" t="s">
        <v>28</v>
      </c>
      <c r="S1508" s="13"/>
      <c r="T1508" s="13"/>
      <c r="U1508" s="13" t="s">
        <v>2404</v>
      </c>
      <c r="V1508" s="13" t="s">
        <v>2404</v>
      </c>
      <c r="W1508" s="59">
        <f>+J1508/$W$2</f>
        <v>1.538006669115987E-4</v>
      </c>
    </row>
    <row r="1509" spans="1:23">
      <c r="A1509" s="13" t="s">
        <v>285</v>
      </c>
      <c r="B1509" s="13" t="s">
        <v>404</v>
      </c>
      <c r="C1509" s="138">
        <v>46337</v>
      </c>
      <c r="D1509" s="138" t="s">
        <v>424</v>
      </c>
      <c r="E1509" s="28">
        <v>0.93975297999999996</v>
      </c>
      <c r="F1509" s="13"/>
      <c r="G1509" s="18">
        <v>11000000</v>
      </c>
      <c r="H1509" s="18">
        <v>10337282.73</v>
      </c>
      <c r="I1509" s="18">
        <v>11000000</v>
      </c>
      <c r="J1509" s="18">
        <v>10337282.73</v>
      </c>
      <c r="K1509" s="15">
        <v>10679146</v>
      </c>
      <c r="L1509" s="13" t="s">
        <v>102</v>
      </c>
      <c r="M1509" s="13" t="s">
        <v>103</v>
      </c>
      <c r="N1509" s="138" t="s">
        <v>342</v>
      </c>
      <c r="O1509" s="138" t="s">
        <v>342</v>
      </c>
      <c r="P1509" s="28">
        <v>30</v>
      </c>
      <c r="Q1509" s="13" t="s">
        <v>54</v>
      </c>
      <c r="R1509" s="13" t="s">
        <v>28</v>
      </c>
      <c r="S1509" s="13"/>
      <c r="T1509" s="13"/>
      <c r="U1509" s="13" t="s">
        <v>2407</v>
      </c>
      <c r="V1509" s="13" t="s">
        <v>2407</v>
      </c>
      <c r="W1509" s="59">
        <f>+J1509/$W$2</f>
        <v>1.6918073350456216E-4</v>
      </c>
    </row>
    <row r="1510" spans="1:23">
      <c r="A1510" s="13" t="s">
        <v>405</v>
      </c>
      <c r="B1510" s="13" t="s">
        <v>404</v>
      </c>
      <c r="C1510" s="138">
        <v>46337</v>
      </c>
      <c r="D1510" s="138" t="s">
        <v>424</v>
      </c>
      <c r="E1510" s="28">
        <v>0.93412525999999996</v>
      </c>
      <c r="F1510" s="13"/>
      <c r="G1510" s="18">
        <v>2500000</v>
      </c>
      <c r="H1510" s="18">
        <v>2335313.15</v>
      </c>
      <c r="I1510" s="18">
        <v>2500000</v>
      </c>
      <c r="J1510" s="18">
        <v>2335313.15</v>
      </c>
      <c r="K1510" s="15">
        <v>1015</v>
      </c>
      <c r="L1510" s="13" t="s">
        <v>102</v>
      </c>
      <c r="M1510" s="13" t="s">
        <v>103</v>
      </c>
      <c r="N1510" s="138" t="s">
        <v>170</v>
      </c>
      <c r="O1510" s="138" t="s">
        <v>170</v>
      </c>
      <c r="P1510" s="28">
        <v>33</v>
      </c>
      <c r="Q1510" s="13" t="s">
        <v>54</v>
      </c>
      <c r="R1510" s="13" t="s">
        <v>28</v>
      </c>
      <c r="S1510" s="13"/>
      <c r="T1510" s="13"/>
      <c r="U1510" s="13" t="s">
        <v>2475</v>
      </c>
      <c r="V1510" s="13" t="s">
        <v>2475</v>
      </c>
      <c r="W1510" s="59">
        <f>+J1510/$W$2</f>
        <v>3.8219907687467257E-5</v>
      </c>
    </row>
    <row r="1511" spans="1:23">
      <c r="A1511" s="13" t="s">
        <v>405</v>
      </c>
      <c r="B1511" s="13" t="s">
        <v>404</v>
      </c>
      <c r="C1511" s="138">
        <v>46337</v>
      </c>
      <c r="D1511" s="138" t="s">
        <v>424</v>
      </c>
      <c r="E1511" s="28">
        <v>0.93412525999999996</v>
      </c>
      <c r="F1511" s="13"/>
      <c r="G1511" s="18">
        <v>2500000</v>
      </c>
      <c r="H1511" s="18">
        <v>2335313.15</v>
      </c>
      <c r="I1511" s="18">
        <v>2500000</v>
      </c>
      <c r="J1511" s="18">
        <v>2335313.15</v>
      </c>
      <c r="K1511" s="15">
        <v>1016</v>
      </c>
      <c r="L1511" s="13" t="s">
        <v>102</v>
      </c>
      <c r="M1511" s="13" t="s">
        <v>103</v>
      </c>
      <c r="N1511" s="138" t="s">
        <v>170</v>
      </c>
      <c r="O1511" s="138" t="s">
        <v>170</v>
      </c>
      <c r="P1511" s="28">
        <v>33</v>
      </c>
      <c r="Q1511" s="13" t="s">
        <v>54</v>
      </c>
      <c r="R1511" s="13" t="s">
        <v>28</v>
      </c>
      <c r="S1511" s="13"/>
      <c r="T1511" s="13"/>
      <c r="U1511" s="13" t="s">
        <v>2476</v>
      </c>
      <c r="V1511" s="13" t="s">
        <v>2476</v>
      </c>
      <c r="W1511" s="59">
        <f>+J1511/$W$2</f>
        <v>3.8219907687467257E-5</v>
      </c>
    </row>
    <row r="1512" spans="1:23">
      <c r="A1512" s="13" t="s">
        <v>405</v>
      </c>
      <c r="B1512" s="13" t="s">
        <v>404</v>
      </c>
      <c r="C1512" s="138">
        <v>46337</v>
      </c>
      <c r="D1512" s="138" t="s">
        <v>424</v>
      </c>
      <c r="E1512" s="28">
        <v>0.93599361000000003</v>
      </c>
      <c r="F1512" s="13"/>
      <c r="G1512" s="18">
        <v>3000000</v>
      </c>
      <c r="H1512" s="18">
        <v>2807980.84</v>
      </c>
      <c r="I1512" s="18">
        <v>3000000</v>
      </c>
      <c r="J1512" s="18">
        <v>2807980.84</v>
      </c>
      <c r="K1512" s="15">
        <v>1052</v>
      </c>
      <c r="L1512" s="13" t="s">
        <v>102</v>
      </c>
      <c r="M1512" s="13" t="s">
        <v>103</v>
      </c>
      <c r="N1512" s="138" t="s">
        <v>424</v>
      </c>
      <c r="O1512" s="138" t="s">
        <v>424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2605</v>
      </c>
      <c r="V1512" s="13" t="s">
        <v>2605</v>
      </c>
      <c r="W1512" s="59">
        <f>+J1512/$W$2</f>
        <v>4.5955622051362476E-5</v>
      </c>
    </row>
    <row r="1513" spans="1:23">
      <c r="A1513" s="13" t="s">
        <v>405</v>
      </c>
      <c r="B1513" s="13" t="s">
        <v>404</v>
      </c>
      <c r="C1513" s="138">
        <v>46337</v>
      </c>
      <c r="D1513" s="138" t="s">
        <v>424</v>
      </c>
      <c r="E1513" s="28">
        <v>0.93599361000000003</v>
      </c>
      <c r="F1513" s="13"/>
      <c r="G1513" s="18">
        <v>3000000</v>
      </c>
      <c r="H1513" s="18">
        <v>2807980.84</v>
      </c>
      <c r="I1513" s="18">
        <v>3000000</v>
      </c>
      <c r="J1513" s="18">
        <v>2807980.84</v>
      </c>
      <c r="K1513" s="15">
        <v>1053</v>
      </c>
      <c r="L1513" s="13" t="s">
        <v>102</v>
      </c>
      <c r="M1513" s="13" t="s">
        <v>103</v>
      </c>
      <c r="N1513" s="138" t="s">
        <v>424</v>
      </c>
      <c r="O1513" s="138" t="s">
        <v>424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2606</v>
      </c>
      <c r="V1513" s="13" t="s">
        <v>2606</v>
      </c>
      <c r="W1513" s="59">
        <f>+J1513/$W$2</f>
        <v>4.5955622051362476E-5</v>
      </c>
    </row>
    <row r="1514" spans="1:23">
      <c r="A1514" s="13" t="s">
        <v>375</v>
      </c>
      <c r="B1514" s="13" t="s">
        <v>404</v>
      </c>
      <c r="C1514" s="138">
        <v>46337</v>
      </c>
      <c r="D1514" s="138" t="s">
        <v>424</v>
      </c>
      <c r="E1514" s="28">
        <v>0.93226414000000002</v>
      </c>
      <c r="F1514" s="13"/>
      <c r="G1514" s="18">
        <v>990902.64</v>
      </c>
      <c r="H1514" s="18">
        <v>923783</v>
      </c>
      <c r="I1514" s="18">
        <v>990902.64</v>
      </c>
      <c r="J1514" s="18">
        <v>923783</v>
      </c>
      <c r="K1514" s="15">
        <v>2964</v>
      </c>
      <c r="L1514" s="13" t="s">
        <v>102</v>
      </c>
      <c r="M1514" s="13" t="s">
        <v>103</v>
      </c>
      <c r="N1514" s="138" t="s">
        <v>346</v>
      </c>
      <c r="O1514" s="138" t="s">
        <v>346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1509</v>
      </c>
      <c r="V1514" s="13" t="s">
        <v>1509</v>
      </c>
      <c r="W1514" s="59">
        <f>+J1514/$W$2</f>
        <v>1.51187008831135E-5</v>
      </c>
    </row>
    <row r="1515" spans="1:23">
      <c r="A1515" s="13" t="s">
        <v>375</v>
      </c>
      <c r="B1515" s="13" t="s">
        <v>404</v>
      </c>
      <c r="C1515" s="138">
        <v>46337</v>
      </c>
      <c r="D1515" s="138" t="s">
        <v>424</v>
      </c>
      <c r="E1515" s="28">
        <v>0.93226412000000003</v>
      </c>
      <c r="F1515" s="13"/>
      <c r="G1515" s="18">
        <v>1020845.65</v>
      </c>
      <c r="H1515" s="18">
        <v>951697.77</v>
      </c>
      <c r="I1515" s="18">
        <v>1020845.65</v>
      </c>
      <c r="J1515" s="18">
        <v>951697.77</v>
      </c>
      <c r="K1515" s="15">
        <v>2915</v>
      </c>
      <c r="L1515" s="13" t="s">
        <v>102</v>
      </c>
      <c r="M1515" s="13" t="s">
        <v>103</v>
      </c>
      <c r="N1515" s="138" t="s">
        <v>346</v>
      </c>
      <c r="O1515" s="138" t="s">
        <v>346</v>
      </c>
      <c r="P1515" s="28">
        <v>34</v>
      </c>
      <c r="Q1515" s="13" t="s">
        <v>54</v>
      </c>
      <c r="R1515" s="13" t="s">
        <v>28</v>
      </c>
      <c r="S1515" s="13"/>
      <c r="T1515" s="13"/>
      <c r="U1515" s="13" t="s">
        <v>1511</v>
      </c>
      <c r="V1515" s="13" t="s">
        <v>1511</v>
      </c>
      <c r="W1515" s="59">
        <f>+J1515/$W$2</f>
        <v>1.5575556072969679E-5</v>
      </c>
    </row>
    <row r="1516" spans="1:23">
      <c r="A1516" s="13" t="s">
        <v>375</v>
      </c>
      <c r="B1516" s="13" t="s">
        <v>404</v>
      </c>
      <c r="C1516" s="138">
        <v>46337</v>
      </c>
      <c r="D1516" s="138" t="s">
        <v>424</v>
      </c>
      <c r="E1516" s="28">
        <v>0.93226412000000003</v>
      </c>
      <c r="F1516" s="13"/>
      <c r="G1516" s="18">
        <v>1020845.65</v>
      </c>
      <c r="H1516" s="18">
        <v>951697.77</v>
      </c>
      <c r="I1516" s="18">
        <v>1020845.65</v>
      </c>
      <c r="J1516" s="18">
        <v>951697.77</v>
      </c>
      <c r="K1516" s="15">
        <v>2914</v>
      </c>
      <c r="L1516" s="13" t="s">
        <v>102</v>
      </c>
      <c r="M1516" s="13" t="s">
        <v>103</v>
      </c>
      <c r="N1516" s="138" t="s">
        <v>346</v>
      </c>
      <c r="O1516" s="138" t="s">
        <v>346</v>
      </c>
      <c r="P1516" s="28">
        <v>34</v>
      </c>
      <c r="Q1516" s="13" t="s">
        <v>54</v>
      </c>
      <c r="R1516" s="13" t="s">
        <v>28</v>
      </c>
      <c r="S1516" s="13"/>
      <c r="T1516" s="13"/>
      <c r="U1516" s="13" t="s">
        <v>1512</v>
      </c>
      <c r="V1516" s="13" t="s">
        <v>1512</v>
      </c>
      <c r="W1516" s="59">
        <f>+J1516/$W$2</f>
        <v>1.5575556072969679E-5</v>
      </c>
    </row>
    <row r="1517" spans="1:23">
      <c r="A1517" s="13" t="s">
        <v>375</v>
      </c>
      <c r="B1517" s="13" t="s">
        <v>404</v>
      </c>
      <c r="C1517" s="138">
        <v>46337</v>
      </c>
      <c r="D1517" s="138" t="s">
        <v>424</v>
      </c>
      <c r="E1517" s="28">
        <v>0.92856444000000005</v>
      </c>
      <c r="F1517" s="13"/>
      <c r="G1517" s="18">
        <v>2510000.36</v>
      </c>
      <c r="H1517" s="18">
        <v>2330697.08</v>
      </c>
      <c r="I1517" s="18">
        <v>2510000.36</v>
      </c>
      <c r="J1517" s="18">
        <v>2330697.08</v>
      </c>
      <c r="K1517" s="15">
        <v>3161</v>
      </c>
      <c r="L1517" s="13" t="s">
        <v>102</v>
      </c>
      <c r="M1517" s="13" t="s">
        <v>103</v>
      </c>
      <c r="N1517" s="138" t="s">
        <v>170</v>
      </c>
      <c r="O1517" s="138" t="s">
        <v>170</v>
      </c>
      <c r="P1517" s="28">
        <v>36</v>
      </c>
      <c r="Q1517" s="13" t="s">
        <v>54</v>
      </c>
      <c r="R1517" s="13" t="s">
        <v>28</v>
      </c>
      <c r="S1517" s="13"/>
      <c r="T1517" s="13"/>
      <c r="U1517" s="13" t="s">
        <v>2464</v>
      </c>
      <c r="V1517" s="13" t="s">
        <v>2464</v>
      </c>
      <c r="W1517" s="59">
        <f>+J1517/$W$2</f>
        <v>3.8144360744532058E-5</v>
      </c>
    </row>
    <row r="1518" spans="1:23">
      <c r="A1518" s="13" t="s">
        <v>375</v>
      </c>
      <c r="B1518" s="13" t="s">
        <v>404</v>
      </c>
      <c r="C1518" s="138">
        <v>46337</v>
      </c>
      <c r="D1518" s="138" t="s">
        <v>424</v>
      </c>
      <c r="E1518" s="28">
        <v>0.92856444000000005</v>
      </c>
      <c r="F1518" s="13"/>
      <c r="G1518" s="18">
        <v>2510000.36</v>
      </c>
      <c r="H1518" s="18">
        <v>2330697.08</v>
      </c>
      <c r="I1518" s="18">
        <v>2510000.36</v>
      </c>
      <c r="J1518" s="18">
        <v>2330697.08</v>
      </c>
      <c r="K1518" s="15">
        <v>3162</v>
      </c>
      <c r="L1518" s="13" t="s">
        <v>102</v>
      </c>
      <c r="M1518" s="13" t="s">
        <v>103</v>
      </c>
      <c r="N1518" s="138" t="s">
        <v>170</v>
      </c>
      <c r="O1518" s="138" t="s">
        <v>170</v>
      </c>
      <c r="P1518" s="28">
        <v>36</v>
      </c>
      <c r="Q1518" s="13" t="s">
        <v>54</v>
      </c>
      <c r="R1518" s="13" t="s">
        <v>28</v>
      </c>
      <c r="S1518" s="13"/>
      <c r="T1518" s="13"/>
      <c r="U1518" s="13" t="s">
        <v>2465</v>
      </c>
      <c r="V1518" s="13" t="s">
        <v>2465</v>
      </c>
      <c r="W1518" s="59">
        <f>+J1518/$W$2</f>
        <v>3.8144360744532058E-5</v>
      </c>
    </row>
    <row r="1519" spans="1:23">
      <c r="A1519" s="13" t="s">
        <v>2317</v>
      </c>
      <c r="B1519" s="13" t="s">
        <v>404</v>
      </c>
      <c r="C1519" s="138">
        <v>46337</v>
      </c>
      <c r="D1519" s="138" t="s">
        <v>424</v>
      </c>
      <c r="E1519" s="28">
        <v>0.94354256999999997</v>
      </c>
      <c r="F1519" s="13"/>
      <c r="G1519" s="18">
        <v>150000000</v>
      </c>
      <c r="H1519" s="18">
        <v>141531384.77000001</v>
      </c>
      <c r="I1519" s="18">
        <v>150000000</v>
      </c>
      <c r="J1519" s="18">
        <v>141531384.77000001</v>
      </c>
      <c r="K1519" s="15">
        <v>80</v>
      </c>
      <c r="L1519" s="13" t="s">
        <v>102</v>
      </c>
      <c r="M1519" s="13" t="s">
        <v>103</v>
      </c>
      <c r="N1519" s="138" t="s">
        <v>441</v>
      </c>
      <c r="O1519" s="138" t="s">
        <v>441</v>
      </c>
      <c r="P1519" s="28">
        <v>28</v>
      </c>
      <c r="Q1519" s="13" t="s">
        <v>54</v>
      </c>
      <c r="R1519" s="13" t="s">
        <v>28</v>
      </c>
      <c r="S1519" s="13"/>
      <c r="T1519" s="13"/>
      <c r="U1519" s="13" t="s">
        <v>2302</v>
      </c>
      <c r="V1519" s="13" t="s">
        <v>2302</v>
      </c>
      <c r="W1519" s="59">
        <f>+J1519/$W$2</f>
        <v>2.3163131080681022E-3</v>
      </c>
    </row>
    <row r="1520" spans="1:23">
      <c r="A1520" s="13" t="s">
        <v>356</v>
      </c>
      <c r="B1520" s="13" t="s">
        <v>404</v>
      </c>
      <c r="C1520" s="138">
        <v>46337</v>
      </c>
      <c r="D1520" s="138" t="s">
        <v>424</v>
      </c>
      <c r="E1520" s="28">
        <v>0.93599359999999998</v>
      </c>
      <c r="F1520" s="13"/>
      <c r="G1520" s="18">
        <v>40000000</v>
      </c>
      <c r="H1520" s="18">
        <v>37439744.07</v>
      </c>
      <c r="I1520" s="18">
        <v>40000000</v>
      </c>
      <c r="J1520" s="18">
        <v>37439744.07</v>
      </c>
      <c r="K1520" s="15">
        <v>13953440</v>
      </c>
      <c r="L1520" s="13" t="s">
        <v>102</v>
      </c>
      <c r="M1520" s="13" t="s">
        <v>103</v>
      </c>
      <c r="N1520" s="138" t="s">
        <v>341</v>
      </c>
      <c r="O1520" s="138" t="s">
        <v>341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1934</v>
      </c>
      <c r="V1520" s="13" t="s">
        <v>1934</v>
      </c>
      <c r="W1520" s="59">
        <f>+J1520/$W$2</f>
        <v>6.1274161976855211E-4</v>
      </c>
    </row>
    <row r="1521" spans="1:29">
      <c r="A1521" s="13" t="s">
        <v>1812</v>
      </c>
      <c r="B1521" s="13" t="s">
        <v>404</v>
      </c>
      <c r="C1521" s="138">
        <v>46337</v>
      </c>
      <c r="D1521" s="138" t="s">
        <v>424</v>
      </c>
      <c r="E1521" s="28">
        <v>0.93412516999999995</v>
      </c>
      <c r="F1521" s="13"/>
      <c r="G1521" s="18">
        <v>4296661.99</v>
      </c>
      <c r="H1521" s="18">
        <v>4013620.11</v>
      </c>
      <c r="I1521" s="18">
        <v>4296661.99</v>
      </c>
      <c r="J1521" s="18">
        <v>4013620.11</v>
      </c>
      <c r="K1521" s="15">
        <v>1541</v>
      </c>
      <c r="L1521" s="13" t="s">
        <v>102</v>
      </c>
      <c r="M1521" s="13" t="s">
        <v>103</v>
      </c>
      <c r="N1521" s="138" t="s">
        <v>384</v>
      </c>
      <c r="O1521" s="138" t="s">
        <v>384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1802</v>
      </c>
      <c r="V1521" s="13" t="s">
        <v>1802</v>
      </c>
      <c r="W1521" s="59">
        <f>+J1521/$W$2</f>
        <v>6.5687203489931187E-5</v>
      </c>
    </row>
    <row r="1522" spans="1:29">
      <c r="A1522" s="13" t="s">
        <v>1971</v>
      </c>
      <c r="B1522" s="13" t="s">
        <v>404</v>
      </c>
      <c r="C1522" s="138">
        <v>46337</v>
      </c>
      <c r="D1522" s="138" t="s">
        <v>424</v>
      </c>
      <c r="E1522" s="28">
        <v>0.93412516000000001</v>
      </c>
      <c r="F1522" s="13"/>
      <c r="G1522" s="18">
        <v>20000000</v>
      </c>
      <c r="H1522" s="18">
        <v>18682503.27</v>
      </c>
      <c r="I1522" s="18">
        <v>20000000</v>
      </c>
      <c r="J1522" s="18">
        <v>18682503.27</v>
      </c>
      <c r="K1522" s="15">
        <v>40663540</v>
      </c>
      <c r="L1522" s="13" t="s">
        <v>102</v>
      </c>
      <c r="M1522" s="13" t="s">
        <v>103</v>
      </c>
      <c r="N1522" s="138" t="s">
        <v>341</v>
      </c>
      <c r="O1522" s="138" t="s">
        <v>341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1964</v>
      </c>
      <c r="V1522" s="13" t="s">
        <v>1964</v>
      </c>
      <c r="W1522" s="59">
        <f>+J1522/$W$2</f>
        <v>3.0575922991321538E-4</v>
      </c>
    </row>
    <row r="1523" spans="1:29">
      <c r="A1523" s="13" t="s">
        <v>2096</v>
      </c>
      <c r="B1523" s="13" t="s">
        <v>404</v>
      </c>
      <c r="C1523" s="138">
        <v>46337</v>
      </c>
      <c r="D1523" s="138" t="s">
        <v>424</v>
      </c>
      <c r="E1523" s="28">
        <v>0.93412508999999999</v>
      </c>
      <c r="F1523" s="13"/>
      <c r="G1523" s="18">
        <v>8951101</v>
      </c>
      <c r="H1523" s="18">
        <v>8361448.0499999998</v>
      </c>
      <c r="I1523" s="18">
        <v>8951101</v>
      </c>
      <c r="J1523" s="18">
        <v>8361448.0499999998</v>
      </c>
      <c r="K1523" s="15">
        <v>14046167</v>
      </c>
      <c r="L1523" s="13" t="s">
        <v>102</v>
      </c>
      <c r="M1523" s="13" t="s">
        <v>103</v>
      </c>
      <c r="N1523" s="138" t="s">
        <v>484</v>
      </c>
      <c r="O1523" s="138" t="s">
        <v>484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2072</v>
      </c>
      <c r="V1523" s="13" t="s">
        <v>2072</v>
      </c>
      <c r="W1523" s="59">
        <f>+J1523/$W$2</f>
        <v>1.3684407703718583E-4</v>
      </c>
    </row>
    <row r="1524" spans="1:29">
      <c r="A1524" s="13" t="s">
        <v>232</v>
      </c>
      <c r="B1524" s="13" t="s">
        <v>404</v>
      </c>
      <c r="C1524" s="138">
        <v>46338</v>
      </c>
      <c r="D1524" s="138" t="s">
        <v>424</v>
      </c>
      <c r="E1524" s="28">
        <v>0.93333683999999995</v>
      </c>
      <c r="F1524" s="13"/>
      <c r="G1524" s="18">
        <v>30000000</v>
      </c>
      <c r="H1524" s="18">
        <v>28000105.280000001</v>
      </c>
      <c r="I1524" s="18">
        <v>30000000</v>
      </c>
      <c r="J1524" s="18">
        <v>28000105.280000001</v>
      </c>
      <c r="K1524" s="15">
        <v>475883</v>
      </c>
      <c r="L1524" s="13" t="s">
        <v>102</v>
      </c>
      <c r="M1524" s="13" t="s">
        <v>103</v>
      </c>
      <c r="N1524" s="138" t="s">
        <v>371</v>
      </c>
      <c r="O1524" s="138" t="s">
        <v>371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2125</v>
      </c>
      <c r="V1524" s="13" t="s">
        <v>2125</v>
      </c>
      <c r="W1524" s="59">
        <f>+J1524/$W$2</f>
        <v>4.5825179335840449E-4</v>
      </c>
    </row>
    <row r="1525" spans="1:29">
      <c r="A1525" s="13" t="s">
        <v>744</v>
      </c>
      <c r="B1525" s="13" t="s">
        <v>404</v>
      </c>
      <c r="C1525" s="138">
        <v>46338</v>
      </c>
      <c r="D1525" s="138" t="s">
        <v>424</v>
      </c>
      <c r="E1525" s="28">
        <v>0.92215974999999994</v>
      </c>
      <c r="F1525" s="13"/>
      <c r="G1525" s="18">
        <v>3750000</v>
      </c>
      <c r="H1525" s="18">
        <v>3458099.06</v>
      </c>
      <c r="I1525" s="18">
        <v>3750000</v>
      </c>
      <c r="J1525" s="18">
        <v>3458099.06</v>
      </c>
      <c r="K1525" s="15">
        <v>66918856</v>
      </c>
      <c r="L1525" s="13" t="s">
        <v>102</v>
      </c>
      <c r="M1525" s="13" t="s">
        <v>103</v>
      </c>
      <c r="N1525" s="138" t="s">
        <v>322</v>
      </c>
      <c r="O1525" s="138" t="s">
        <v>322</v>
      </c>
      <c r="P1525" s="28">
        <v>39</v>
      </c>
      <c r="Q1525" s="13" t="s">
        <v>54</v>
      </c>
      <c r="R1525" s="13" t="s">
        <v>28</v>
      </c>
      <c r="S1525" s="13"/>
      <c r="T1525" s="13"/>
      <c r="U1525" s="13" t="s">
        <v>732</v>
      </c>
      <c r="V1525" s="13" t="s">
        <v>732</v>
      </c>
      <c r="W1525" s="59">
        <f>+J1525/$W$2</f>
        <v>5.6595504910044855E-5</v>
      </c>
    </row>
    <row r="1526" spans="1:29">
      <c r="A1526" s="13" t="s">
        <v>763</v>
      </c>
      <c r="B1526" s="13" t="s">
        <v>404</v>
      </c>
      <c r="C1526" s="138">
        <v>46338</v>
      </c>
      <c r="D1526" s="138" t="s">
        <v>424</v>
      </c>
      <c r="E1526" s="28">
        <v>0.92771471999999999</v>
      </c>
      <c r="F1526" s="13"/>
      <c r="G1526" s="18">
        <v>1555000.5</v>
      </c>
      <c r="H1526" s="18">
        <v>1442596.86</v>
      </c>
      <c r="I1526" s="18">
        <v>1555000.5</v>
      </c>
      <c r="J1526" s="18">
        <v>1442596.86</v>
      </c>
      <c r="K1526" s="15">
        <v>507</v>
      </c>
      <c r="L1526" s="13" t="s">
        <v>102</v>
      </c>
      <c r="M1526" s="13" t="s">
        <v>103</v>
      </c>
      <c r="N1526" s="138" t="s">
        <v>170</v>
      </c>
      <c r="O1526" s="138" t="s">
        <v>170</v>
      </c>
      <c r="P1526" s="28">
        <v>36</v>
      </c>
      <c r="Q1526" s="13" t="s">
        <v>54</v>
      </c>
      <c r="R1526" s="13" t="s">
        <v>28</v>
      </c>
      <c r="S1526" s="13"/>
      <c r="T1526" s="13"/>
      <c r="U1526" s="13" t="s">
        <v>2457</v>
      </c>
      <c r="V1526" s="13" t="s">
        <v>2457</v>
      </c>
      <c r="W1526" s="59">
        <f>+J1526/$W$2</f>
        <v>2.3609646877306427E-5</v>
      </c>
    </row>
    <row r="1527" spans="1:29">
      <c r="A1527" s="13" t="s">
        <v>426</v>
      </c>
      <c r="B1527" s="13" t="s">
        <v>404</v>
      </c>
      <c r="C1527" s="138">
        <v>46338</v>
      </c>
      <c r="D1527" s="138" t="s">
        <v>424</v>
      </c>
      <c r="E1527" s="28">
        <v>0.92771453000000004</v>
      </c>
      <c r="F1527" s="13"/>
      <c r="G1527" s="18">
        <v>8560000</v>
      </c>
      <c r="H1527" s="18">
        <v>7941236.3899999997</v>
      </c>
      <c r="I1527" s="18">
        <v>8560000</v>
      </c>
      <c r="J1527" s="18">
        <v>7941236.3899999997</v>
      </c>
      <c r="K1527" s="15">
        <v>13054212</v>
      </c>
      <c r="L1527" s="13" t="s">
        <v>102</v>
      </c>
      <c r="M1527" s="13" t="s">
        <v>103</v>
      </c>
      <c r="N1527" s="138" t="s">
        <v>289</v>
      </c>
      <c r="O1527" s="138" t="s">
        <v>289</v>
      </c>
      <c r="P1527" s="28">
        <v>36</v>
      </c>
      <c r="Q1527" s="13" t="s">
        <v>54</v>
      </c>
      <c r="R1527" s="13" t="s">
        <v>28</v>
      </c>
      <c r="S1527" s="13"/>
      <c r="T1527" s="13"/>
      <c r="U1527" s="13" t="s">
        <v>567</v>
      </c>
      <c r="V1527" s="13" t="s">
        <v>567</v>
      </c>
      <c r="W1527" s="59">
        <f>+J1527/$W$2</f>
        <v>1.2996686193890347E-4</v>
      </c>
    </row>
    <row r="1528" spans="1:29">
      <c r="A1528" s="13" t="s">
        <v>405</v>
      </c>
      <c r="B1528" s="13" t="s">
        <v>404</v>
      </c>
      <c r="C1528" s="138">
        <v>46338</v>
      </c>
      <c r="D1528" s="138" t="s">
        <v>424</v>
      </c>
      <c r="E1528" s="28">
        <v>0.93522609000000001</v>
      </c>
      <c r="F1528" s="13"/>
      <c r="G1528" s="18">
        <v>3000000</v>
      </c>
      <c r="H1528" s="18">
        <v>2805678.27</v>
      </c>
      <c r="I1528" s="18">
        <v>3000000</v>
      </c>
      <c r="J1528" s="18">
        <v>2805678.27</v>
      </c>
      <c r="K1528" s="15">
        <v>1054</v>
      </c>
      <c r="L1528" s="13" t="s">
        <v>102</v>
      </c>
      <c r="M1528" s="13" t="s">
        <v>103</v>
      </c>
      <c r="N1528" s="138" t="s">
        <v>424</v>
      </c>
      <c r="O1528" s="138" t="s">
        <v>424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2619</v>
      </c>
      <c r="V1528" s="13" t="s">
        <v>2619</v>
      </c>
      <c r="W1528" s="59">
        <f>+J1528/$W$2</f>
        <v>4.5917938020488961E-5</v>
      </c>
    </row>
    <row r="1529" spans="1:29">
      <c r="A1529" s="13" t="s">
        <v>417</v>
      </c>
      <c r="B1529" s="13" t="s">
        <v>404</v>
      </c>
      <c r="C1529" s="138">
        <v>46338</v>
      </c>
      <c r="D1529" s="138" t="s">
        <v>424</v>
      </c>
      <c r="E1529" s="28">
        <v>0.93145524000000002</v>
      </c>
      <c r="F1529" s="13"/>
      <c r="G1529" s="18">
        <v>4000000</v>
      </c>
      <c r="H1529" s="18">
        <v>3725820.94</v>
      </c>
      <c r="I1529" s="18">
        <v>4000000</v>
      </c>
      <c r="J1529" s="18">
        <v>3725820.94</v>
      </c>
      <c r="K1529" s="15">
        <v>90000052</v>
      </c>
      <c r="L1529" s="13" t="s">
        <v>102</v>
      </c>
      <c r="M1529" s="13" t="s">
        <v>103</v>
      </c>
      <c r="N1529" s="138" t="s">
        <v>353</v>
      </c>
      <c r="O1529" s="138" t="s">
        <v>353</v>
      </c>
      <c r="P1529" s="28">
        <v>34</v>
      </c>
      <c r="Q1529" s="13" t="s">
        <v>54</v>
      </c>
      <c r="R1529" s="13" t="s">
        <v>28</v>
      </c>
      <c r="S1529" s="13"/>
      <c r="T1529" s="13"/>
      <c r="U1529" s="13" t="s">
        <v>996</v>
      </c>
      <c r="V1529" s="13" t="s">
        <v>996</v>
      </c>
      <c r="W1529" s="59">
        <f>+J1529/$W$2</f>
        <v>6.0977060993654106E-5</v>
      </c>
    </row>
    <row r="1530" spans="1:29">
      <c r="A1530" s="13" t="s">
        <v>537</v>
      </c>
      <c r="B1530" s="13" t="s">
        <v>404</v>
      </c>
      <c r="C1530" s="138">
        <v>46338</v>
      </c>
      <c r="D1530" s="138" t="s">
        <v>424</v>
      </c>
      <c r="E1530" s="28">
        <v>0.94094</v>
      </c>
      <c r="F1530" s="13"/>
      <c r="G1530" s="18">
        <v>11000000</v>
      </c>
      <c r="H1530" s="18">
        <v>10350339.949999999</v>
      </c>
      <c r="I1530" s="18">
        <v>11000000</v>
      </c>
      <c r="J1530" s="18">
        <v>10350339.949999999</v>
      </c>
      <c r="K1530" s="15">
        <v>90000056</v>
      </c>
      <c r="L1530" s="13" t="s">
        <v>102</v>
      </c>
      <c r="M1530" s="13" t="s">
        <v>103</v>
      </c>
      <c r="N1530" s="138" t="s">
        <v>355</v>
      </c>
      <c r="O1530" s="138" t="s">
        <v>355</v>
      </c>
      <c r="P1530" s="28">
        <v>29</v>
      </c>
      <c r="Q1530" s="13" t="s">
        <v>54</v>
      </c>
      <c r="R1530" s="13" t="s">
        <v>28</v>
      </c>
      <c r="S1530" s="13"/>
      <c r="T1530" s="13"/>
      <c r="U1530" s="13" t="s">
        <v>1176</v>
      </c>
      <c r="V1530" s="13" t="s">
        <v>1176</v>
      </c>
      <c r="W1530" s="59">
        <f>+J1530/$W$2</f>
        <v>1.6939442893254143E-4</v>
      </c>
    </row>
    <row r="1531" spans="1:29">
      <c r="A1531" s="13" t="s">
        <v>285</v>
      </c>
      <c r="B1531" s="13" t="s">
        <v>404</v>
      </c>
      <c r="C1531" s="138">
        <v>46338</v>
      </c>
      <c r="D1531" s="138" t="s">
        <v>424</v>
      </c>
      <c r="E1531" s="28">
        <v>0.93902761000000001</v>
      </c>
      <c r="F1531" s="13"/>
      <c r="G1531" s="18">
        <v>10000000</v>
      </c>
      <c r="H1531" s="18">
        <v>9390276.0800000001</v>
      </c>
      <c r="I1531" s="18">
        <v>10000000</v>
      </c>
      <c r="J1531" s="18">
        <v>9390276.0800000001</v>
      </c>
      <c r="K1531" s="15">
        <v>68856243</v>
      </c>
      <c r="L1531" s="13" t="s">
        <v>102</v>
      </c>
      <c r="M1531" s="13" t="s">
        <v>103</v>
      </c>
      <c r="N1531" s="138" t="s">
        <v>342</v>
      </c>
      <c r="O1531" s="138" t="s">
        <v>342</v>
      </c>
      <c r="P1531" s="28">
        <v>30</v>
      </c>
      <c r="Q1531" s="13" t="s">
        <v>54</v>
      </c>
      <c r="R1531" s="13" t="s">
        <v>28</v>
      </c>
      <c r="S1531" s="13"/>
      <c r="T1531" s="13"/>
      <c r="U1531" s="13" t="s">
        <v>2403</v>
      </c>
      <c r="V1531" s="13" t="s">
        <v>2403</v>
      </c>
      <c r="W1531" s="59">
        <f>+J1531/$W$2</f>
        <v>1.5368195264837693E-4</v>
      </c>
      <c r="AC1531"/>
    </row>
    <row r="1532" spans="1:29">
      <c r="A1532" s="13" t="s">
        <v>405</v>
      </c>
      <c r="B1532" s="13" t="s">
        <v>404</v>
      </c>
      <c r="C1532" s="138">
        <v>46338</v>
      </c>
      <c r="D1532" s="138" t="s">
        <v>424</v>
      </c>
      <c r="E1532" s="28">
        <v>0.93902755999999998</v>
      </c>
      <c r="F1532" s="13"/>
      <c r="G1532" s="18">
        <v>2500000</v>
      </c>
      <c r="H1532" s="18">
        <v>2347568.91</v>
      </c>
      <c r="I1532" s="18">
        <v>2500000</v>
      </c>
      <c r="J1532" s="18">
        <v>2347568.91</v>
      </c>
      <c r="K1532" s="15">
        <v>888</v>
      </c>
      <c r="L1532" s="13" t="s">
        <v>102</v>
      </c>
      <c r="M1532" s="13" t="s">
        <v>103</v>
      </c>
      <c r="N1532" s="138" t="s">
        <v>484</v>
      </c>
      <c r="O1532" s="138" t="s">
        <v>484</v>
      </c>
      <c r="P1532" s="28">
        <v>30</v>
      </c>
      <c r="Q1532" s="13" t="s">
        <v>54</v>
      </c>
      <c r="R1532" s="13" t="s">
        <v>28</v>
      </c>
      <c r="S1532" s="13"/>
      <c r="T1532" s="13"/>
      <c r="U1532" s="13" t="s">
        <v>2074</v>
      </c>
      <c r="V1532" s="13" t="s">
        <v>2074</v>
      </c>
      <c r="W1532" s="59">
        <f>+J1532/$W$2</f>
        <v>3.8420486361826099E-5</v>
      </c>
    </row>
    <row r="1533" spans="1:29">
      <c r="A1533" s="13" t="s">
        <v>405</v>
      </c>
      <c r="B1533" s="13" t="s">
        <v>404</v>
      </c>
      <c r="C1533" s="138">
        <v>46338</v>
      </c>
      <c r="D1533" s="138" t="s">
        <v>424</v>
      </c>
      <c r="E1533" s="28">
        <v>0.93333692999999995</v>
      </c>
      <c r="F1533" s="13"/>
      <c r="G1533" s="18">
        <v>2500000</v>
      </c>
      <c r="H1533" s="18">
        <v>2333342.33</v>
      </c>
      <c r="I1533" s="18">
        <v>2500000</v>
      </c>
      <c r="J1533" s="18">
        <v>2333342.33</v>
      </c>
      <c r="K1533" s="15">
        <v>1017</v>
      </c>
      <c r="L1533" s="13" t="s">
        <v>102</v>
      </c>
      <c r="M1533" s="13" t="s">
        <v>103</v>
      </c>
      <c r="N1533" s="138" t="s">
        <v>170</v>
      </c>
      <c r="O1533" s="138" t="s">
        <v>170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2477</v>
      </c>
      <c r="V1533" s="13" t="s">
        <v>2477</v>
      </c>
      <c r="W1533" s="59">
        <f>+J1533/$W$2</f>
        <v>3.8187653101623555E-5</v>
      </c>
    </row>
    <row r="1534" spans="1:29">
      <c r="A1534" s="13" t="s">
        <v>375</v>
      </c>
      <c r="B1534" s="13" t="s">
        <v>404</v>
      </c>
      <c r="C1534" s="138">
        <v>46338</v>
      </c>
      <c r="D1534" s="138" t="s">
        <v>424</v>
      </c>
      <c r="E1534" s="28">
        <v>0.92771471999999999</v>
      </c>
      <c r="F1534" s="13"/>
      <c r="G1534" s="18">
        <v>2510000.36</v>
      </c>
      <c r="H1534" s="18">
        <v>2328564.27</v>
      </c>
      <c r="I1534" s="18">
        <v>2510000.36</v>
      </c>
      <c r="J1534" s="18">
        <v>2328564.27</v>
      </c>
      <c r="K1534" s="15">
        <v>3163</v>
      </c>
      <c r="L1534" s="13" t="s">
        <v>102</v>
      </c>
      <c r="M1534" s="13" t="s">
        <v>103</v>
      </c>
      <c r="N1534" s="138" t="s">
        <v>170</v>
      </c>
      <c r="O1534" s="138" t="s">
        <v>170</v>
      </c>
      <c r="P1534" s="28">
        <v>36</v>
      </c>
      <c r="Q1534" s="13" t="s">
        <v>54</v>
      </c>
      <c r="R1534" s="13" t="s">
        <v>28</v>
      </c>
      <c r="S1534" s="13"/>
      <c r="T1534" s="13"/>
      <c r="U1534" s="13" t="s">
        <v>2466</v>
      </c>
      <c r="V1534" s="13" t="s">
        <v>2466</v>
      </c>
      <c r="W1534" s="59">
        <f>+J1534/$W$2</f>
        <v>3.8109455018370703E-5</v>
      </c>
    </row>
    <row r="1535" spans="1:29">
      <c r="A1535" s="13" t="s">
        <v>356</v>
      </c>
      <c r="B1535" s="13" t="s">
        <v>404</v>
      </c>
      <c r="C1535" s="138">
        <v>46338</v>
      </c>
      <c r="D1535" s="138" t="s">
        <v>424</v>
      </c>
      <c r="E1535" s="28">
        <v>0.93522609999999995</v>
      </c>
      <c r="F1535" s="13"/>
      <c r="G1535" s="18">
        <v>40000000</v>
      </c>
      <c r="H1535" s="18">
        <v>37409043.979999997</v>
      </c>
      <c r="I1535" s="18">
        <v>40000000</v>
      </c>
      <c r="J1535" s="18">
        <v>37409043.979999997</v>
      </c>
      <c r="K1535" s="15">
        <v>13953441</v>
      </c>
      <c r="L1535" s="13" t="s">
        <v>102</v>
      </c>
      <c r="M1535" s="13" t="s">
        <v>103</v>
      </c>
      <c r="N1535" s="138" t="s">
        <v>341</v>
      </c>
      <c r="O1535" s="138" t="s">
        <v>341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1933</v>
      </c>
      <c r="V1535" s="13" t="s">
        <v>1933</v>
      </c>
      <c r="W1535" s="59">
        <f>+J1535/$W$2</f>
        <v>6.1223917982562758E-4</v>
      </c>
    </row>
    <row r="1536" spans="1:29">
      <c r="A1536" s="13" t="s">
        <v>2322</v>
      </c>
      <c r="B1536" s="13" t="s">
        <v>404</v>
      </c>
      <c r="C1536" s="138">
        <v>46338</v>
      </c>
      <c r="D1536" s="138" t="s">
        <v>424</v>
      </c>
      <c r="E1536" s="28">
        <v>0.94286026000000001</v>
      </c>
      <c r="F1536" s="13"/>
      <c r="G1536" s="18">
        <v>50000000</v>
      </c>
      <c r="H1536" s="18">
        <v>47143013.219999999</v>
      </c>
      <c r="I1536" s="18">
        <v>50000000</v>
      </c>
      <c r="J1536" s="18">
        <v>47143013.219999999</v>
      </c>
      <c r="K1536" s="15">
        <v>30</v>
      </c>
      <c r="L1536" s="13" t="s">
        <v>102</v>
      </c>
      <c r="M1536" s="13" t="s">
        <v>103</v>
      </c>
      <c r="N1536" s="138" t="s">
        <v>441</v>
      </c>
      <c r="O1536" s="138" t="s">
        <v>441</v>
      </c>
      <c r="P1536" s="28">
        <v>28</v>
      </c>
      <c r="Q1536" s="13" t="s">
        <v>54</v>
      </c>
      <c r="R1536" s="13" t="s">
        <v>28</v>
      </c>
      <c r="S1536" s="13"/>
      <c r="T1536" s="13"/>
      <c r="U1536" s="13" t="s">
        <v>2307</v>
      </c>
      <c r="V1536" s="13" t="s">
        <v>2307</v>
      </c>
      <c r="W1536" s="59">
        <f>+J1536/$W$2</f>
        <v>7.7154604014345943E-4</v>
      </c>
    </row>
    <row r="1537" spans="1:29">
      <c r="A1537" s="13" t="s">
        <v>523</v>
      </c>
      <c r="B1537" s="13" t="s">
        <v>404</v>
      </c>
      <c r="C1537" s="138">
        <v>46338</v>
      </c>
      <c r="D1537" s="138" t="s">
        <v>424</v>
      </c>
      <c r="E1537" s="28">
        <v>0.94093994000000003</v>
      </c>
      <c r="F1537" s="13"/>
      <c r="G1537" s="18">
        <v>17118303</v>
      </c>
      <c r="H1537" s="18">
        <v>16107294.99</v>
      </c>
      <c r="I1537" s="18">
        <v>17118303</v>
      </c>
      <c r="J1537" s="18">
        <v>16107294.99</v>
      </c>
      <c r="K1537" s="15">
        <v>27672</v>
      </c>
      <c r="L1537" s="13" t="s">
        <v>102</v>
      </c>
      <c r="M1537" s="13" t="s">
        <v>103</v>
      </c>
      <c r="N1537" s="138" t="s">
        <v>303</v>
      </c>
      <c r="O1537" s="138" t="s">
        <v>303</v>
      </c>
      <c r="P1537" s="28">
        <v>29</v>
      </c>
      <c r="Q1537" s="13" t="s">
        <v>54</v>
      </c>
      <c r="R1537" s="13" t="s">
        <v>28</v>
      </c>
      <c r="S1537" s="13"/>
      <c r="T1537" s="13"/>
      <c r="U1537" s="13" t="s">
        <v>675</v>
      </c>
      <c r="V1537" s="13" t="s">
        <v>675</v>
      </c>
      <c r="W1537" s="59">
        <f>+J1537/$W$2</f>
        <v>2.636131807901668E-4</v>
      </c>
    </row>
    <row r="1538" spans="1:29">
      <c r="A1538" s="13" t="s">
        <v>413</v>
      </c>
      <c r="B1538" s="13" t="s">
        <v>404</v>
      </c>
      <c r="C1538" s="138">
        <v>46338</v>
      </c>
      <c r="D1538" s="138" t="s">
        <v>424</v>
      </c>
      <c r="E1538" s="28">
        <v>0.93522609999999995</v>
      </c>
      <c r="F1538" s="13"/>
      <c r="G1538" s="18">
        <v>16498838.289999999</v>
      </c>
      <c r="H1538" s="18">
        <v>15430144.18</v>
      </c>
      <c r="I1538" s="18">
        <v>16498838.289999999</v>
      </c>
      <c r="J1538" s="18">
        <v>15430144.18</v>
      </c>
      <c r="K1538" s="15">
        <v>30851</v>
      </c>
      <c r="L1538" s="13" t="s">
        <v>102</v>
      </c>
      <c r="M1538" s="13" t="s">
        <v>103</v>
      </c>
      <c r="N1538" s="138" t="s">
        <v>341</v>
      </c>
      <c r="O1538" s="138" t="s">
        <v>341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1937</v>
      </c>
      <c r="V1538" s="13" t="s">
        <v>1937</v>
      </c>
      <c r="W1538" s="59">
        <f>+J1538/$W$2</f>
        <v>2.5253088056473717E-4</v>
      </c>
    </row>
    <row r="1539" spans="1:29">
      <c r="A1539" s="13" t="s">
        <v>413</v>
      </c>
      <c r="B1539" s="13" t="s">
        <v>404</v>
      </c>
      <c r="C1539" s="138">
        <v>46338</v>
      </c>
      <c r="D1539" s="138" t="s">
        <v>424</v>
      </c>
      <c r="E1539" s="28">
        <v>0.93522609999999995</v>
      </c>
      <c r="F1539" s="13"/>
      <c r="G1539" s="18">
        <v>11829797.539999999</v>
      </c>
      <c r="H1539" s="18">
        <v>11063535.41</v>
      </c>
      <c r="I1539" s="18">
        <v>11829797.539999999</v>
      </c>
      <c r="J1539" s="18">
        <v>11063535.41</v>
      </c>
      <c r="K1539" s="15">
        <v>30895</v>
      </c>
      <c r="L1539" s="13" t="s">
        <v>102</v>
      </c>
      <c r="M1539" s="13" t="s">
        <v>103</v>
      </c>
      <c r="N1539" s="138" t="s">
        <v>341</v>
      </c>
      <c r="O1539" s="138" t="s">
        <v>341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1939</v>
      </c>
      <c r="V1539" s="13" t="s">
        <v>1939</v>
      </c>
      <c r="W1539" s="59">
        <f>+J1539/$W$2</f>
        <v>1.810666385650358E-4</v>
      </c>
    </row>
    <row r="1540" spans="1:29">
      <c r="A1540" s="13" t="s">
        <v>405</v>
      </c>
      <c r="B1540" s="13" t="s">
        <v>404</v>
      </c>
      <c r="C1540" s="138">
        <v>46339</v>
      </c>
      <c r="D1540" s="138" t="s">
        <v>424</v>
      </c>
      <c r="E1540" s="28">
        <v>0.93445982999999999</v>
      </c>
      <c r="F1540" s="13"/>
      <c r="G1540" s="18">
        <v>3000000</v>
      </c>
      <c r="H1540" s="18">
        <v>2803379.49</v>
      </c>
      <c r="I1540" s="18">
        <v>3000000</v>
      </c>
      <c r="J1540" s="18">
        <v>2803379.49</v>
      </c>
      <c r="K1540" s="15">
        <v>1055</v>
      </c>
      <c r="L1540" s="13" t="s">
        <v>102</v>
      </c>
      <c r="M1540" s="13" t="s">
        <v>103</v>
      </c>
      <c r="N1540" s="138" t="s">
        <v>424</v>
      </c>
      <c r="O1540" s="138" t="s">
        <v>424</v>
      </c>
      <c r="P1540" s="28">
        <v>32</v>
      </c>
      <c r="Q1540" s="13" t="s">
        <v>54</v>
      </c>
      <c r="R1540" s="13" t="s">
        <v>28</v>
      </c>
      <c r="S1540" s="13"/>
      <c r="T1540" s="13"/>
      <c r="U1540" s="13" t="s">
        <v>2620</v>
      </c>
      <c r="V1540" s="13" t="s">
        <v>2620</v>
      </c>
      <c r="W1540" s="59">
        <f>+J1540/$W$2</f>
        <v>4.5880316017035681E-5</v>
      </c>
    </row>
    <row r="1541" spans="1:29">
      <c r="A1541" s="13" t="s">
        <v>285</v>
      </c>
      <c r="B1541" s="13" t="s">
        <v>404</v>
      </c>
      <c r="C1541" s="138">
        <v>46339</v>
      </c>
      <c r="D1541" s="138" t="s">
        <v>424</v>
      </c>
      <c r="E1541" s="28">
        <v>0.94608612000000003</v>
      </c>
      <c r="F1541" s="13"/>
      <c r="G1541" s="18">
        <v>15000000</v>
      </c>
      <c r="H1541" s="18">
        <v>14191291.77</v>
      </c>
      <c r="I1541" s="18">
        <v>15000000</v>
      </c>
      <c r="J1541" s="18">
        <v>14191291.77</v>
      </c>
      <c r="K1541" s="15">
        <v>9621094</v>
      </c>
      <c r="L1541" s="13" t="s">
        <v>102</v>
      </c>
      <c r="M1541" s="13" t="s">
        <v>103</v>
      </c>
      <c r="N1541" s="138" t="s">
        <v>339</v>
      </c>
      <c r="O1541" s="138" t="s">
        <v>339</v>
      </c>
      <c r="P1541" s="28">
        <v>26</v>
      </c>
      <c r="Q1541" s="13" t="s">
        <v>54</v>
      </c>
      <c r="R1541" s="13" t="s">
        <v>28</v>
      </c>
      <c r="S1541" s="13"/>
      <c r="T1541" s="13"/>
      <c r="U1541" s="13" t="s">
        <v>1589</v>
      </c>
      <c r="V1541" s="13" t="s">
        <v>1589</v>
      </c>
      <c r="W1541" s="59">
        <f>+J1541/$W$2</f>
        <v>2.322557304211274E-4</v>
      </c>
    </row>
    <row r="1542" spans="1:29">
      <c r="A1542" s="13" t="s">
        <v>405</v>
      </c>
      <c r="B1542" s="13" t="s">
        <v>404</v>
      </c>
      <c r="C1542" s="138">
        <v>46339</v>
      </c>
      <c r="D1542" s="138" t="s">
        <v>424</v>
      </c>
      <c r="E1542" s="28">
        <v>0.93254994000000002</v>
      </c>
      <c r="F1542" s="13"/>
      <c r="G1542" s="18">
        <v>2500000</v>
      </c>
      <c r="H1542" s="18">
        <v>2331374.85</v>
      </c>
      <c r="I1542" s="18">
        <v>2500000</v>
      </c>
      <c r="J1542" s="18">
        <v>2331374.85</v>
      </c>
      <c r="K1542" s="15">
        <v>1018</v>
      </c>
      <c r="L1542" s="13" t="s">
        <v>102</v>
      </c>
      <c r="M1542" s="13" t="s">
        <v>103</v>
      </c>
      <c r="N1542" s="138" t="s">
        <v>170</v>
      </c>
      <c r="O1542" s="138" t="s">
        <v>170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2478</v>
      </c>
      <c r="V1542" s="13" t="s">
        <v>2478</v>
      </c>
      <c r="W1542" s="59">
        <f>+J1542/$W$2</f>
        <v>3.8155453178466809E-5</v>
      </c>
    </row>
    <row r="1543" spans="1:29">
      <c r="A1543" s="13" t="s">
        <v>229</v>
      </c>
      <c r="B1543" s="13" t="s">
        <v>404</v>
      </c>
      <c r="C1543" s="138">
        <v>46339</v>
      </c>
      <c r="D1543" s="138" t="s">
        <v>424</v>
      </c>
      <c r="E1543" s="28">
        <v>0.93445993000000005</v>
      </c>
      <c r="F1543" s="13"/>
      <c r="G1543" s="18">
        <v>50000000</v>
      </c>
      <c r="H1543" s="18">
        <v>46722996.490000002</v>
      </c>
      <c r="I1543" s="18">
        <v>50000000</v>
      </c>
      <c r="J1543" s="18">
        <v>46722996.490000002</v>
      </c>
      <c r="K1543" s="15">
        <v>5165</v>
      </c>
      <c r="L1543" s="13" t="s">
        <v>102</v>
      </c>
      <c r="M1543" s="13" t="s">
        <v>103</v>
      </c>
      <c r="N1543" s="138" t="s">
        <v>441</v>
      </c>
      <c r="O1543" s="138" t="s">
        <v>441</v>
      </c>
      <c r="P1543" s="28">
        <v>32</v>
      </c>
      <c r="Q1543" s="13" t="s">
        <v>54</v>
      </c>
      <c r="R1543" s="13" t="s">
        <v>28</v>
      </c>
      <c r="S1543" s="13"/>
      <c r="T1543" s="13"/>
      <c r="U1543" s="13" t="s">
        <v>2294</v>
      </c>
      <c r="V1543" s="13" t="s">
        <v>2294</v>
      </c>
      <c r="W1543" s="59">
        <f>+J1543/$W$2</f>
        <v>7.6467201528397036E-4</v>
      </c>
    </row>
    <row r="1544" spans="1:29">
      <c r="A1544" s="13" t="s">
        <v>2511</v>
      </c>
      <c r="B1544" s="13" t="s">
        <v>404</v>
      </c>
      <c r="C1544" s="138">
        <v>46339</v>
      </c>
      <c r="D1544" s="138" t="s">
        <v>424</v>
      </c>
      <c r="E1544" s="28">
        <v>0.93254994000000002</v>
      </c>
      <c r="F1544" s="13"/>
      <c r="G1544" s="18">
        <v>100071435.06999999</v>
      </c>
      <c r="H1544" s="18">
        <v>93321610.510000005</v>
      </c>
      <c r="I1544" s="18">
        <v>100071435.06999999</v>
      </c>
      <c r="J1544" s="18">
        <v>93321610.510000005</v>
      </c>
      <c r="K1544" s="15">
        <v>10434104</v>
      </c>
      <c r="L1544" s="13" t="s">
        <v>102</v>
      </c>
      <c r="M1544" s="13" t="s">
        <v>103</v>
      </c>
      <c r="N1544" s="138" t="s">
        <v>170</v>
      </c>
      <c r="O1544" s="138" t="s">
        <v>170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2501</v>
      </c>
      <c r="V1544" s="13" t="s">
        <v>2501</v>
      </c>
      <c r="W1544" s="59">
        <f>+J1544/$W$2</f>
        <v>1.5273083778670003E-3</v>
      </c>
    </row>
    <row r="1545" spans="1:29">
      <c r="A1545" s="13" t="s">
        <v>413</v>
      </c>
      <c r="B1545" s="13" t="s">
        <v>404</v>
      </c>
      <c r="C1545" s="138">
        <v>46339</v>
      </c>
      <c r="D1545" s="138" t="s">
        <v>424</v>
      </c>
      <c r="E1545" s="28">
        <v>0.93445984999999998</v>
      </c>
      <c r="F1545" s="13"/>
      <c r="G1545" s="18">
        <v>3742647.36</v>
      </c>
      <c r="H1545" s="18">
        <v>3497353.68</v>
      </c>
      <c r="I1545" s="18">
        <v>3742647.36</v>
      </c>
      <c r="J1545" s="18">
        <v>3497353.68</v>
      </c>
      <c r="K1545" s="15">
        <v>10559629</v>
      </c>
      <c r="L1545" s="13" t="s">
        <v>102</v>
      </c>
      <c r="M1545" s="13" t="s">
        <v>103</v>
      </c>
      <c r="N1545" s="138" t="s">
        <v>341</v>
      </c>
      <c r="O1545" s="138" t="s">
        <v>341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1938</v>
      </c>
      <c r="V1545" s="13" t="s">
        <v>1938</v>
      </c>
      <c r="W1545" s="59">
        <f>+J1545/$W$2</f>
        <v>5.7237948923476886E-5</v>
      </c>
    </row>
    <row r="1546" spans="1:29">
      <c r="A1546" s="13" t="s">
        <v>413</v>
      </c>
      <c r="B1546" s="13" t="s">
        <v>404</v>
      </c>
      <c r="C1546" s="138">
        <v>46339</v>
      </c>
      <c r="D1546" s="138" t="s">
        <v>424</v>
      </c>
      <c r="E1546" s="28">
        <v>0.93445986000000003</v>
      </c>
      <c r="F1546" s="13"/>
      <c r="G1546" s="18">
        <v>11829797.539999999</v>
      </c>
      <c r="H1546" s="18">
        <v>11054470.9</v>
      </c>
      <c r="I1546" s="18">
        <v>11829797.539999999</v>
      </c>
      <c r="J1546" s="18">
        <v>11054470.9</v>
      </c>
      <c r="K1546" s="15">
        <v>30896</v>
      </c>
      <c r="L1546" s="13" t="s">
        <v>102</v>
      </c>
      <c r="M1546" s="13" t="s">
        <v>103</v>
      </c>
      <c r="N1546" s="138" t="s">
        <v>341</v>
      </c>
      <c r="O1546" s="138" t="s">
        <v>341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1940</v>
      </c>
      <c r="V1546" s="13" t="s">
        <v>1940</v>
      </c>
      <c r="W1546" s="59">
        <f>+J1546/$W$2</f>
        <v>1.8091828812414007E-4</v>
      </c>
    </row>
    <row r="1547" spans="1:29">
      <c r="A1547" s="13" t="s">
        <v>413</v>
      </c>
      <c r="B1547" s="13" t="s">
        <v>404</v>
      </c>
      <c r="C1547" s="138">
        <v>46339</v>
      </c>
      <c r="D1547" s="138" t="s">
        <v>424</v>
      </c>
      <c r="E1547" s="28">
        <v>0.93445986000000003</v>
      </c>
      <c r="F1547" s="13"/>
      <c r="G1547" s="18">
        <v>11490967.439999999</v>
      </c>
      <c r="H1547" s="18">
        <v>10737847.77</v>
      </c>
      <c r="I1547" s="18">
        <v>11490967.439999999</v>
      </c>
      <c r="J1547" s="18">
        <v>10737847.77</v>
      </c>
      <c r="K1547" s="15">
        <v>30906</v>
      </c>
      <c r="L1547" s="13" t="s">
        <v>102</v>
      </c>
      <c r="M1547" s="13" t="s">
        <v>103</v>
      </c>
      <c r="N1547" s="138" t="s">
        <v>341</v>
      </c>
      <c r="O1547" s="138" t="s">
        <v>341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1941</v>
      </c>
      <c r="V1547" s="13" t="s">
        <v>1941</v>
      </c>
      <c r="W1547" s="59">
        <f>+J1547/$W$2</f>
        <v>1.757364105672407E-4</v>
      </c>
    </row>
    <row r="1548" spans="1:29">
      <c r="A1548" s="13" t="s">
        <v>413</v>
      </c>
      <c r="B1548" s="13" t="s">
        <v>404</v>
      </c>
      <c r="C1548" s="138">
        <v>46339</v>
      </c>
      <c r="D1548" s="138" t="s">
        <v>424</v>
      </c>
      <c r="E1548" s="28">
        <v>0.93445986000000003</v>
      </c>
      <c r="F1548" s="13"/>
      <c r="G1548" s="18">
        <v>11229494.109999999</v>
      </c>
      <c r="H1548" s="18">
        <v>10493511.439999999</v>
      </c>
      <c r="I1548" s="18">
        <v>11229494.109999999</v>
      </c>
      <c r="J1548" s="18">
        <v>10493511.439999999</v>
      </c>
      <c r="K1548" s="15">
        <v>30919</v>
      </c>
      <c r="L1548" s="13" t="s">
        <v>102</v>
      </c>
      <c r="M1548" s="13" t="s">
        <v>103</v>
      </c>
      <c r="N1548" s="138" t="s">
        <v>341</v>
      </c>
      <c r="O1548" s="138" t="s">
        <v>341</v>
      </c>
      <c r="P1548" s="28">
        <v>32</v>
      </c>
      <c r="Q1548" s="13" t="s">
        <v>54</v>
      </c>
      <c r="R1548" s="13" t="s">
        <v>28</v>
      </c>
      <c r="S1548" s="13"/>
      <c r="T1548" s="13"/>
      <c r="U1548" s="13" t="s">
        <v>1942</v>
      </c>
      <c r="V1548" s="13" t="s">
        <v>1942</v>
      </c>
      <c r="W1548" s="59">
        <f>+J1548/$W$2</f>
        <v>1.7173758412407416E-4</v>
      </c>
    </row>
    <row r="1549" spans="1:29">
      <c r="A1549" s="13" t="s">
        <v>519</v>
      </c>
      <c r="B1549" s="13" t="s">
        <v>404</v>
      </c>
      <c r="C1549" s="138">
        <v>46342</v>
      </c>
      <c r="D1549" s="138" t="s">
        <v>424</v>
      </c>
      <c r="E1549" s="28">
        <v>0.93019702000000004</v>
      </c>
      <c r="F1549" s="13"/>
      <c r="G1549" s="18">
        <v>4069364.15</v>
      </c>
      <c r="H1549" s="18">
        <v>3785310.39</v>
      </c>
      <c r="I1549" s="18">
        <v>4069364.15</v>
      </c>
      <c r="J1549" s="18">
        <v>3785310.39</v>
      </c>
      <c r="K1549" s="15">
        <v>39543</v>
      </c>
      <c r="L1549" s="13" t="s">
        <v>102</v>
      </c>
      <c r="M1549" s="13" t="s">
        <v>103</v>
      </c>
      <c r="N1549" s="138" t="s">
        <v>484</v>
      </c>
      <c r="O1549" s="138" t="s">
        <v>484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2065</v>
      </c>
      <c r="V1549" s="13" t="s">
        <v>2065</v>
      </c>
      <c r="W1549" s="59">
        <f>+J1549/$W$2</f>
        <v>6.1950669731042585E-5</v>
      </c>
    </row>
    <row r="1550" spans="1:29">
      <c r="A1550" s="13" t="s">
        <v>744</v>
      </c>
      <c r="B1550" s="13" t="s">
        <v>404</v>
      </c>
      <c r="C1550" s="138">
        <v>46342</v>
      </c>
      <c r="D1550" s="138" t="s">
        <v>424</v>
      </c>
      <c r="E1550" s="28">
        <v>0.91853952000000005</v>
      </c>
      <c r="F1550" s="13"/>
      <c r="G1550" s="18">
        <v>3750000</v>
      </c>
      <c r="H1550" s="18">
        <v>3444523.18</v>
      </c>
      <c r="I1550" s="18">
        <v>3750000</v>
      </c>
      <c r="J1550" s="18">
        <v>3444523.18</v>
      </c>
      <c r="K1550" s="15">
        <v>66918897</v>
      </c>
      <c r="L1550" s="13" t="s">
        <v>102</v>
      </c>
      <c r="M1550" s="13" t="s">
        <v>103</v>
      </c>
      <c r="N1550" s="138" t="s">
        <v>322</v>
      </c>
      <c r="O1550" s="138" t="s">
        <v>322</v>
      </c>
      <c r="P1550" s="28">
        <v>39</v>
      </c>
      <c r="Q1550" s="13" t="s">
        <v>54</v>
      </c>
      <c r="R1550" s="13" t="s">
        <v>28</v>
      </c>
      <c r="S1550" s="13"/>
      <c r="T1550" s="13"/>
      <c r="U1550" s="13" t="s">
        <v>733</v>
      </c>
      <c r="V1550" s="13" t="s">
        <v>733</v>
      </c>
      <c r="W1550" s="59">
        <f>+J1550/$W$2</f>
        <v>5.6373321054155494E-5</v>
      </c>
    </row>
    <row r="1551" spans="1:29">
      <c r="A1551" s="13" t="s">
        <v>405</v>
      </c>
      <c r="B1551" s="13" t="s">
        <v>404</v>
      </c>
      <c r="C1551" s="138">
        <v>46342</v>
      </c>
      <c r="D1551" s="138" t="s">
        <v>424</v>
      </c>
      <c r="E1551" s="28">
        <v>0.93216882999999995</v>
      </c>
      <c r="F1551" s="13"/>
      <c r="G1551" s="18">
        <v>3000000</v>
      </c>
      <c r="H1551" s="18">
        <v>2796506.5</v>
      </c>
      <c r="I1551" s="18">
        <v>3000000</v>
      </c>
      <c r="J1551" s="18">
        <v>2796506.5</v>
      </c>
      <c r="K1551" s="15">
        <v>1056</v>
      </c>
      <c r="L1551" s="13" t="s">
        <v>102</v>
      </c>
      <c r="M1551" s="13" t="s">
        <v>103</v>
      </c>
      <c r="N1551" s="138" t="s">
        <v>424</v>
      </c>
      <c r="O1551" s="138" t="s">
        <v>424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2621</v>
      </c>
      <c r="V1551" s="13" t="s">
        <v>2621</v>
      </c>
      <c r="W1551" s="59">
        <f>+J1551/$W$2</f>
        <v>4.5767832154502347E-5</v>
      </c>
      <c r="AC1551" s="56"/>
    </row>
    <row r="1552" spans="1:29">
      <c r="A1552" s="13" t="s">
        <v>285</v>
      </c>
      <c r="B1552" s="13" t="s">
        <v>404</v>
      </c>
      <c r="C1552" s="138">
        <v>46342</v>
      </c>
      <c r="D1552" s="138" t="s">
        <v>424</v>
      </c>
      <c r="E1552" s="28">
        <v>0.93613753</v>
      </c>
      <c r="F1552" s="13"/>
      <c r="G1552" s="18">
        <v>40000000</v>
      </c>
      <c r="H1552" s="18">
        <v>37445501.159999996</v>
      </c>
      <c r="I1552" s="18">
        <v>40000000</v>
      </c>
      <c r="J1552" s="18">
        <v>37445501.159999996</v>
      </c>
      <c r="K1552" s="15">
        <v>4374</v>
      </c>
      <c r="L1552" s="13" t="s">
        <v>102</v>
      </c>
      <c r="M1552" s="13" t="s">
        <v>103</v>
      </c>
      <c r="N1552" s="138" t="s">
        <v>342</v>
      </c>
      <c r="O1552" s="138" t="s">
        <v>342</v>
      </c>
      <c r="P1552" s="28">
        <v>30</v>
      </c>
      <c r="Q1552" s="13" t="s">
        <v>54</v>
      </c>
      <c r="R1552" s="13" t="s">
        <v>28</v>
      </c>
      <c r="S1552" s="13"/>
      <c r="T1552" s="13"/>
      <c r="U1552" s="13" t="s">
        <v>2405</v>
      </c>
      <c r="V1552" s="13" t="s">
        <v>2405</v>
      </c>
      <c r="W1552" s="59">
        <f>+J1552/$W$2</f>
        <v>6.1283584072917502E-4</v>
      </c>
    </row>
    <row r="1553" spans="1:29">
      <c r="A1553" s="13" t="s">
        <v>405</v>
      </c>
      <c r="B1553" s="13" t="s">
        <v>404</v>
      </c>
      <c r="C1553" s="138">
        <v>46342</v>
      </c>
      <c r="D1553" s="138" t="s">
        <v>424</v>
      </c>
      <c r="E1553" s="28">
        <v>0.93613747999999997</v>
      </c>
      <c r="F1553" s="13"/>
      <c r="G1553" s="18">
        <v>2500000</v>
      </c>
      <c r="H1553" s="18">
        <v>2340343.71</v>
      </c>
      <c r="I1553" s="18">
        <v>2500000</v>
      </c>
      <c r="J1553" s="18">
        <v>2340343.71</v>
      </c>
      <c r="K1553" s="15">
        <v>889</v>
      </c>
      <c r="L1553" s="13" t="s">
        <v>102</v>
      </c>
      <c r="M1553" s="13" t="s">
        <v>103</v>
      </c>
      <c r="N1553" s="138" t="s">
        <v>484</v>
      </c>
      <c r="O1553" s="138" t="s">
        <v>484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2083</v>
      </c>
      <c r="V1553" s="13" t="s">
        <v>2083</v>
      </c>
      <c r="W1553" s="59">
        <f>+J1553/$W$2</f>
        <v>3.8302238204390125E-5</v>
      </c>
      <c r="AC1553" s="56"/>
    </row>
    <row r="1554" spans="1:29">
      <c r="A1554" s="13" t="s">
        <v>405</v>
      </c>
      <c r="B1554" s="13" t="s">
        <v>404</v>
      </c>
      <c r="C1554" s="138">
        <v>46342</v>
      </c>
      <c r="D1554" s="138" t="s">
        <v>424</v>
      </c>
      <c r="E1554" s="28">
        <v>0.93019715999999997</v>
      </c>
      <c r="F1554" s="13"/>
      <c r="G1554" s="18">
        <v>2500000</v>
      </c>
      <c r="H1554" s="18">
        <v>2325492.91</v>
      </c>
      <c r="I1554" s="18">
        <v>2500000</v>
      </c>
      <c r="J1554" s="18">
        <v>2325492.91</v>
      </c>
      <c r="K1554" s="15">
        <v>1019</v>
      </c>
      <c r="L1554" s="13" t="s">
        <v>102</v>
      </c>
      <c r="M1554" s="13" t="s">
        <v>103</v>
      </c>
      <c r="N1554" s="138" t="s">
        <v>170</v>
      </c>
      <c r="O1554" s="138" t="s">
        <v>170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2479</v>
      </c>
      <c r="V1554" s="13" t="s">
        <v>2479</v>
      </c>
      <c r="W1554" s="59">
        <f>+J1554/$W$2</f>
        <v>3.8059188913512359E-5</v>
      </c>
    </row>
    <row r="1555" spans="1:29">
      <c r="A1555" s="13" t="s">
        <v>1884</v>
      </c>
      <c r="B1555" s="13" t="s">
        <v>404</v>
      </c>
      <c r="C1555" s="138">
        <v>46342</v>
      </c>
      <c r="D1555" s="138" t="s">
        <v>424</v>
      </c>
      <c r="E1555" s="28">
        <v>0.93019711999999999</v>
      </c>
      <c r="F1555" s="13"/>
      <c r="G1555" s="18">
        <v>5468322.6299999999</v>
      </c>
      <c r="H1555" s="18">
        <v>5086617.9800000004</v>
      </c>
      <c r="I1555" s="18">
        <v>5468322.6299999999</v>
      </c>
      <c r="J1555" s="18">
        <v>5086617.9800000004</v>
      </c>
      <c r="K1555" s="15">
        <v>762870</v>
      </c>
      <c r="L1555" s="13" t="s">
        <v>102</v>
      </c>
      <c r="M1555" s="13" t="s">
        <v>103</v>
      </c>
      <c r="N1555" s="138" t="s">
        <v>388</v>
      </c>
      <c r="O1555" s="138" t="s">
        <v>388</v>
      </c>
      <c r="P1555" s="28">
        <v>33</v>
      </c>
      <c r="Q1555" s="13" t="s">
        <v>54</v>
      </c>
      <c r="R1555" s="13" t="s">
        <v>28</v>
      </c>
      <c r="S1555" s="13"/>
      <c r="T1555" s="13"/>
      <c r="U1555" s="13" t="s">
        <v>1873</v>
      </c>
      <c r="V1555" s="13" t="s">
        <v>1873</v>
      </c>
      <c r="W1555" s="59">
        <f>+J1555/$W$2</f>
        <v>8.3247965968508847E-5</v>
      </c>
    </row>
    <row r="1556" spans="1:29">
      <c r="A1556" s="13" t="s">
        <v>2362</v>
      </c>
      <c r="B1556" s="13" t="s">
        <v>404</v>
      </c>
      <c r="C1556" s="138">
        <v>46342</v>
      </c>
      <c r="D1556" s="138" t="s">
        <v>424</v>
      </c>
      <c r="E1556" s="28">
        <v>0.93019706000000002</v>
      </c>
      <c r="F1556" s="13"/>
      <c r="G1556" s="18">
        <v>25000000</v>
      </c>
      <c r="H1556" s="18">
        <v>23254926.52</v>
      </c>
      <c r="I1556" s="18">
        <v>25000000</v>
      </c>
      <c r="J1556" s="18">
        <v>23254926.52</v>
      </c>
      <c r="K1556" s="15">
        <v>90016069</v>
      </c>
      <c r="L1556" s="13" t="s">
        <v>102</v>
      </c>
      <c r="M1556" s="13" t="s">
        <v>103</v>
      </c>
      <c r="N1556" s="138" t="s">
        <v>342</v>
      </c>
      <c r="O1556" s="138" t="s">
        <v>342</v>
      </c>
      <c r="P1556" s="28">
        <v>33</v>
      </c>
      <c r="Q1556" s="13" t="s">
        <v>54</v>
      </c>
      <c r="R1556" s="13" t="s">
        <v>28</v>
      </c>
      <c r="S1556" s="13"/>
      <c r="T1556" s="13"/>
      <c r="U1556" s="13" t="s">
        <v>2364</v>
      </c>
      <c r="V1556" s="13" t="s">
        <v>2364</v>
      </c>
      <c r="W1556" s="59">
        <f>+J1556/$W$2</f>
        <v>3.8059184691065278E-4</v>
      </c>
    </row>
    <row r="1557" spans="1:29">
      <c r="A1557" s="13" t="s">
        <v>2511</v>
      </c>
      <c r="B1557" s="13" t="s">
        <v>404</v>
      </c>
      <c r="C1557" s="138">
        <v>46342</v>
      </c>
      <c r="D1557" s="138" t="s">
        <v>424</v>
      </c>
      <c r="E1557" s="28">
        <v>0.93216882999999995</v>
      </c>
      <c r="F1557" s="13"/>
      <c r="G1557" s="18">
        <v>38054448.590000004</v>
      </c>
      <c r="H1557" s="18">
        <v>35473170.969999999</v>
      </c>
      <c r="I1557" s="18">
        <v>38054448.590000004</v>
      </c>
      <c r="J1557" s="18">
        <v>35473170.969999999</v>
      </c>
      <c r="K1557" s="15">
        <v>10434108</v>
      </c>
      <c r="L1557" s="13" t="s">
        <v>102</v>
      </c>
      <c r="M1557" s="13" t="s">
        <v>103</v>
      </c>
      <c r="N1557" s="138" t="s">
        <v>424</v>
      </c>
      <c r="O1557" s="138" t="s">
        <v>424</v>
      </c>
      <c r="P1557" s="28">
        <v>32</v>
      </c>
      <c r="Q1557" s="13" t="s">
        <v>54</v>
      </c>
      <c r="R1557" s="13" t="s">
        <v>28</v>
      </c>
      <c r="S1557" s="13"/>
      <c r="T1557" s="13"/>
      <c r="U1557" s="13" t="s">
        <v>2664</v>
      </c>
      <c r="V1557" s="13" t="s">
        <v>2664</v>
      </c>
      <c r="W1557" s="59">
        <f>+J1557/$W$2</f>
        <v>5.8055653900426307E-4</v>
      </c>
    </row>
    <row r="1558" spans="1:29">
      <c r="A1558" s="13" t="s">
        <v>413</v>
      </c>
      <c r="B1558" s="13" t="s">
        <v>404</v>
      </c>
      <c r="C1558" s="138">
        <v>46342</v>
      </c>
      <c r="D1558" s="138" t="s">
        <v>424</v>
      </c>
      <c r="E1558" s="28">
        <v>0.93216885000000005</v>
      </c>
      <c r="F1558" s="13"/>
      <c r="G1558" s="18">
        <v>11829797.539999999</v>
      </c>
      <c r="H1558" s="18">
        <v>11027368.74</v>
      </c>
      <c r="I1558" s="18">
        <v>11829797.539999999</v>
      </c>
      <c r="J1558" s="18">
        <v>11027368.74</v>
      </c>
      <c r="K1558" s="15">
        <v>30897</v>
      </c>
      <c r="L1558" s="13" t="s">
        <v>102</v>
      </c>
      <c r="M1558" s="13" t="s">
        <v>103</v>
      </c>
      <c r="N1558" s="138" t="s">
        <v>341</v>
      </c>
      <c r="O1558" s="138" t="s">
        <v>341</v>
      </c>
      <c r="P1558" s="28">
        <v>32</v>
      </c>
      <c r="Q1558" s="13" t="s">
        <v>54</v>
      </c>
      <c r="R1558" s="13" t="s">
        <v>28</v>
      </c>
      <c r="S1558" s="13"/>
      <c r="T1558" s="13"/>
      <c r="U1558" s="13" t="s">
        <v>1943</v>
      </c>
      <c r="V1558" s="13" t="s">
        <v>1943</v>
      </c>
      <c r="W1558" s="59">
        <f>+J1558/$W$2</f>
        <v>1.8047473216962879E-4</v>
      </c>
    </row>
    <row r="1559" spans="1:29">
      <c r="A1559" s="13" t="s">
        <v>413</v>
      </c>
      <c r="B1559" s="13" t="s">
        <v>404</v>
      </c>
      <c r="C1559" s="138">
        <v>46342</v>
      </c>
      <c r="D1559" s="138" t="s">
        <v>424</v>
      </c>
      <c r="E1559" s="28">
        <v>0.93216885000000005</v>
      </c>
      <c r="F1559" s="13"/>
      <c r="G1559" s="18">
        <v>11229494.109999999</v>
      </c>
      <c r="H1559" s="18">
        <v>10467784.59</v>
      </c>
      <c r="I1559" s="18">
        <v>11229494.109999999</v>
      </c>
      <c r="J1559" s="18">
        <v>10467784.59</v>
      </c>
      <c r="K1559" s="15">
        <v>30920</v>
      </c>
      <c r="L1559" s="13" t="s">
        <v>102</v>
      </c>
      <c r="M1559" s="13" t="s">
        <v>103</v>
      </c>
      <c r="N1559" s="138" t="s">
        <v>341</v>
      </c>
      <c r="O1559" s="138" t="s">
        <v>341</v>
      </c>
      <c r="P1559" s="28">
        <v>32</v>
      </c>
      <c r="Q1559" s="13" t="s">
        <v>54</v>
      </c>
      <c r="R1559" s="13" t="s">
        <v>28</v>
      </c>
      <c r="S1559" s="13"/>
      <c r="T1559" s="13"/>
      <c r="U1559" s="13" t="s">
        <v>1944</v>
      </c>
      <c r="V1559" s="13" t="s">
        <v>1944</v>
      </c>
      <c r="W1559" s="59">
        <f>+J1559/$W$2</f>
        <v>1.7131653659471422E-4</v>
      </c>
    </row>
    <row r="1560" spans="1:29">
      <c r="A1560" s="13" t="s">
        <v>413</v>
      </c>
      <c r="B1560" s="13" t="s">
        <v>404</v>
      </c>
      <c r="C1560" s="138">
        <v>46342</v>
      </c>
      <c r="D1560" s="138" t="s">
        <v>424</v>
      </c>
      <c r="E1560" s="28">
        <v>0.93216885000000005</v>
      </c>
      <c r="F1560" s="13"/>
      <c r="G1560" s="18">
        <v>11490967.439999999</v>
      </c>
      <c r="H1560" s="18">
        <v>10711521.880000001</v>
      </c>
      <c r="I1560" s="18">
        <v>11490967.439999999</v>
      </c>
      <c r="J1560" s="18">
        <v>10711521.880000001</v>
      </c>
      <c r="K1560" s="15">
        <v>30907</v>
      </c>
      <c r="L1560" s="13" t="s">
        <v>102</v>
      </c>
      <c r="M1560" s="13" t="s">
        <v>103</v>
      </c>
      <c r="N1560" s="138" t="s">
        <v>341</v>
      </c>
      <c r="O1560" s="138" t="s">
        <v>341</v>
      </c>
      <c r="P1560" s="28">
        <v>32</v>
      </c>
      <c r="Q1560" s="13" t="s">
        <v>54</v>
      </c>
      <c r="R1560" s="13" t="s">
        <v>28</v>
      </c>
      <c r="S1560" s="13"/>
      <c r="T1560" s="13"/>
      <c r="U1560" s="13" t="s">
        <v>1945</v>
      </c>
      <c r="V1560" s="13" t="s">
        <v>1945</v>
      </c>
      <c r="W1560" s="59">
        <f>+J1560/$W$2</f>
        <v>1.7530555910494735E-4</v>
      </c>
    </row>
    <row r="1561" spans="1:29">
      <c r="A1561" s="13" t="s">
        <v>426</v>
      </c>
      <c r="B1561" s="13" t="s">
        <v>404</v>
      </c>
      <c r="C1561" s="138">
        <v>46343</v>
      </c>
      <c r="D1561" s="138" t="s">
        <v>424</v>
      </c>
      <c r="E1561" s="28">
        <v>0.92348962000000001</v>
      </c>
      <c r="F1561" s="13"/>
      <c r="G1561" s="18">
        <v>9450000</v>
      </c>
      <c r="H1561" s="18">
        <v>8726976.8900000006</v>
      </c>
      <c r="I1561" s="18">
        <v>9450000</v>
      </c>
      <c r="J1561" s="18">
        <v>8726976.8900000006</v>
      </c>
      <c r="K1561" s="15">
        <v>66335143</v>
      </c>
      <c r="L1561" s="13" t="s">
        <v>102</v>
      </c>
      <c r="M1561" s="13" t="s">
        <v>103</v>
      </c>
      <c r="N1561" s="138" t="s">
        <v>289</v>
      </c>
      <c r="O1561" s="138" t="s">
        <v>289</v>
      </c>
      <c r="P1561" s="28">
        <v>36</v>
      </c>
      <c r="Q1561" s="13" t="s">
        <v>54</v>
      </c>
      <c r="R1561" s="13" t="s">
        <v>28</v>
      </c>
      <c r="S1561" s="13"/>
      <c r="T1561" s="13"/>
      <c r="U1561" s="13" t="s">
        <v>569</v>
      </c>
      <c r="V1561" s="13" t="s">
        <v>569</v>
      </c>
      <c r="W1561" s="59">
        <f>+J1561/$W$2</f>
        <v>1.4282634906006509E-4</v>
      </c>
    </row>
    <row r="1562" spans="1:29">
      <c r="A1562" s="13" t="s">
        <v>516</v>
      </c>
      <c r="B1562" s="13" t="s">
        <v>127</v>
      </c>
      <c r="C1562" s="138">
        <v>46343</v>
      </c>
      <c r="D1562" s="138" t="s">
        <v>424</v>
      </c>
      <c r="E1562" s="28">
        <v>0.98192155999999997</v>
      </c>
      <c r="F1562" s="13" t="s">
        <v>2681</v>
      </c>
      <c r="G1562" s="18">
        <v>18230</v>
      </c>
      <c r="H1562" s="18">
        <v>17900.43</v>
      </c>
      <c r="I1562" s="18">
        <v>27555238.199999999</v>
      </c>
      <c r="J1562" s="18">
        <v>27057082.420000002</v>
      </c>
      <c r="K1562" s="15">
        <v>146446</v>
      </c>
      <c r="L1562" s="13" t="s">
        <v>102</v>
      </c>
      <c r="M1562" s="13" t="s">
        <v>103</v>
      </c>
      <c r="N1562" s="138" t="s">
        <v>316</v>
      </c>
      <c r="O1562" s="138" t="s">
        <v>316</v>
      </c>
      <c r="P1562" s="28">
        <v>8</v>
      </c>
      <c r="Q1562" s="13" t="s">
        <v>54</v>
      </c>
      <c r="R1562" s="13" t="s">
        <v>28</v>
      </c>
      <c r="S1562" s="13"/>
      <c r="T1562" s="13"/>
      <c r="U1562" s="13" t="s">
        <v>496</v>
      </c>
      <c r="V1562" s="13" t="s">
        <v>496</v>
      </c>
      <c r="W1562" s="59">
        <f>+J1562/$W$2</f>
        <v>4.428182115039233E-4</v>
      </c>
    </row>
    <row r="1563" spans="1:29">
      <c r="A1563" s="13" t="s">
        <v>517</v>
      </c>
      <c r="B1563" s="13" t="s">
        <v>404</v>
      </c>
      <c r="C1563" s="138">
        <v>46343</v>
      </c>
      <c r="D1563" s="138" t="s">
        <v>424</v>
      </c>
      <c r="E1563" s="28">
        <v>0.92743186</v>
      </c>
      <c r="F1563" s="13"/>
      <c r="G1563" s="18">
        <v>10000000</v>
      </c>
      <c r="H1563" s="18">
        <v>9274318.5500000007</v>
      </c>
      <c r="I1563" s="18">
        <v>10000000</v>
      </c>
      <c r="J1563" s="18">
        <v>9274318.5500000007</v>
      </c>
      <c r="K1563" s="15">
        <v>14284515</v>
      </c>
      <c r="L1563" s="13" t="s">
        <v>102</v>
      </c>
      <c r="M1563" s="13" t="s">
        <v>103</v>
      </c>
      <c r="N1563" s="138" t="s">
        <v>464</v>
      </c>
      <c r="O1563" s="138" t="s">
        <v>464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2541</v>
      </c>
      <c r="V1563" s="13" t="s">
        <v>2541</v>
      </c>
      <c r="W1563" s="59">
        <f>+J1563/$W$2</f>
        <v>1.5178418313842204E-4</v>
      </c>
    </row>
    <row r="1564" spans="1:29">
      <c r="A1564" s="13" t="s">
        <v>285</v>
      </c>
      <c r="B1564" s="13" t="s">
        <v>404</v>
      </c>
      <c r="C1564" s="138">
        <v>46343</v>
      </c>
      <c r="D1564" s="138" t="s">
        <v>424</v>
      </c>
      <c r="E1564" s="28">
        <v>0.93541795999999999</v>
      </c>
      <c r="F1564" s="13"/>
      <c r="G1564" s="18">
        <v>25000000</v>
      </c>
      <c r="H1564" s="18">
        <v>23385449</v>
      </c>
      <c r="I1564" s="18">
        <v>25000000</v>
      </c>
      <c r="J1564" s="18">
        <v>23385449</v>
      </c>
      <c r="K1564" s="15">
        <v>12742280</v>
      </c>
      <c r="L1564" s="13" t="s">
        <v>102</v>
      </c>
      <c r="M1564" s="13" t="s">
        <v>103</v>
      </c>
      <c r="N1564" s="138" t="s">
        <v>342</v>
      </c>
      <c r="O1564" s="138" t="s">
        <v>342</v>
      </c>
      <c r="P1564" s="28">
        <v>30</v>
      </c>
      <c r="Q1564" s="13" t="s">
        <v>54</v>
      </c>
      <c r="R1564" s="13" t="s">
        <v>28</v>
      </c>
      <c r="S1564" s="13"/>
      <c r="T1564" s="13"/>
      <c r="U1564" s="13" t="s">
        <v>2398</v>
      </c>
      <c r="V1564" s="13" t="s">
        <v>2398</v>
      </c>
      <c r="W1564" s="59">
        <f>+J1564/$W$2</f>
        <v>3.8272798746924951E-4</v>
      </c>
      <c r="AC1564" s="56"/>
    </row>
    <row r="1565" spans="1:29">
      <c r="A1565" s="13" t="s">
        <v>565</v>
      </c>
      <c r="B1565" s="13" t="s">
        <v>404</v>
      </c>
      <c r="C1565" s="138">
        <v>46343</v>
      </c>
      <c r="D1565" s="138" t="s">
        <v>424</v>
      </c>
      <c r="E1565" s="28">
        <v>0.94559585999999995</v>
      </c>
      <c r="F1565" s="13"/>
      <c r="G1565" s="18">
        <v>32000000</v>
      </c>
      <c r="H1565" s="18">
        <v>30259067.489999998</v>
      </c>
      <c r="I1565" s="18">
        <v>32000000</v>
      </c>
      <c r="J1565" s="18">
        <v>30259067.489999998</v>
      </c>
      <c r="K1565" s="15">
        <v>5314</v>
      </c>
      <c r="L1565" s="13" t="s">
        <v>102</v>
      </c>
      <c r="M1565" s="13" t="s">
        <v>103</v>
      </c>
      <c r="N1565" s="138" t="s">
        <v>346</v>
      </c>
      <c r="O1565" s="138" t="s">
        <v>346</v>
      </c>
      <c r="P1565" s="28">
        <v>25</v>
      </c>
      <c r="Q1565" s="13" t="s">
        <v>54</v>
      </c>
      <c r="R1565" s="13" t="s">
        <v>28</v>
      </c>
      <c r="S1565" s="13"/>
      <c r="T1565" s="13"/>
      <c r="U1565" s="13" t="s">
        <v>1522</v>
      </c>
      <c r="V1565" s="13" t="s">
        <v>1522</v>
      </c>
      <c r="W1565" s="59">
        <f>+J1565/$W$2</f>
        <v>4.9522213591639372E-4</v>
      </c>
    </row>
    <row r="1566" spans="1:29">
      <c r="A1566" s="13" t="s">
        <v>565</v>
      </c>
      <c r="B1566" s="13" t="s">
        <v>404</v>
      </c>
      <c r="C1566" s="138">
        <v>46343</v>
      </c>
      <c r="D1566" s="138" t="s">
        <v>424</v>
      </c>
      <c r="E1566" s="28">
        <v>0.93743589999999999</v>
      </c>
      <c r="F1566" s="13"/>
      <c r="G1566" s="18">
        <v>35000000</v>
      </c>
      <c r="H1566" s="18">
        <v>32810256.550000001</v>
      </c>
      <c r="I1566" s="18">
        <v>35000000</v>
      </c>
      <c r="J1566" s="18">
        <v>32810256.550000001</v>
      </c>
      <c r="K1566" s="15">
        <v>66</v>
      </c>
      <c r="L1566" s="13" t="s">
        <v>102</v>
      </c>
      <c r="M1566" s="13" t="s">
        <v>103</v>
      </c>
      <c r="N1566" s="138" t="s">
        <v>282</v>
      </c>
      <c r="O1566" s="138" t="s">
        <v>282</v>
      </c>
      <c r="P1566" s="28">
        <v>29</v>
      </c>
      <c r="Q1566" s="13" t="s">
        <v>54</v>
      </c>
      <c r="R1566" s="13" t="s">
        <v>28</v>
      </c>
      <c r="S1566" s="13"/>
      <c r="T1566" s="13"/>
      <c r="U1566" s="13" t="s">
        <v>826</v>
      </c>
      <c r="V1566" s="13" t="s">
        <v>826</v>
      </c>
      <c r="W1566" s="59">
        <f>+J1566/$W$2</f>
        <v>5.3697508470892572E-4</v>
      </c>
    </row>
    <row r="1567" spans="1:29">
      <c r="A1567" s="13" t="s">
        <v>405</v>
      </c>
      <c r="B1567" s="13" t="s">
        <v>404</v>
      </c>
      <c r="C1567" s="138">
        <v>46343</v>
      </c>
      <c r="D1567" s="138" t="s">
        <v>424</v>
      </c>
      <c r="E1567" s="28">
        <v>0.92941545000000003</v>
      </c>
      <c r="F1567" s="13"/>
      <c r="G1567" s="18">
        <v>2500000</v>
      </c>
      <c r="H1567" s="18">
        <v>2323538.62</v>
      </c>
      <c r="I1567" s="18">
        <v>2500000</v>
      </c>
      <c r="J1567" s="18">
        <v>2323538.62</v>
      </c>
      <c r="K1567" s="15">
        <v>1020</v>
      </c>
      <c r="L1567" s="13" t="s">
        <v>102</v>
      </c>
      <c r="M1567" s="13" t="s">
        <v>103</v>
      </c>
      <c r="N1567" s="138" t="s">
        <v>170</v>
      </c>
      <c r="O1567" s="138" t="s">
        <v>170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2480</v>
      </c>
      <c r="V1567" s="13" t="s">
        <v>2480</v>
      </c>
      <c r="W1567" s="59">
        <f>+J1567/$W$2</f>
        <v>3.8027204858870888E-5</v>
      </c>
    </row>
    <row r="1568" spans="1:29">
      <c r="A1568" s="13" t="s">
        <v>405</v>
      </c>
      <c r="B1568" s="13" t="s">
        <v>404</v>
      </c>
      <c r="C1568" s="138">
        <v>46343</v>
      </c>
      <c r="D1568" s="138" t="s">
        <v>424</v>
      </c>
      <c r="E1568" s="28">
        <v>0.93140785000000004</v>
      </c>
      <c r="F1568" s="13"/>
      <c r="G1568" s="18">
        <v>3000000</v>
      </c>
      <c r="H1568" s="18">
        <v>2794223.54</v>
      </c>
      <c r="I1568" s="18">
        <v>3000000</v>
      </c>
      <c r="J1568" s="18">
        <v>2794223.54</v>
      </c>
      <c r="K1568" s="15">
        <v>1057</v>
      </c>
      <c r="L1568" s="13" t="s">
        <v>102</v>
      </c>
      <c r="M1568" s="13" t="s">
        <v>103</v>
      </c>
      <c r="N1568" s="138" t="s">
        <v>424</v>
      </c>
      <c r="O1568" s="138" t="s">
        <v>424</v>
      </c>
      <c r="P1568" s="28">
        <v>32</v>
      </c>
      <c r="Q1568" s="13" t="s">
        <v>54</v>
      </c>
      <c r="R1568" s="13" t="s">
        <v>28</v>
      </c>
      <c r="S1568" s="13"/>
      <c r="T1568" s="13"/>
      <c r="U1568" s="13" t="s">
        <v>2607</v>
      </c>
      <c r="V1568" s="13" t="s">
        <v>2607</v>
      </c>
      <c r="W1568" s="59">
        <f>+J1568/$W$2</f>
        <v>4.5730469062338807E-5</v>
      </c>
    </row>
    <row r="1569" spans="1:29">
      <c r="A1569" s="13" t="s">
        <v>144</v>
      </c>
      <c r="B1569" s="13" t="s">
        <v>404</v>
      </c>
      <c r="C1569" s="138">
        <v>46343</v>
      </c>
      <c r="D1569" s="138" t="s">
        <v>424</v>
      </c>
      <c r="E1569" s="28">
        <v>0.92545657000000003</v>
      </c>
      <c r="F1569" s="13"/>
      <c r="G1569" s="18">
        <v>25000000</v>
      </c>
      <c r="H1569" s="18">
        <v>23136414.32</v>
      </c>
      <c r="I1569" s="18">
        <v>25000000</v>
      </c>
      <c r="J1569" s="18">
        <v>23136414.32</v>
      </c>
      <c r="K1569" s="15">
        <v>123</v>
      </c>
      <c r="L1569" s="13" t="s">
        <v>102</v>
      </c>
      <c r="M1569" s="13" t="s">
        <v>103</v>
      </c>
      <c r="N1569" s="138" t="s">
        <v>535</v>
      </c>
      <c r="O1569" s="138" t="s">
        <v>535</v>
      </c>
      <c r="P1569" s="28">
        <v>35</v>
      </c>
      <c r="Q1569" s="13" t="s">
        <v>54</v>
      </c>
      <c r="R1569" s="13" t="s">
        <v>28</v>
      </c>
      <c r="S1569" s="13"/>
      <c r="T1569" s="13"/>
      <c r="U1569" s="13" t="s">
        <v>2324</v>
      </c>
      <c r="V1569" s="13" t="s">
        <v>2324</v>
      </c>
      <c r="W1569" s="59">
        <f>+J1569/$W$2</f>
        <v>3.7865226748258393E-4</v>
      </c>
    </row>
    <row r="1570" spans="1:29">
      <c r="A1570" s="13" t="s">
        <v>2317</v>
      </c>
      <c r="B1570" s="13" t="s">
        <v>404</v>
      </c>
      <c r="C1570" s="138">
        <v>46343</v>
      </c>
      <c r="D1570" s="138" t="s">
        <v>424</v>
      </c>
      <c r="E1570" s="28">
        <v>0.93946267000000006</v>
      </c>
      <c r="F1570" s="13"/>
      <c r="G1570" s="18">
        <v>150000000</v>
      </c>
      <c r="H1570" s="18">
        <v>140919400.09999999</v>
      </c>
      <c r="I1570" s="18">
        <v>150000000</v>
      </c>
      <c r="J1570" s="18">
        <v>140919400.09999999</v>
      </c>
      <c r="K1570" s="15">
        <v>79</v>
      </c>
      <c r="L1570" s="13" t="s">
        <v>102</v>
      </c>
      <c r="M1570" s="13" t="s">
        <v>103</v>
      </c>
      <c r="N1570" s="138" t="s">
        <v>441</v>
      </c>
      <c r="O1570" s="138" t="s">
        <v>441</v>
      </c>
      <c r="P1570" s="28">
        <v>28</v>
      </c>
      <c r="Q1570" s="13" t="s">
        <v>54</v>
      </c>
      <c r="R1570" s="13" t="s">
        <v>28</v>
      </c>
      <c r="S1570" s="13"/>
      <c r="T1570" s="13"/>
      <c r="U1570" s="13" t="s">
        <v>2303</v>
      </c>
      <c r="V1570" s="13" t="s">
        <v>2303</v>
      </c>
      <c r="W1570" s="59">
        <f>+J1570/$W$2</f>
        <v>2.3062973217083389E-3</v>
      </c>
    </row>
    <row r="1571" spans="1:29">
      <c r="A1571" s="13" t="s">
        <v>1885</v>
      </c>
      <c r="B1571" s="13" t="s">
        <v>404</v>
      </c>
      <c r="C1571" s="138">
        <v>46343</v>
      </c>
      <c r="D1571" s="138" t="s">
        <v>424</v>
      </c>
      <c r="E1571" s="28">
        <v>0.92941543000000004</v>
      </c>
      <c r="F1571" s="13"/>
      <c r="G1571" s="18">
        <v>25000000</v>
      </c>
      <c r="H1571" s="18">
        <v>23235385.68</v>
      </c>
      <c r="I1571" s="18">
        <v>25000000</v>
      </c>
      <c r="J1571" s="18">
        <v>23235385.68</v>
      </c>
      <c r="K1571" s="15">
        <v>68636415</v>
      </c>
      <c r="L1571" s="13" t="s">
        <v>102</v>
      </c>
      <c r="M1571" s="13" t="s">
        <v>103</v>
      </c>
      <c r="N1571" s="138" t="s">
        <v>388</v>
      </c>
      <c r="O1571" s="138" t="s">
        <v>388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1875</v>
      </c>
      <c r="V1571" s="13" t="s">
        <v>1875</v>
      </c>
      <c r="W1571" s="59">
        <f>+J1571/$W$2</f>
        <v>3.8027204007835038E-4</v>
      </c>
    </row>
    <row r="1572" spans="1:29">
      <c r="A1572" s="13" t="s">
        <v>2581</v>
      </c>
      <c r="B1572" s="13" t="s">
        <v>404</v>
      </c>
      <c r="C1572" s="138">
        <v>46343</v>
      </c>
      <c r="D1572" s="138" t="s">
        <v>424</v>
      </c>
      <c r="E1572" s="28">
        <v>0.92545659999999996</v>
      </c>
      <c r="F1572" s="13"/>
      <c r="G1572" s="18">
        <v>3087576.27</v>
      </c>
      <c r="H1572" s="18">
        <v>2857417.84</v>
      </c>
      <c r="I1572" s="18">
        <v>3087576.27</v>
      </c>
      <c r="J1572" s="18">
        <v>2857417.84</v>
      </c>
      <c r="K1572" s="15">
        <v>1507</v>
      </c>
      <c r="L1572" s="13" t="s">
        <v>102</v>
      </c>
      <c r="M1572" s="13" t="s">
        <v>103</v>
      </c>
      <c r="N1572" s="138" t="s">
        <v>464</v>
      </c>
      <c r="O1572" s="138" t="s">
        <v>464</v>
      </c>
      <c r="P1572" s="28">
        <v>35</v>
      </c>
      <c r="Q1572" s="13" t="s">
        <v>54</v>
      </c>
      <c r="R1572" s="13" t="s">
        <v>28</v>
      </c>
      <c r="S1572" s="13"/>
      <c r="T1572" s="13"/>
      <c r="U1572" s="13" t="s">
        <v>2567</v>
      </c>
      <c r="V1572" s="13" t="s">
        <v>2567</v>
      </c>
      <c r="W1572" s="59">
        <f>+J1572/$W$2</f>
        <v>4.6764711648766285E-5</v>
      </c>
    </row>
    <row r="1573" spans="1:29">
      <c r="A1573" s="13" t="s">
        <v>979</v>
      </c>
      <c r="B1573" s="13" t="s">
        <v>404</v>
      </c>
      <c r="C1573" s="138">
        <v>46343</v>
      </c>
      <c r="D1573" s="138" t="s">
        <v>424</v>
      </c>
      <c r="E1573" s="28">
        <v>0.93140769000000001</v>
      </c>
      <c r="F1573" s="13"/>
      <c r="G1573" s="18">
        <v>15000000</v>
      </c>
      <c r="H1573" s="18">
        <v>13971115.279999999</v>
      </c>
      <c r="I1573" s="18">
        <v>15000000</v>
      </c>
      <c r="J1573" s="18">
        <v>13971115.279999999</v>
      </c>
      <c r="K1573" s="15">
        <v>67449055</v>
      </c>
      <c r="L1573" s="13" t="s">
        <v>102</v>
      </c>
      <c r="M1573" s="13" t="s">
        <v>103</v>
      </c>
      <c r="N1573" s="138" t="s">
        <v>304</v>
      </c>
      <c r="O1573" s="138" t="s">
        <v>304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976</v>
      </c>
      <c r="V1573" s="13" t="s">
        <v>976</v>
      </c>
      <c r="W1573" s="59">
        <f>+J1573/$W$2</f>
        <v>2.2865230570579508E-4</v>
      </c>
    </row>
    <row r="1574" spans="1:29">
      <c r="A1574" s="13" t="s">
        <v>232</v>
      </c>
      <c r="B1574" s="13" t="s">
        <v>404</v>
      </c>
      <c r="C1574" s="138">
        <v>46344</v>
      </c>
      <c r="D1574" s="138" t="s">
        <v>424</v>
      </c>
      <c r="E1574" s="28">
        <v>0.92863521999999998</v>
      </c>
      <c r="F1574" s="13"/>
      <c r="G1574" s="18">
        <v>25000000</v>
      </c>
      <c r="H1574" s="18">
        <v>23215880.41</v>
      </c>
      <c r="I1574" s="18">
        <v>25000000</v>
      </c>
      <c r="J1574" s="18">
        <v>23215880.41</v>
      </c>
      <c r="K1574" s="15">
        <v>475884</v>
      </c>
      <c r="L1574" s="13" t="s">
        <v>102</v>
      </c>
      <c r="M1574" s="13" t="s">
        <v>103</v>
      </c>
      <c r="N1574" s="138" t="s">
        <v>371</v>
      </c>
      <c r="O1574" s="138" t="s">
        <v>371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2122</v>
      </c>
      <c r="V1574" s="13" t="s">
        <v>2122</v>
      </c>
      <c r="W1574" s="59">
        <f>+J1574/$W$2</f>
        <v>3.7995281538729812E-4</v>
      </c>
    </row>
    <row r="1575" spans="1:29">
      <c r="A1575" s="13" t="s">
        <v>426</v>
      </c>
      <c r="B1575" s="13" t="s">
        <v>404</v>
      </c>
      <c r="C1575" s="138">
        <v>46344</v>
      </c>
      <c r="D1575" s="138" t="s">
        <v>424</v>
      </c>
      <c r="E1575" s="28">
        <v>0.92264919999999995</v>
      </c>
      <c r="F1575" s="13"/>
      <c r="G1575" s="18">
        <v>9450000</v>
      </c>
      <c r="H1575" s="18">
        <v>8719034.9199999999</v>
      </c>
      <c r="I1575" s="18">
        <v>9450000</v>
      </c>
      <c r="J1575" s="18">
        <v>8719034.9199999999</v>
      </c>
      <c r="K1575" s="15">
        <v>66335193</v>
      </c>
      <c r="L1575" s="13" t="s">
        <v>102</v>
      </c>
      <c r="M1575" s="13" t="s">
        <v>103</v>
      </c>
      <c r="N1575" s="138" t="s">
        <v>289</v>
      </c>
      <c r="O1575" s="138" t="s">
        <v>289</v>
      </c>
      <c r="P1575" s="28">
        <v>36</v>
      </c>
      <c r="Q1575" s="13" t="s">
        <v>54</v>
      </c>
      <c r="R1575" s="13" t="s">
        <v>28</v>
      </c>
      <c r="S1575" s="13"/>
      <c r="T1575" s="13"/>
      <c r="U1575" s="13" t="s">
        <v>570</v>
      </c>
      <c r="V1575" s="13" t="s">
        <v>570</v>
      </c>
      <c r="W1575" s="59">
        <f>+J1575/$W$2</f>
        <v>1.4269637019181068E-4</v>
      </c>
    </row>
    <row r="1576" spans="1:29">
      <c r="A1576" s="13" t="s">
        <v>465</v>
      </c>
      <c r="B1576" s="13" t="s">
        <v>404</v>
      </c>
      <c r="C1576" s="138">
        <v>46344</v>
      </c>
      <c r="D1576" s="138" t="s">
        <v>424</v>
      </c>
      <c r="E1576" s="28">
        <v>0.93266906999999999</v>
      </c>
      <c r="F1576" s="13"/>
      <c r="G1576" s="18">
        <v>2500000</v>
      </c>
      <c r="H1576" s="18">
        <v>2331672.6800000002</v>
      </c>
      <c r="I1576" s="18">
        <v>2500000</v>
      </c>
      <c r="J1576" s="18">
        <v>2331672.6800000002</v>
      </c>
      <c r="K1576" s="15">
        <v>90003663</v>
      </c>
      <c r="L1576" s="13" t="s">
        <v>102</v>
      </c>
      <c r="M1576" s="13" t="s">
        <v>103</v>
      </c>
      <c r="N1576" s="138" t="s">
        <v>324</v>
      </c>
      <c r="O1576" s="138" t="s">
        <v>324</v>
      </c>
      <c r="P1576" s="28">
        <v>31</v>
      </c>
      <c r="Q1576" s="13" t="s">
        <v>54</v>
      </c>
      <c r="R1576" s="13" t="s">
        <v>28</v>
      </c>
      <c r="S1576" s="13"/>
      <c r="T1576" s="13"/>
      <c r="U1576" s="13" t="s">
        <v>1165</v>
      </c>
      <c r="V1576" s="13" t="s">
        <v>1165</v>
      </c>
      <c r="W1576" s="59">
        <f>+J1576/$W$2</f>
        <v>3.8160327486268552E-5</v>
      </c>
    </row>
    <row r="1577" spans="1:29">
      <c r="A1577" s="13" t="s">
        <v>417</v>
      </c>
      <c r="B1577" s="13" t="s">
        <v>404</v>
      </c>
      <c r="C1577" s="138">
        <v>46344</v>
      </c>
      <c r="D1577" s="138" t="s">
        <v>424</v>
      </c>
      <c r="E1577" s="28">
        <v>0.92463592999999999</v>
      </c>
      <c r="F1577" s="13"/>
      <c r="G1577" s="18">
        <v>1500000</v>
      </c>
      <c r="H1577" s="18">
        <v>1386953.9</v>
      </c>
      <c r="I1577" s="18">
        <v>1500000</v>
      </c>
      <c r="J1577" s="18">
        <v>1386953.9</v>
      </c>
      <c r="K1577" s="15">
        <v>5</v>
      </c>
      <c r="L1577" s="13" t="s">
        <v>102</v>
      </c>
      <c r="M1577" s="13" t="s">
        <v>103</v>
      </c>
      <c r="N1577" s="138" t="s">
        <v>352</v>
      </c>
      <c r="O1577" s="138" t="s">
        <v>352</v>
      </c>
      <c r="P1577" s="28">
        <v>35</v>
      </c>
      <c r="Q1577" s="13" t="s">
        <v>54</v>
      </c>
      <c r="R1577" s="13" t="s">
        <v>28</v>
      </c>
      <c r="S1577" s="13"/>
      <c r="T1577" s="13"/>
      <c r="U1577" s="13" t="s">
        <v>629</v>
      </c>
      <c r="V1577" s="13" t="s">
        <v>629</v>
      </c>
      <c r="W1577" s="59">
        <f>+J1577/$W$2</f>
        <v>2.2698990079669913E-5</v>
      </c>
    </row>
    <row r="1578" spans="1:29">
      <c r="A1578" s="13" t="s">
        <v>285</v>
      </c>
      <c r="B1578" s="13" t="s">
        <v>404</v>
      </c>
      <c r="C1578" s="138">
        <v>46344</v>
      </c>
      <c r="D1578" s="138" t="s">
        <v>424</v>
      </c>
      <c r="E1578" s="28">
        <v>0.93469926999999997</v>
      </c>
      <c r="F1578" s="13"/>
      <c r="G1578" s="18">
        <v>3000000</v>
      </c>
      <c r="H1578" s="18">
        <v>2804097.8</v>
      </c>
      <c r="I1578" s="18">
        <v>3000000</v>
      </c>
      <c r="J1578" s="18">
        <v>2804097.8</v>
      </c>
      <c r="K1578" s="15">
        <v>12759461</v>
      </c>
      <c r="L1578" s="13" t="s">
        <v>102</v>
      </c>
      <c r="M1578" s="13" t="s">
        <v>103</v>
      </c>
      <c r="N1578" s="138" t="s">
        <v>342</v>
      </c>
      <c r="O1578" s="138" t="s">
        <v>342</v>
      </c>
      <c r="P1578" s="28">
        <v>30</v>
      </c>
      <c r="Q1578" s="13" t="s">
        <v>54</v>
      </c>
      <c r="R1578" s="13" t="s">
        <v>28</v>
      </c>
      <c r="S1578" s="13"/>
      <c r="T1578" s="13"/>
      <c r="U1578" s="13" t="s">
        <v>2394</v>
      </c>
      <c r="V1578" s="13" t="s">
        <v>2394</v>
      </c>
      <c r="W1578" s="59">
        <f>+J1578/$W$2</f>
        <v>4.5892071931607982E-5</v>
      </c>
      <c r="AC1578" s="56"/>
    </row>
    <row r="1579" spans="1:29">
      <c r="A1579" s="13" t="s">
        <v>285</v>
      </c>
      <c r="B1579" s="13" t="s">
        <v>404</v>
      </c>
      <c r="C1579" s="138">
        <v>46344</v>
      </c>
      <c r="D1579" s="138" t="s">
        <v>424</v>
      </c>
      <c r="E1579" s="28">
        <v>0.94290881000000004</v>
      </c>
      <c r="F1579" s="13"/>
      <c r="G1579" s="18">
        <v>15000000</v>
      </c>
      <c r="H1579" s="18">
        <v>14143632.199999999</v>
      </c>
      <c r="I1579" s="18">
        <v>15000000</v>
      </c>
      <c r="J1579" s="18">
        <v>14143632.199999999</v>
      </c>
      <c r="K1579" s="15">
        <v>9621095</v>
      </c>
      <c r="L1579" s="13" t="s">
        <v>102</v>
      </c>
      <c r="M1579" s="13" t="s">
        <v>103</v>
      </c>
      <c r="N1579" s="138" t="s">
        <v>339</v>
      </c>
      <c r="O1579" s="138" t="s">
        <v>339</v>
      </c>
      <c r="P1579" s="28">
        <v>26</v>
      </c>
      <c r="Q1579" s="13" t="s">
        <v>54</v>
      </c>
      <c r="R1579" s="13" t="s">
        <v>28</v>
      </c>
      <c r="S1579" s="13"/>
      <c r="T1579" s="13"/>
      <c r="U1579" s="13" t="s">
        <v>1591</v>
      </c>
      <c r="V1579" s="13" t="s">
        <v>1591</v>
      </c>
      <c r="W1579" s="59">
        <f>+J1579/$W$2</f>
        <v>2.3147573037452792E-4</v>
      </c>
      <c r="AC1579" s="56"/>
    </row>
    <row r="1580" spans="1:29">
      <c r="A1580" s="13" t="s">
        <v>285</v>
      </c>
      <c r="B1580" s="13" t="s">
        <v>404</v>
      </c>
      <c r="C1580" s="138">
        <v>46344</v>
      </c>
      <c r="D1580" s="138" t="s">
        <v>424</v>
      </c>
      <c r="E1580" s="28">
        <v>0.93266912999999996</v>
      </c>
      <c r="F1580" s="13"/>
      <c r="G1580" s="18">
        <v>15000000</v>
      </c>
      <c r="H1580" s="18">
        <v>13990036.99</v>
      </c>
      <c r="I1580" s="18">
        <v>15000000</v>
      </c>
      <c r="J1580" s="18">
        <v>13990036.99</v>
      </c>
      <c r="K1580" s="15">
        <v>2438</v>
      </c>
      <c r="L1580" s="13" t="s">
        <v>102</v>
      </c>
      <c r="M1580" s="13" t="s">
        <v>103</v>
      </c>
      <c r="N1580" s="138" t="s">
        <v>342</v>
      </c>
      <c r="O1580" s="138" t="s">
        <v>342</v>
      </c>
      <c r="P1580" s="28">
        <v>31</v>
      </c>
      <c r="Q1580" s="13" t="s">
        <v>54</v>
      </c>
      <c r="R1580" s="13" t="s">
        <v>28</v>
      </c>
      <c r="S1580" s="13"/>
      <c r="T1580" s="13"/>
      <c r="U1580" s="13" t="s">
        <v>2390</v>
      </c>
      <c r="V1580" s="13" t="s">
        <v>2390</v>
      </c>
      <c r="W1580" s="59">
        <f>+J1580/$W$2</f>
        <v>2.2896197981073859E-4</v>
      </c>
    </row>
    <row r="1581" spans="1:29">
      <c r="A1581" s="13" t="s">
        <v>405</v>
      </c>
      <c r="B1581" s="13" t="s">
        <v>404</v>
      </c>
      <c r="C1581" s="138">
        <v>46344</v>
      </c>
      <c r="D1581" s="138" t="s">
        <v>424</v>
      </c>
      <c r="E1581" s="28">
        <v>0.92863505000000002</v>
      </c>
      <c r="F1581" s="13"/>
      <c r="G1581" s="18">
        <v>2500000</v>
      </c>
      <c r="H1581" s="18">
        <v>2321587.63</v>
      </c>
      <c r="I1581" s="18">
        <v>2500000</v>
      </c>
      <c r="J1581" s="18">
        <v>2321587.63</v>
      </c>
      <c r="K1581" s="15">
        <v>1021</v>
      </c>
      <c r="L1581" s="13" t="s">
        <v>102</v>
      </c>
      <c r="M1581" s="13" t="s">
        <v>103</v>
      </c>
      <c r="N1581" s="138" t="s">
        <v>170</v>
      </c>
      <c r="O1581" s="138" t="s">
        <v>170</v>
      </c>
      <c r="P1581" s="28">
        <v>33</v>
      </c>
      <c r="Q1581" s="13" t="s">
        <v>54</v>
      </c>
      <c r="R1581" s="13" t="s">
        <v>28</v>
      </c>
      <c r="S1581" s="13"/>
      <c r="T1581" s="13"/>
      <c r="U1581" s="13" t="s">
        <v>2481</v>
      </c>
      <c r="V1581" s="13" t="s">
        <v>2481</v>
      </c>
      <c r="W1581" s="59">
        <f>+J1581/$W$2</f>
        <v>3.799527481227342E-5</v>
      </c>
    </row>
    <row r="1582" spans="1:29">
      <c r="A1582" s="13" t="s">
        <v>405</v>
      </c>
      <c r="B1582" s="13" t="s">
        <v>404</v>
      </c>
      <c r="C1582" s="138">
        <v>46344</v>
      </c>
      <c r="D1582" s="138" t="s">
        <v>424</v>
      </c>
      <c r="E1582" s="28">
        <v>0.93064782999999995</v>
      </c>
      <c r="F1582" s="13"/>
      <c r="G1582" s="18">
        <v>3000000</v>
      </c>
      <c r="H1582" s="18">
        <v>2791943.48</v>
      </c>
      <c r="I1582" s="18">
        <v>3000000</v>
      </c>
      <c r="J1582" s="18">
        <v>2791943.48</v>
      </c>
      <c r="K1582" s="15">
        <v>1058</v>
      </c>
      <c r="L1582" s="13" t="s">
        <v>102</v>
      </c>
      <c r="M1582" s="13" t="s">
        <v>103</v>
      </c>
      <c r="N1582" s="138" t="s">
        <v>424</v>
      </c>
      <c r="O1582" s="138" t="s">
        <v>424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2608</v>
      </c>
      <c r="V1582" s="13" t="s">
        <v>2608</v>
      </c>
      <c r="W1582" s="59">
        <f>+J1582/$W$2</f>
        <v>4.5693153431789691E-5</v>
      </c>
    </row>
    <row r="1583" spans="1:29">
      <c r="A1583" s="13" t="s">
        <v>1325</v>
      </c>
      <c r="B1583" s="13" t="s">
        <v>404</v>
      </c>
      <c r="C1583" s="138">
        <v>46344</v>
      </c>
      <c r="D1583" s="138" t="s">
        <v>424</v>
      </c>
      <c r="E1583" s="28">
        <v>0.92067109000000003</v>
      </c>
      <c r="F1583" s="13"/>
      <c r="G1583" s="18">
        <v>25000000</v>
      </c>
      <c r="H1583" s="18">
        <v>23016777.27</v>
      </c>
      <c r="I1583" s="18">
        <v>25000000</v>
      </c>
      <c r="J1583" s="18">
        <v>23016777.27</v>
      </c>
      <c r="K1583" s="15">
        <v>2659</v>
      </c>
      <c r="L1583" s="13" t="s">
        <v>102</v>
      </c>
      <c r="M1583" s="13" t="s">
        <v>103</v>
      </c>
      <c r="N1583" s="138" t="s">
        <v>464</v>
      </c>
      <c r="O1583" s="138" t="s">
        <v>464</v>
      </c>
      <c r="P1583" s="28">
        <v>37</v>
      </c>
      <c r="Q1583" s="13" t="s">
        <v>54</v>
      </c>
      <c r="R1583" s="13" t="s">
        <v>28</v>
      </c>
      <c r="S1583" s="13"/>
      <c r="T1583" s="13"/>
      <c r="U1583" s="13" t="s">
        <v>2563</v>
      </c>
      <c r="V1583" s="13" t="s">
        <v>2563</v>
      </c>
      <c r="W1583" s="59">
        <f>+J1583/$W$2</f>
        <v>3.7669427867624295E-4</v>
      </c>
    </row>
    <row r="1584" spans="1:29">
      <c r="A1584" s="13" t="s">
        <v>144</v>
      </c>
      <c r="B1584" s="13" t="s">
        <v>404</v>
      </c>
      <c r="C1584" s="138">
        <v>46344</v>
      </c>
      <c r="D1584" s="138" t="s">
        <v>424</v>
      </c>
      <c r="E1584" s="28">
        <v>0.92463585999999998</v>
      </c>
      <c r="F1584" s="13"/>
      <c r="G1584" s="18">
        <v>15000000</v>
      </c>
      <c r="H1584" s="18">
        <v>13869537.949999999</v>
      </c>
      <c r="I1584" s="18">
        <v>15000000</v>
      </c>
      <c r="J1584" s="18">
        <v>13869537.949999999</v>
      </c>
      <c r="K1584" s="15">
        <v>148</v>
      </c>
      <c r="L1584" s="13" t="s">
        <v>102</v>
      </c>
      <c r="M1584" s="13" t="s">
        <v>103</v>
      </c>
      <c r="N1584" s="138" t="s">
        <v>170</v>
      </c>
      <c r="O1584" s="138" t="s">
        <v>170</v>
      </c>
      <c r="P1584" s="28">
        <v>35</v>
      </c>
      <c r="Q1584" s="13" t="s">
        <v>54</v>
      </c>
      <c r="R1584" s="13" t="s">
        <v>28</v>
      </c>
      <c r="S1584" s="13"/>
      <c r="T1584" s="13"/>
      <c r="U1584" s="13" t="s">
        <v>2455</v>
      </c>
      <c r="V1584" s="13" t="s">
        <v>2455</v>
      </c>
      <c r="W1584" s="59">
        <f>+J1584/$W$2</f>
        <v>2.269898836123215E-4</v>
      </c>
      <c r="AC1584" s="56"/>
    </row>
    <row r="1585" spans="1:29">
      <c r="A1585" s="13" t="s">
        <v>2687</v>
      </c>
      <c r="B1585" s="13" t="s">
        <v>404</v>
      </c>
      <c r="C1585" s="138">
        <v>46344</v>
      </c>
      <c r="D1585" s="138" t="s">
        <v>424</v>
      </c>
      <c r="E1585" s="28">
        <v>0.92663132999999998</v>
      </c>
      <c r="F1585" s="13"/>
      <c r="G1585" s="18">
        <v>13000000</v>
      </c>
      <c r="H1585" s="18">
        <v>12046207.32</v>
      </c>
      <c r="I1585" s="18">
        <v>13000000</v>
      </c>
      <c r="J1585" s="18">
        <v>12046207.32</v>
      </c>
      <c r="K1585" s="15">
        <v>14330928</v>
      </c>
      <c r="L1585" s="13" t="s">
        <v>102</v>
      </c>
      <c r="M1585" s="13" t="s">
        <v>103</v>
      </c>
      <c r="N1585" s="138" t="s">
        <v>424</v>
      </c>
      <c r="O1585" s="138" t="s">
        <v>424</v>
      </c>
      <c r="P1585" s="28">
        <v>34</v>
      </c>
      <c r="Q1585" s="13" t="s">
        <v>54</v>
      </c>
      <c r="R1585" s="13" t="s">
        <v>28</v>
      </c>
      <c r="S1585" s="13"/>
      <c r="T1585" s="13"/>
      <c r="U1585" s="13" t="s">
        <v>2638</v>
      </c>
      <c r="V1585" s="13" t="s">
        <v>2638</v>
      </c>
      <c r="W1585" s="59">
        <f>+J1585/$W$2</f>
        <v>1.9714911970349346E-4</v>
      </c>
      <c r="AC1585" s="56"/>
    </row>
    <row r="1586" spans="1:29">
      <c r="A1586" s="13" t="s">
        <v>189</v>
      </c>
      <c r="B1586" s="13" t="s">
        <v>404</v>
      </c>
      <c r="C1586" s="138">
        <v>46344</v>
      </c>
      <c r="D1586" s="138" t="s">
        <v>424</v>
      </c>
      <c r="E1586" s="28">
        <v>0.93878614000000005</v>
      </c>
      <c r="F1586" s="13"/>
      <c r="G1586" s="18">
        <v>16797939.449999999</v>
      </c>
      <c r="H1586" s="18">
        <v>15769672.66</v>
      </c>
      <c r="I1586" s="18">
        <v>16797939.449999999</v>
      </c>
      <c r="J1586" s="18">
        <v>15769672.66</v>
      </c>
      <c r="K1586" s="15">
        <v>598437</v>
      </c>
      <c r="L1586" s="13" t="s">
        <v>102</v>
      </c>
      <c r="M1586" s="13" t="s">
        <v>103</v>
      </c>
      <c r="N1586" s="138" t="s">
        <v>639</v>
      </c>
      <c r="O1586" s="138" t="s">
        <v>639</v>
      </c>
      <c r="P1586" s="28">
        <v>28</v>
      </c>
      <c r="Q1586" s="13" t="s">
        <v>54</v>
      </c>
      <c r="R1586" s="13" t="s">
        <v>28</v>
      </c>
      <c r="S1586" s="13"/>
      <c r="T1586" s="13"/>
      <c r="U1586" s="13" t="s">
        <v>2173</v>
      </c>
      <c r="V1586" s="13" t="s">
        <v>2173</v>
      </c>
      <c r="W1586" s="59">
        <f>+J1586/$W$2</f>
        <v>2.5808762877337299E-4</v>
      </c>
    </row>
    <row r="1587" spans="1:29">
      <c r="A1587" s="13" t="s">
        <v>189</v>
      </c>
      <c r="B1587" s="13" t="s">
        <v>404</v>
      </c>
      <c r="C1587" s="138">
        <v>46344</v>
      </c>
      <c r="D1587" s="138" t="s">
        <v>424</v>
      </c>
      <c r="E1587" s="28">
        <v>0.93878614000000005</v>
      </c>
      <c r="F1587" s="13"/>
      <c r="G1587" s="18">
        <v>7158904.5</v>
      </c>
      <c r="H1587" s="18">
        <v>6720680.29</v>
      </c>
      <c r="I1587" s="18">
        <v>7158904.5</v>
      </c>
      <c r="J1587" s="18">
        <v>6720680.29</v>
      </c>
      <c r="K1587" s="15">
        <v>654496</v>
      </c>
      <c r="L1587" s="13" t="s">
        <v>102</v>
      </c>
      <c r="M1587" s="13" t="s">
        <v>103</v>
      </c>
      <c r="N1587" s="138" t="s">
        <v>639</v>
      </c>
      <c r="O1587" s="138" t="s">
        <v>639</v>
      </c>
      <c r="P1587" s="28">
        <v>28</v>
      </c>
      <c r="Q1587" s="13" t="s">
        <v>54</v>
      </c>
      <c r="R1587" s="13" t="s">
        <v>28</v>
      </c>
      <c r="S1587" s="13"/>
      <c r="T1587" s="13"/>
      <c r="U1587" s="13" t="s">
        <v>2152</v>
      </c>
      <c r="V1587" s="13" t="s">
        <v>2152</v>
      </c>
      <c r="W1587" s="59">
        <f>+J1587/$W$2</f>
        <v>1.0999115055759468E-4</v>
      </c>
    </row>
    <row r="1588" spans="1:29">
      <c r="A1588" s="13" t="s">
        <v>189</v>
      </c>
      <c r="B1588" s="13" t="s">
        <v>404</v>
      </c>
      <c r="C1588" s="138">
        <v>46344</v>
      </c>
      <c r="D1588" s="138" t="s">
        <v>424</v>
      </c>
      <c r="E1588" s="28">
        <v>0.93878614000000005</v>
      </c>
      <c r="F1588" s="13"/>
      <c r="G1588" s="18">
        <v>15011972.220000001</v>
      </c>
      <c r="H1588" s="18">
        <v>14093031.390000001</v>
      </c>
      <c r="I1588" s="18">
        <v>15011972.220000001</v>
      </c>
      <c r="J1588" s="18">
        <v>14093031.390000001</v>
      </c>
      <c r="K1588" s="15">
        <v>654215</v>
      </c>
      <c r="L1588" s="13" t="s">
        <v>102</v>
      </c>
      <c r="M1588" s="13" t="s">
        <v>103</v>
      </c>
      <c r="N1588" s="138" t="s">
        <v>639</v>
      </c>
      <c r="O1588" s="138" t="s">
        <v>639</v>
      </c>
      <c r="P1588" s="28">
        <v>28</v>
      </c>
      <c r="Q1588" s="13" t="s">
        <v>54</v>
      </c>
      <c r="R1588" s="13" t="s">
        <v>28</v>
      </c>
      <c r="S1588" s="13"/>
      <c r="T1588" s="13"/>
      <c r="U1588" s="13" t="s">
        <v>2157</v>
      </c>
      <c r="V1588" s="13" t="s">
        <v>2157</v>
      </c>
      <c r="W1588" s="59">
        <f>+J1588/$W$2</f>
        <v>2.3064759377661127E-4</v>
      </c>
    </row>
    <row r="1589" spans="1:29">
      <c r="A1589" s="13" t="s">
        <v>189</v>
      </c>
      <c r="B1589" s="13" t="s">
        <v>404</v>
      </c>
      <c r="C1589" s="138">
        <v>46344</v>
      </c>
      <c r="D1589" s="138" t="s">
        <v>424</v>
      </c>
      <c r="E1589" s="28">
        <v>0.93878614000000005</v>
      </c>
      <c r="F1589" s="13"/>
      <c r="G1589" s="18">
        <v>8829623.3000000007</v>
      </c>
      <c r="H1589" s="18">
        <v>8289127.9400000004</v>
      </c>
      <c r="I1589" s="18">
        <v>8829623.3000000007</v>
      </c>
      <c r="J1589" s="18">
        <v>8289127.9400000004</v>
      </c>
      <c r="K1589" s="15">
        <v>636510</v>
      </c>
      <c r="L1589" s="13" t="s">
        <v>102</v>
      </c>
      <c r="M1589" s="13" t="s">
        <v>103</v>
      </c>
      <c r="N1589" s="138" t="s">
        <v>639</v>
      </c>
      <c r="O1589" s="138" t="s">
        <v>639</v>
      </c>
      <c r="P1589" s="28">
        <v>28</v>
      </c>
      <c r="Q1589" s="13" t="s">
        <v>54</v>
      </c>
      <c r="R1589" s="13" t="s">
        <v>28</v>
      </c>
      <c r="S1589" s="13"/>
      <c r="T1589" s="13"/>
      <c r="U1589" s="13" t="s">
        <v>2160</v>
      </c>
      <c r="V1589" s="13" t="s">
        <v>2160</v>
      </c>
      <c r="W1589" s="59">
        <f>+J1589/$W$2</f>
        <v>1.3566048076953007E-4</v>
      </c>
    </row>
    <row r="1590" spans="1:29">
      <c r="A1590" s="13" t="s">
        <v>721</v>
      </c>
      <c r="B1590" s="13" t="s">
        <v>404</v>
      </c>
      <c r="C1590" s="138">
        <v>46344</v>
      </c>
      <c r="D1590" s="138" t="s">
        <v>424</v>
      </c>
      <c r="E1590" s="28">
        <v>0.93469917000000002</v>
      </c>
      <c r="F1590" s="13"/>
      <c r="G1590" s="18">
        <v>50000000</v>
      </c>
      <c r="H1590" s="18">
        <v>46734958.340000004</v>
      </c>
      <c r="I1590" s="18">
        <v>50000000</v>
      </c>
      <c r="J1590" s="18">
        <v>46734958.340000004</v>
      </c>
      <c r="K1590" s="15">
        <v>68016</v>
      </c>
      <c r="L1590" s="13" t="s">
        <v>102</v>
      </c>
      <c r="M1590" s="13" t="s">
        <v>103</v>
      </c>
      <c r="N1590" s="138" t="s">
        <v>385</v>
      </c>
      <c r="O1590" s="138" t="s">
        <v>385</v>
      </c>
      <c r="P1590" s="28">
        <v>30</v>
      </c>
      <c r="Q1590" s="13" t="s">
        <v>54</v>
      </c>
      <c r="R1590" s="13" t="s">
        <v>28</v>
      </c>
      <c r="S1590" s="13"/>
      <c r="T1590" s="13"/>
      <c r="U1590" s="13" t="s">
        <v>1900</v>
      </c>
      <c r="V1590" s="13" t="s">
        <v>1900</v>
      </c>
      <c r="W1590" s="59">
        <f>+J1590/$W$2</f>
        <v>7.6486778380553731E-4</v>
      </c>
    </row>
    <row r="1591" spans="1:29">
      <c r="A1591" s="13" t="s">
        <v>1880</v>
      </c>
      <c r="B1591" s="13" t="s">
        <v>404</v>
      </c>
      <c r="C1591" s="138">
        <v>46344</v>
      </c>
      <c r="D1591" s="138" t="s">
        <v>424</v>
      </c>
      <c r="E1591" s="28">
        <v>0.92863501000000004</v>
      </c>
      <c r="F1591" s="13"/>
      <c r="G1591" s="18">
        <v>735765</v>
      </c>
      <c r="H1591" s="18">
        <v>683257.14</v>
      </c>
      <c r="I1591" s="18">
        <v>735765</v>
      </c>
      <c r="J1591" s="18">
        <v>683257.14</v>
      </c>
      <c r="K1591" s="15">
        <v>262870</v>
      </c>
      <c r="L1591" s="13" t="s">
        <v>102</v>
      </c>
      <c r="M1591" s="13" t="s">
        <v>103</v>
      </c>
      <c r="N1591" s="138" t="s">
        <v>388</v>
      </c>
      <c r="O1591" s="138" t="s">
        <v>388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1866</v>
      </c>
      <c r="V1591" s="13" t="s">
        <v>1866</v>
      </c>
      <c r="W1591" s="59">
        <f>+J1591/$W$2</f>
        <v>1.1182236873715586E-5</v>
      </c>
    </row>
    <row r="1592" spans="1:29">
      <c r="A1592" s="13" t="s">
        <v>744</v>
      </c>
      <c r="B1592" s="13" t="s">
        <v>404</v>
      </c>
      <c r="C1592" s="138">
        <v>46345</v>
      </c>
      <c r="D1592" s="138" t="s">
        <v>424</v>
      </c>
      <c r="E1592" s="28">
        <v>0.91584295999999998</v>
      </c>
      <c r="F1592" s="13"/>
      <c r="G1592" s="18">
        <v>3750000</v>
      </c>
      <c r="H1592" s="18">
        <v>3434411.12</v>
      </c>
      <c r="I1592" s="18">
        <v>3750000</v>
      </c>
      <c r="J1592" s="18">
        <v>3434411.12</v>
      </c>
      <c r="K1592" s="15">
        <v>66918963</v>
      </c>
      <c r="L1592" s="13" t="s">
        <v>102</v>
      </c>
      <c r="M1592" s="13" t="s">
        <v>103</v>
      </c>
      <c r="N1592" s="138" t="s">
        <v>322</v>
      </c>
      <c r="O1592" s="138" t="s">
        <v>322</v>
      </c>
      <c r="P1592" s="28">
        <v>39</v>
      </c>
      <c r="Q1592" s="13" t="s">
        <v>54</v>
      </c>
      <c r="R1592" s="13" t="s">
        <v>28</v>
      </c>
      <c r="S1592" s="13"/>
      <c r="T1592" s="13"/>
      <c r="U1592" s="13" t="s">
        <v>729</v>
      </c>
      <c r="V1592" s="13" t="s">
        <v>729</v>
      </c>
      <c r="W1592" s="59">
        <f>+J1592/$W$2</f>
        <v>5.6207826332503222E-5</v>
      </c>
    </row>
    <row r="1593" spans="1:29">
      <c r="A1593" s="13" t="s">
        <v>2232</v>
      </c>
      <c r="B1593" s="13" t="s">
        <v>404</v>
      </c>
      <c r="C1593" s="138">
        <v>46345</v>
      </c>
      <c r="D1593" s="138" t="s">
        <v>424</v>
      </c>
      <c r="E1593" s="28">
        <v>0.93811047999999997</v>
      </c>
      <c r="F1593" s="13"/>
      <c r="G1593" s="18">
        <v>20279181.25</v>
      </c>
      <c r="H1593" s="18">
        <v>19024112.510000002</v>
      </c>
      <c r="I1593" s="18">
        <v>20279181.25</v>
      </c>
      <c r="J1593" s="18">
        <v>19024112.510000002</v>
      </c>
      <c r="K1593" s="15">
        <v>99803231</v>
      </c>
      <c r="L1593" s="13" t="s">
        <v>102</v>
      </c>
      <c r="M1593" s="13" t="s">
        <v>103</v>
      </c>
      <c r="N1593" s="138" t="s">
        <v>639</v>
      </c>
      <c r="O1593" s="138" t="s">
        <v>639</v>
      </c>
      <c r="P1593" s="28">
        <v>28</v>
      </c>
      <c r="Q1593" s="13" t="s">
        <v>54</v>
      </c>
      <c r="R1593" s="13" t="s">
        <v>28</v>
      </c>
      <c r="S1593" s="13"/>
      <c r="T1593" s="13"/>
      <c r="U1593" s="13" t="s">
        <v>2181</v>
      </c>
      <c r="V1593" s="13" t="s">
        <v>2181</v>
      </c>
      <c r="W1593" s="59">
        <f>+J1593/$W$2</f>
        <v>3.1135003199386394E-4</v>
      </c>
    </row>
    <row r="1594" spans="1:29">
      <c r="A1594" s="13" t="s">
        <v>405</v>
      </c>
      <c r="B1594" s="13" t="s">
        <v>404</v>
      </c>
      <c r="C1594" s="138">
        <v>46345</v>
      </c>
      <c r="D1594" s="138" t="s">
        <v>424</v>
      </c>
      <c r="E1594" s="28">
        <v>0.92988903999999994</v>
      </c>
      <c r="F1594" s="13"/>
      <c r="G1594" s="18">
        <v>3000000</v>
      </c>
      <c r="H1594" s="18">
        <v>2789667.13</v>
      </c>
      <c r="I1594" s="18">
        <v>3000000</v>
      </c>
      <c r="J1594" s="18">
        <v>2789667.13</v>
      </c>
      <c r="K1594" s="15">
        <v>1059</v>
      </c>
      <c r="L1594" s="13" t="s">
        <v>102</v>
      </c>
      <c r="M1594" s="13" t="s">
        <v>103</v>
      </c>
      <c r="N1594" s="138" t="s">
        <v>424</v>
      </c>
      <c r="O1594" s="138" t="s">
        <v>424</v>
      </c>
      <c r="P1594" s="28">
        <v>32</v>
      </c>
      <c r="Q1594" s="13" t="s">
        <v>54</v>
      </c>
      <c r="R1594" s="13" t="s">
        <v>28</v>
      </c>
      <c r="S1594" s="13"/>
      <c r="T1594" s="13"/>
      <c r="U1594" s="13" t="s">
        <v>2622</v>
      </c>
      <c r="V1594" s="13" t="s">
        <v>2622</v>
      </c>
      <c r="W1594" s="59">
        <f>+J1594/$W$2</f>
        <v>4.56558985193749E-5</v>
      </c>
    </row>
    <row r="1595" spans="1:29">
      <c r="A1595" s="13" t="s">
        <v>517</v>
      </c>
      <c r="B1595" s="13" t="s">
        <v>404</v>
      </c>
      <c r="C1595" s="138">
        <v>46345</v>
      </c>
      <c r="D1595" s="138" t="s">
        <v>424</v>
      </c>
      <c r="E1595" s="28">
        <v>0.92583203000000003</v>
      </c>
      <c r="F1595" s="13"/>
      <c r="G1595" s="18">
        <v>10000000</v>
      </c>
      <c r="H1595" s="18">
        <v>9258320.2699999996</v>
      </c>
      <c r="I1595" s="18">
        <v>10000000</v>
      </c>
      <c r="J1595" s="18">
        <v>9258320.2699999996</v>
      </c>
      <c r="K1595" s="15">
        <v>14284516</v>
      </c>
      <c r="L1595" s="13" t="s">
        <v>102</v>
      </c>
      <c r="M1595" s="13" t="s">
        <v>103</v>
      </c>
      <c r="N1595" s="138" t="s">
        <v>464</v>
      </c>
      <c r="O1595" s="138" t="s">
        <v>464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2546</v>
      </c>
      <c r="V1595" s="13" t="s">
        <v>2546</v>
      </c>
      <c r="W1595" s="59">
        <f>+J1595/$W$2</f>
        <v>1.5152235410501882E-4</v>
      </c>
    </row>
    <row r="1596" spans="1:29">
      <c r="A1596" s="13" t="s">
        <v>405</v>
      </c>
      <c r="B1596" s="13" t="s">
        <v>404</v>
      </c>
      <c r="C1596" s="138">
        <v>46345</v>
      </c>
      <c r="D1596" s="138" t="s">
        <v>424</v>
      </c>
      <c r="E1596" s="28">
        <v>0.93398161999999996</v>
      </c>
      <c r="F1596" s="13"/>
      <c r="G1596" s="18">
        <v>2500000</v>
      </c>
      <c r="H1596" s="18">
        <v>2334954.0499999998</v>
      </c>
      <c r="I1596" s="18">
        <v>2500000</v>
      </c>
      <c r="J1596" s="18">
        <v>2334954.0499999998</v>
      </c>
      <c r="K1596" s="15">
        <v>890</v>
      </c>
      <c r="L1596" s="13" t="s">
        <v>102</v>
      </c>
      <c r="M1596" s="13" t="s">
        <v>103</v>
      </c>
      <c r="N1596" s="138" t="s">
        <v>484</v>
      </c>
      <c r="O1596" s="138" t="s">
        <v>484</v>
      </c>
      <c r="P1596" s="28">
        <v>30</v>
      </c>
      <c r="Q1596" s="13" t="s">
        <v>54</v>
      </c>
      <c r="R1596" s="13" t="s">
        <v>28</v>
      </c>
      <c r="S1596" s="13"/>
      <c r="T1596" s="13"/>
      <c r="U1596" s="13" t="s">
        <v>2076</v>
      </c>
      <c r="V1596" s="13" t="s">
        <v>2076</v>
      </c>
      <c r="W1596" s="59">
        <f>+J1596/$W$2</f>
        <v>3.8214030630315169E-5</v>
      </c>
      <c r="AC1596" s="56"/>
    </row>
    <row r="1597" spans="1:29">
      <c r="A1597" s="13" t="s">
        <v>405</v>
      </c>
      <c r="B1597" s="13" t="s">
        <v>404</v>
      </c>
      <c r="C1597" s="138">
        <v>46345</v>
      </c>
      <c r="D1597" s="138" t="s">
        <v>424</v>
      </c>
      <c r="E1597" s="28">
        <v>0.92785622999999995</v>
      </c>
      <c r="F1597" s="13"/>
      <c r="G1597" s="18">
        <v>2500000</v>
      </c>
      <c r="H1597" s="18">
        <v>2319640.58</v>
      </c>
      <c r="I1597" s="18">
        <v>2500000</v>
      </c>
      <c r="J1597" s="18">
        <v>2319640.58</v>
      </c>
      <c r="K1597" s="15">
        <v>1022</v>
      </c>
      <c r="L1597" s="13" t="s">
        <v>102</v>
      </c>
      <c r="M1597" s="13" t="s">
        <v>103</v>
      </c>
      <c r="N1597" s="138" t="s">
        <v>170</v>
      </c>
      <c r="O1597" s="138" t="s">
        <v>170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2482</v>
      </c>
      <c r="V1597" s="13" t="s">
        <v>2482</v>
      </c>
      <c r="W1597" s="59">
        <f>+J1597/$W$2</f>
        <v>3.7963409248007284E-5</v>
      </c>
    </row>
    <row r="1598" spans="1:29">
      <c r="A1598" s="13" t="s">
        <v>1325</v>
      </c>
      <c r="B1598" s="13" t="s">
        <v>404</v>
      </c>
      <c r="C1598" s="138">
        <v>46345</v>
      </c>
      <c r="D1598" s="138" t="s">
        <v>424</v>
      </c>
      <c r="E1598" s="28">
        <v>0.91981256</v>
      </c>
      <c r="F1598" s="13"/>
      <c r="G1598" s="18">
        <v>25000000</v>
      </c>
      <c r="H1598" s="18">
        <v>22995313.98</v>
      </c>
      <c r="I1598" s="18">
        <v>25000000</v>
      </c>
      <c r="J1598" s="18">
        <v>22995313.98</v>
      </c>
      <c r="K1598" s="15">
        <v>2660</v>
      </c>
      <c r="L1598" s="13" t="s">
        <v>102</v>
      </c>
      <c r="M1598" s="13" t="s">
        <v>103</v>
      </c>
      <c r="N1598" s="138" t="s">
        <v>464</v>
      </c>
      <c r="O1598" s="138" t="s">
        <v>464</v>
      </c>
      <c r="P1598" s="28">
        <v>37</v>
      </c>
      <c r="Q1598" s="13" t="s">
        <v>54</v>
      </c>
      <c r="R1598" s="13" t="s">
        <v>28</v>
      </c>
      <c r="S1598" s="13"/>
      <c r="T1598" s="13"/>
      <c r="U1598" s="13" t="s">
        <v>2559</v>
      </c>
      <c r="V1598" s="13" t="s">
        <v>2559</v>
      </c>
      <c r="W1598" s="59">
        <f>+J1598/$W$2</f>
        <v>3.7634300888509336E-4</v>
      </c>
    </row>
    <row r="1599" spans="1:29">
      <c r="A1599" s="13" t="s">
        <v>356</v>
      </c>
      <c r="B1599" s="13" t="s">
        <v>404</v>
      </c>
      <c r="C1599" s="138">
        <v>46345</v>
      </c>
      <c r="D1599" s="138" t="s">
        <v>424</v>
      </c>
      <c r="E1599" s="28">
        <v>0.92988904999999999</v>
      </c>
      <c r="F1599" s="13"/>
      <c r="G1599" s="18">
        <v>10000000</v>
      </c>
      <c r="H1599" s="18">
        <v>9298890.4900000002</v>
      </c>
      <c r="I1599" s="18">
        <v>10000000</v>
      </c>
      <c r="J1599" s="18">
        <v>9298890.4900000002</v>
      </c>
      <c r="K1599" s="15">
        <v>13953469</v>
      </c>
      <c r="L1599" s="13" t="s">
        <v>102</v>
      </c>
      <c r="M1599" s="13" t="s">
        <v>103</v>
      </c>
      <c r="N1599" s="138" t="s">
        <v>341</v>
      </c>
      <c r="O1599" s="138" t="s">
        <v>341</v>
      </c>
      <c r="P1599" s="28">
        <v>32</v>
      </c>
      <c r="Q1599" s="13" t="s">
        <v>54</v>
      </c>
      <c r="R1599" s="13" t="s">
        <v>28</v>
      </c>
      <c r="S1599" s="13"/>
      <c r="T1599" s="13"/>
      <c r="U1599" s="13" t="s">
        <v>1936</v>
      </c>
      <c r="V1599" s="13" t="s">
        <v>1936</v>
      </c>
      <c r="W1599" s="59">
        <f>+J1599/$W$2</f>
        <v>1.5218632932532719E-4</v>
      </c>
    </row>
    <row r="1600" spans="1:29">
      <c r="A1600" s="13" t="s">
        <v>189</v>
      </c>
      <c r="B1600" s="13" t="s">
        <v>404</v>
      </c>
      <c r="C1600" s="138">
        <v>46345</v>
      </c>
      <c r="D1600" s="138" t="s">
        <v>424</v>
      </c>
      <c r="E1600" s="28">
        <v>0.95071899000000004</v>
      </c>
      <c r="F1600" s="13"/>
      <c r="G1600" s="18">
        <v>2753548.09</v>
      </c>
      <c r="H1600" s="18">
        <v>2617850.4700000002</v>
      </c>
      <c r="I1600" s="18">
        <v>2753548.09</v>
      </c>
      <c r="J1600" s="18">
        <v>2617850.4700000002</v>
      </c>
      <c r="K1600" s="15">
        <v>646175</v>
      </c>
      <c r="L1600" s="13" t="s">
        <v>102</v>
      </c>
      <c r="M1600" s="13" t="s">
        <v>103</v>
      </c>
      <c r="N1600" s="138" t="s">
        <v>341</v>
      </c>
      <c r="O1600" s="138" t="s">
        <v>341</v>
      </c>
      <c r="P1600" s="28">
        <v>22</v>
      </c>
      <c r="Q1600" s="13" t="s">
        <v>54</v>
      </c>
      <c r="R1600" s="13" t="s">
        <v>28</v>
      </c>
      <c r="S1600" s="13"/>
      <c r="T1600" s="13"/>
      <c r="U1600" s="13" t="s">
        <v>1922</v>
      </c>
      <c r="V1600" s="13" t="s">
        <v>1922</v>
      </c>
      <c r="W1600" s="59">
        <f>+J1600/$W$2</f>
        <v>4.2843934357579747E-5</v>
      </c>
      <c r="AC1600" s="56"/>
    </row>
    <row r="1601" spans="1:29">
      <c r="A1601" s="13" t="s">
        <v>189</v>
      </c>
      <c r="B1601" s="13" t="s">
        <v>404</v>
      </c>
      <c r="C1601" s="138">
        <v>46345</v>
      </c>
      <c r="D1601" s="138" t="s">
        <v>424</v>
      </c>
      <c r="E1601" s="28">
        <v>0.95071899000000004</v>
      </c>
      <c r="F1601" s="13"/>
      <c r="G1601" s="18">
        <v>13824514.550000001</v>
      </c>
      <c r="H1601" s="18">
        <v>13143228.529999999</v>
      </c>
      <c r="I1601" s="18">
        <v>13824514.550000001</v>
      </c>
      <c r="J1601" s="18">
        <v>13143228.529999999</v>
      </c>
      <c r="K1601" s="15">
        <v>646107</v>
      </c>
      <c r="L1601" s="13" t="s">
        <v>102</v>
      </c>
      <c r="M1601" s="13" t="s">
        <v>103</v>
      </c>
      <c r="N1601" s="138" t="s">
        <v>341</v>
      </c>
      <c r="O1601" s="138" t="s">
        <v>341</v>
      </c>
      <c r="P1601" s="28">
        <v>22</v>
      </c>
      <c r="Q1601" s="13" t="s">
        <v>54</v>
      </c>
      <c r="R1601" s="13" t="s">
        <v>28</v>
      </c>
      <c r="S1601" s="13"/>
      <c r="T1601" s="13"/>
      <c r="U1601" s="13" t="s">
        <v>1923</v>
      </c>
      <c r="V1601" s="13" t="s">
        <v>1923</v>
      </c>
      <c r="W1601" s="59">
        <f>+J1601/$W$2</f>
        <v>2.1510304994081243E-4</v>
      </c>
    </row>
    <row r="1602" spans="1:29">
      <c r="A1602" s="13" t="s">
        <v>189</v>
      </c>
      <c r="B1602" s="13" t="s">
        <v>404</v>
      </c>
      <c r="C1602" s="138">
        <v>46345</v>
      </c>
      <c r="D1602" s="138" t="s">
        <v>424</v>
      </c>
      <c r="E1602" s="28">
        <v>0.95071899000000004</v>
      </c>
      <c r="F1602" s="13"/>
      <c r="G1602" s="18">
        <v>4118494.87</v>
      </c>
      <c r="H1602" s="18">
        <v>3915531.28</v>
      </c>
      <c r="I1602" s="18">
        <v>4118494.87</v>
      </c>
      <c r="J1602" s="18">
        <v>3915531.28</v>
      </c>
      <c r="K1602" s="15">
        <v>646126</v>
      </c>
      <c r="L1602" s="13" t="s">
        <v>102</v>
      </c>
      <c r="M1602" s="13" t="s">
        <v>103</v>
      </c>
      <c r="N1602" s="138" t="s">
        <v>341</v>
      </c>
      <c r="O1602" s="138" t="s">
        <v>341</v>
      </c>
      <c r="P1602" s="28">
        <v>22</v>
      </c>
      <c r="Q1602" s="13" t="s">
        <v>54</v>
      </c>
      <c r="R1602" s="13" t="s">
        <v>28</v>
      </c>
      <c r="S1602" s="13"/>
      <c r="T1602" s="13"/>
      <c r="U1602" s="13" t="s">
        <v>1924</v>
      </c>
      <c r="V1602" s="13" t="s">
        <v>1924</v>
      </c>
      <c r="W1602" s="59">
        <f>+J1602/$W$2</f>
        <v>6.4081874445399552E-5</v>
      </c>
      <c r="AC1602" s="56"/>
    </row>
    <row r="1603" spans="1:29">
      <c r="A1603" s="13" t="s">
        <v>189</v>
      </c>
      <c r="B1603" s="13" t="s">
        <v>404</v>
      </c>
      <c r="C1603" s="138">
        <v>46345</v>
      </c>
      <c r="D1603" s="138" t="s">
        <v>424</v>
      </c>
      <c r="E1603" s="28">
        <v>0.95071899000000004</v>
      </c>
      <c r="F1603" s="13"/>
      <c r="G1603" s="18">
        <v>2994215.75</v>
      </c>
      <c r="H1603" s="18">
        <v>2846657.76</v>
      </c>
      <c r="I1603" s="18">
        <v>2994215.75</v>
      </c>
      <c r="J1603" s="18">
        <v>2846657.76</v>
      </c>
      <c r="K1603" s="15">
        <v>646250</v>
      </c>
      <c r="L1603" s="13" t="s">
        <v>102</v>
      </c>
      <c r="M1603" s="13" t="s">
        <v>103</v>
      </c>
      <c r="N1603" s="138" t="s">
        <v>341</v>
      </c>
      <c r="O1603" s="138" t="s">
        <v>341</v>
      </c>
      <c r="P1603" s="28">
        <v>22</v>
      </c>
      <c r="Q1603" s="13" t="s">
        <v>54</v>
      </c>
      <c r="R1603" s="13" t="s">
        <v>28</v>
      </c>
      <c r="S1603" s="13"/>
      <c r="T1603" s="13"/>
      <c r="U1603" s="13" t="s">
        <v>1926</v>
      </c>
      <c r="V1603" s="13" t="s">
        <v>1926</v>
      </c>
      <c r="W1603" s="59">
        <f>+J1603/$W$2</f>
        <v>4.6588611383878998E-5</v>
      </c>
    </row>
    <row r="1604" spans="1:29">
      <c r="A1604" s="13" t="s">
        <v>189</v>
      </c>
      <c r="B1604" s="13" t="s">
        <v>404</v>
      </c>
      <c r="C1604" s="138">
        <v>46345</v>
      </c>
      <c r="D1604" s="138" t="s">
        <v>424</v>
      </c>
      <c r="E1604" s="28">
        <v>0.95071899000000004</v>
      </c>
      <c r="F1604" s="13"/>
      <c r="G1604" s="18">
        <v>6602649.0700000003</v>
      </c>
      <c r="H1604" s="18">
        <v>6277263.8499999996</v>
      </c>
      <c r="I1604" s="18">
        <v>6602649.0700000003</v>
      </c>
      <c r="J1604" s="18">
        <v>6277263.8499999996</v>
      </c>
      <c r="K1604" s="15">
        <v>646185</v>
      </c>
      <c r="L1604" s="13" t="s">
        <v>102</v>
      </c>
      <c r="M1604" s="13" t="s">
        <v>103</v>
      </c>
      <c r="N1604" s="138" t="s">
        <v>341</v>
      </c>
      <c r="O1604" s="138" t="s">
        <v>341</v>
      </c>
      <c r="P1604" s="28">
        <v>22</v>
      </c>
      <c r="Q1604" s="13" t="s">
        <v>54</v>
      </c>
      <c r="R1604" s="13" t="s">
        <v>28</v>
      </c>
      <c r="S1604" s="13"/>
      <c r="T1604" s="13"/>
      <c r="U1604" s="13" t="s">
        <v>1927</v>
      </c>
      <c r="V1604" s="13" t="s">
        <v>1927</v>
      </c>
      <c r="W1604" s="59">
        <f>+J1604/$W$2</f>
        <v>1.0273416431405583E-4</v>
      </c>
    </row>
    <row r="1605" spans="1:29">
      <c r="A1605" s="13" t="s">
        <v>189</v>
      </c>
      <c r="B1605" s="13" t="s">
        <v>404</v>
      </c>
      <c r="C1605" s="138">
        <v>46345</v>
      </c>
      <c r="D1605" s="138" t="s">
        <v>424</v>
      </c>
      <c r="E1605" s="28">
        <v>0.95071899000000004</v>
      </c>
      <c r="F1605" s="13"/>
      <c r="G1605" s="18">
        <v>3715219.33</v>
      </c>
      <c r="H1605" s="18">
        <v>3532129.57</v>
      </c>
      <c r="I1605" s="18">
        <v>3715219.33</v>
      </c>
      <c r="J1605" s="18">
        <v>3532129.57</v>
      </c>
      <c r="K1605" s="15">
        <v>646200</v>
      </c>
      <c r="L1605" s="13" t="s">
        <v>102</v>
      </c>
      <c r="M1605" s="13" t="s">
        <v>103</v>
      </c>
      <c r="N1605" s="138" t="s">
        <v>341</v>
      </c>
      <c r="O1605" s="138" t="s">
        <v>341</v>
      </c>
      <c r="P1605" s="28">
        <v>22</v>
      </c>
      <c r="Q1605" s="13" t="s">
        <v>54</v>
      </c>
      <c r="R1605" s="13" t="s">
        <v>28</v>
      </c>
      <c r="S1605" s="13"/>
      <c r="T1605" s="13"/>
      <c r="U1605" s="13" t="s">
        <v>1928</v>
      </c>
      <c r="V1605" s="13" t="s">
        <v>1928</v>
      </c>
      <c r="W1605" s="59">
        <f>+J1605/$W$2</f>
        <v>5.7807093710568721E-5</v>
      </c>
      <c r="AC1605" s="56"/>
    </row>
    <row r="1606" spans="1:29">
      <c r="A1606" s="13" t="s">
        <v>189</v>
      </c>
      <c r="B1606" s="13" t="s">
        <v>404</v>
      </c>
      <c r="C1606" s="138">
        <v>46345</v>
      </c>
      <c r="D1606" s="138" t="s">
        <v>424</v>
      </c>
      <c r="E1606" s="28">
        <v>0.95071899000000004</v>
      </c>
      <c r="F1606" s="13"/>
      <c r="G1606" s="18">
        <v>4405109.3099999996</v>
      </c>
      <c r="H1606" s="18">
        <v>4188021.07</v>
      </c>
      <c r="I1606" s="18">
        <v>4405109.3099999996</v>
      </c>
      <c r="J1606" s="18">
        <v>4188021.07</v>
      </c>
      <c r="K1606" s="15">
        <v>646238</v>
      </c>
      <c r="L1606" s="13" t="s">
        <v>102</v>
      </c>
      <c r="M1606" s="13" t="s">
        <v>103</v>
      </c>
      <c r="N1606" s="138" t="s">
        <v>341</v>
      </c>
      <c r="O1606" s="138" t="s">
        <v>341</v>
      </c>
      <c r="P1606" s="28">
        <v>22</v>
      </c>
      <c r="Q1606" s="13" t="s">
        <v>54</v>
      </c>
      <c r="R1606" s="13" t="s">
        <v>28</v>
      </c>
      <c r="S1606" s="13"/>
      <c r="T1606" s="13"/>
      <c r="U1606" s="13" t="s">
        <v>1929</v>
      </c>
      <c r="V1606" s="13" t="s">
        <v>1929</v>
      </c>
      <c r="W1606" s="59">
        <f>+J1606/$W$2</f>
        <v>6.8541462496611152E-5</v>
      </c>
    </row>
    <row r="1607" spans="1:29">
      <c r="A1607" s="13" t="s">
        <v>1700</v>
      </c>
      <c r="B1607" s="13" t="s">
        <v>404</v>
      </c>
      <c r="C1607" s="138">
        <v>46345</v>
      </c>
      <c r="D1607" s="138" t="s">
        <v>424</v>
      </c>
      <c r="E1607" s="28">
        <v>0.92785618999999997</v>
      </c>
      <c r="F1607" s="13"/>
      <c r="G1607" s="18">
        <v>15040535.109999999</v>
      </c>
      <c r="H1607" s="18">
        <v>13955453.6</v>
      </c>
      <c r="I1607" s="18">
        <v>15040535.109999999</v>
      </c>
      <c r="J1607" s="18">
        <v>13955453.6</v>
      </c>
      <c r="K1607" s="15">
        <v>29717251</v>
      </c>
      <c r="L1607" s="13" t="s">
        <v>102</v>
      </c>
      <c r="M1607" s="13" t="s">
        <v>103</v>
      </c>
      <c r="N1607" s="138" t="s">
        <v>161</v>
      </c>
      <c r="O1607" s="138" t="s">
        <v>161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1683</v>
      </c>
      <c r="V1607" s="13" t="s">
        <v>1683</v>
      </c>
      <c r="W1607" s="59">
        <f>+J1607/$W$2</f>
        <v>2.2839598549288033E-4</v>
      </c>
    </row>
    <row r="1608" spans="1:29">
      <c r="A1608" s="13" t="s">
        <v>318</v>
      </c>
      <c r="B1608" s="13" t="s">
        <v>404</v>
      </c>
      <c r="C1608" s="138">
        <v>46346</v>
      </c>
      <c r="D1608" s="138" t="s">
        <v>424</v>
      </c>
      <c r="E1608" s="28">
        <v>0.94376218000000001</v>
      </c>
      <c r="F1608" s="13"/>
      <c r="G1608" s="18">
        <v>12000000</v>
      </c>
      <c r="H1608" s="18">
        <v>11325146.1</v>
      </c>
      <c r="I1608" s="18">
        <v>12000000</v>
      </c>
      <c r="J1608" s="18">
        <v>11325146.1</v>
      </c>
      <c r="K1608" s="15">
        <v>34563</v>
      </c>
      <c r="L1608" s="13" t="s">
        <v>102</v>
      </c>
      <c r="M1608" s="13" t="s">
        <v>103</v>
      </c>
      <c r="N1608" s="138" t="s">
        <v>341</v>
      </c>
      <c r="O1608" s="138" t="s">
        <v>341</v>
      </c>
      <c r="P1608" s="28">
        <v>25</v>
      </c>
      <c r="Q1608" s="13" t="s">
        <v>54</v>
      </c>
      <c r="R1608" s="13" t="s">
        <v>28</v>
      </c>
      <c r="S1608" s="13"/>
      <c r="T1608" s="13"/>
      <c r="U1608" s="13" t="s">
        <v>1932</v>
      </c>
      <c r="V1608" s="13" t="s">
        <v>1932</v>
      </c>
      <c r="W1608" s="59">
        <f>+J1608/$W$2</f>
        <v>1.8534817846123971E-4</v>
      </c>
    </row>
    <row r="1609" spans="1:29">
      <c r="A1609" s="13" t="s">
        <v>763</v>
      </c>
      <c r="B1609" s="13" t="s">
        <v>404</v>
      </c>
      <c r="C1609" s="138">
        <v>46346</v>
      </c>
      <c r="D1609" s="138" t="s">
        <v>424</v>
      </c>
      <c r="E1609" s="28">
        <v>0.92097309999999999</v>
      </c>
      <c r="F1609" s="13"/>
      <c r="G1609" s="18">
        <v>1555000.5</v>
      </c>
      <c r="H1609" s="18">
        <v>1432113.63</v>
      </c>
      <c r="I1609" s="18">
        <v>1555000.5</v>
      </c>
      <c r="J1609" s="18">
        <v>1432113.63</v>
      </c>
      <c r="K1609" s="15">
        <v>509</v>
      </c>
      <c r="L1609" s="13" t="s">
        <v>102</v>
      </c>
      <c r="M1609" s="13" t="s">
        <v>103</v>
      </c>
      <c r="N1609" s="138" t="s">
        <v>170</v>
      </c>
      <c r="O1609" s="138" t="s">
        <v>170</v>
      </c>
      <c r="P1609" s="28">
        <v>36</v>
      </c>
      <c r="Q1609" s="13" t="s">
        <v>54</v>
      </c>
      <c r="R1609" s="13" t="s">
        <v>28</v>
      </c>
      <c r="S1609" s="13"/>
      <c r="T1609" s="13"/>
      <c r="U1609" s="13" t="s">
        <v>2458</v>
      </c>
      <c r="V1609" s="13" t="s">
        <v>2458</v>
      </c>
      <c r="W1609" s="59">
        <f>+J1609/$W$2</f>
        <v>2.3438077559989604E-5</v>
      </c>
      <c r="AC1609" s="56"/>
    </row>
    <row r="1610" spans="1:29">
      <c r="A1610" s="13" t="s">
        <v>763</v>
      </c>
      <c r="B1610" s="13" t="s">
        <v>404</v>
      </c>
      <c r="C1610" s="138">
        <v>46346</v>
      </c>
      <c r="D1610" s="138" t="s">
        <v>424</v>
      </c>
      <c r="E1610" s="28">
        <v>0.92503424999999995</v>
      </c>
      <c r="F1610" s="13"/>
      <c r="G1610" s="18">
        <v>5000300.25</v>
      </c>
      <c r="H1610" s="18">
        <v>4625449.01</v>
      </c>
      <c r="I1610" s="18">
        <v>5000300.25</v>
      </c>
      <c r="J1610" s="18">
        <v>4625449.01</v>
      </c>
      <c r="K1610" s="15">
        <v>359</v>
      </c>
      <c r="L1610" s="13" t="s">
        <v>102</v>
      </c>
      <c r="M1610" s="13" t="s">
        <v>103</v>
      </c>
      <c r="N1610" s="138" t="s">
        <v>346</v>
      </c>
      <c r="O1610" s="138" t="s">
        <v>346</v>
      </c>
      <c r="P1610" s="28">
        <v>34</v>
      </c>
      <c r="Q1610" s="13" t="s">
        <v>54</v>
      </c>
      <c r="R1610" s="13" t="s">
        <v>28</v>
      </c>
      <c r="S1610" s="13"/>
      <c r="T1610" s="13"/>
      <c r="U1610" s="13" t="s">
        <v>1497</v>
      </c>
      <c r="V1610" s="13" t="s">
        <v>1497</v>
      </c>
      <c r="W1610" s="59">
        <f>+J1610/$W$2</f>
        <v>7.5700440506356432E-5</v>
      </c>
    </row>
    <row r="1611" spans="1:29">
      <c r="A1611" s="13" t="s">
        <v>405</v>
      </c>
      <c r="B1611" s="13" t="s">
        <v>404</v>
      </c>
      <c r="C1611" s="138">
        <v>46346</v>
      </c>
      <c r="D1611" s="138" t="s">
        <v>424</v>
      </c>
      <c r="E1611" s="28">
        <v>0.9291315</v>
      </c>
      <c r="F1611" s="13"/>
      <c r="G1611" s="18">
        <v>3000000</v>
      </c>
      <c r="H1611" s="18">
        <v>2787394.5</v>
      </c>
      <c r="I1611" s="18">
        <v>3000000</v>
      </c>
      <c r="J1611" s="18">
        <v>2787394.5</v>
      </c>
      <c r="K1611" s="15">
        <v>1060</v>
      </c>
      <c r="L1611" s="13" t="s">
        <v>102</v>
      </c>
      <c r="M1611" s="13" t="s">
        <v>103</v>
      </c>
      <c r="N1611" s="138" t="s">
        <v>424</v>
      </c>
      <c r="O1611" s="138" t="s">
        <v>424</v>
      </c>
      <c r="P1611" s="28">
        <v>32</v>
      </c>
      <c r="Q1611" s="13" t="s">
        <v>54</v>
      </c>
      <c r="R1611" s="13" t="s">
        <v>28</v>
      </c>
      <c r="S1611" s="13"/>
      <c r="T1611" s="13"/>
      <c r="U1611" s="13" t="s">
        <v>2623</v>
      </c>
      <c r="V1611" s="13" t="s">
        <v>2623</v>
      </c>
      <c r="W1611" s="59">
        <f>+J1611/$W$2</f>
        <v>4.5618704488755163E-5</v>
      </c>
    </row>
    <row r="1612" spans="1:29">
      <c r="A1612" s="13" t="s">
        <v>285</v>
      </c>
      <c r="B1612" s="13" t="s">
        <v>404</v>
      </c>
      <c r="C1612" s="138">
        <v>46346</v>
      </c>
      <c r="D1612" s="138" t="s">
        <v>424</v>
      </c>
      <c r="E1612" s="28">
        <v>0.94164395000000001</v>
      </c>
      <c r="F1612" s="13"/>
      <c r="G1612" s="18">
        <v>15000000</v>
      </c>
      <c r="H1612" s="18">
        <v>14124659.310000001</v>
      </c>
      <c r="I1612" s="18">
        <v>15000000</v>
      </c>
      <c r="J1612" s="18">
        <v>14124659.310000001</v>
      </c>
      <c r="K1612" s="15">
        <v>9621096</v>
      </c>
      <c r="L1612" s="13" t="s">
        <v>102</v>
      </c>
      <c r="M1612" s="13" t="s">
        <v>103</v>
      </c>
      <c r="N1612" s="138" t="s">
        <v>339</v>
      </c>
      <c r="O1612" s="138" t="s">
        <v>339</v>
      </c>
      <c r="P1612" s="28">
        <v>26</v>
      </c>
      <c r="Q1612" s="13" t="s">
        <v>54</v>
      </c>
      <c r="R1612" s="13" t="s">
        <v>28</v>
      </c>
      <c r="S1612" s="13"/>
      <c r="T1612" s="13"/>
      <c r="U1612" s="13" t="s">
        <v>1595</v>
      </c>
      <c r="V1612" s="13" t="s">
        <v>1595</v>
      </c>
      <c r="W1612" s="59">
        <f>+J1612/$W$2</f>
        <v>2.3116521865392017E-4</v>
      </c>
    </row>
    <row r="1613" spans="1:29">
      <c r="A1613" s="13" t="s">
        <v>285</v>
      </c>
      <c r="B1613" s="13" t="s">
        <v>404</v>
      </c>
      <c r="C1613" s="138">
        <v>46346</v>
      </c>
      <c r="D1613" s="138" t="s">
        <v>424</v>
      </c>
      <c r="E1613" s="28">
        <v>0.93326518000000003</v>
      </c>
      <c r="F1613" s="13"/>
      <c r="G1613" s="18">
        <v>10000000</v>
      </c>
      <c r="H1613" s="18">
        <v>9332651.8499999996</v>
      </c>
      <c r="I1613" s="18">
        <v>10000000</v>
      </c>
      <c r="J1613" s="18">
        <v>9332651.8499999996</v>
      </c>
      <c r="K1613" s="15">
        <v>109</v>
      </c>
      <c r="L1613" s="13" t="s">
        <v>102</v>
      </c>
      <c r="M1613" s="13" t="s">
        <v>103</v>
      </c>
      <c r="N1613" s="138" t="s">
        <v>342</v>
      </c>
      <c r="O1613" s="138" t="s">
        <v>342</v>
      </c>
      <c r="P1613" s="28">
        <v>30</v>
      </c>
      <c r="Q1613" s="13" t="s">
        <v>54</v>
      </c>
      <c r="R1613" s="13" t="s">
        <v>28</v>
      </c>
      <c r="S1613" s="13"/>
      <c r="T1613" s="13"/>
      <c r="U1613" s="13" t="s">
        <v>2387</v>
      </c>
      <c r="V1613" s="13" t="s">
        <v>2387</v>
      </c>
      <c r="W1613" s="59">
        <f>+J1613/$W$2</f>
        <v>1.5273887023942401E-4</v>
      </c>
    </row>
    <row r="1614" spans="1:29">
      <c r="A1614" s="13" t="s">
        <v>285</v>
      </c>
      <c r="B1614" s="13" t="s">
        <v>404</v>
      </c>
      <c r="C1614" s="138">
        <v>46346</v>
      </c>
      <c r="D1614" s="138" t="s">
        <v>424</v>
      </c>
      <c r="E1614" s="28">
        <v>0.93119375000000004</v>
      </c>
      <c r="F1614" s="13"/>
      <c r="G1614" s="18">
        <v>15000000</v>
      </c>
      <c r="H1614" s="18">
        <v>13967906.23</v>
      </c>
      <c r="I1614" s="18">
        <v>15000000</v>
      </c>
      <c r="J1614" s="18">
        <v>13967906.23</v>
      </c>
      <c r="K1614" s="15">
        <v>2439</v>
      </c>
      <c r="L1614" s="13" t="s">
        <v>102</v>
      </c>
      <c r="M1614" s="13" t="s">
        <v>103</v>
      </c>
      <c r="N1614" s="138" t="s">
        <v>342</v>
      </c>
      <c r="O1614" s="138" t="s">
        <v>342</v>
      </c>
      <c r="P1614" s="28">
        <v>31</v>
      </c>
      <c r="Q1614" s="13" t="s">
        <v>54</v>
      </c>
      <c r="R1614" s="13" t="s">
        <v>28</v>
      </c>
      <c r="S1614" s="13"/>
      <c r="T1614" s="13"/>
      <c r="U1614" s="13" t="s">
        <v>2388</v>
      </c>
      <c r="V1614" s="13" t="s">
        <v>2388</v>
      </c>
      <c r="W1614" s="59">
        <f>+J1614/$W$2</f>
        <v>2.2859978615621588E-4</v>
      </c>
      <c r="AC1614" s="56"/>
    </row>
    <row r="1615" spans="1:29">
      <c r="A1615" s="13" t="s">
        <v>405</v>
      </c>
      <c r="B1615" s="13" t="s">
        <v>404</v>
      </c>
      <c r="C1615" s="138">
        <v>46346</v>
      </c>
      <c r="D1615" s="138" t="s">
        <v>424</v>
      </c>
      <c r="E1615" s="28">
        <v>0.93326536000000004</v>
      </c>
      <c r="F1615" s="13"/>
      <c r="G1615" s="18">
        <v>2500000</v>
      </c>
      <c r="H1615" s="18">
        <v>2333163.39</v>
      </c>
      <c r="I1615" s="18">
        <v>2500000</v>
      </c>
      <c r="J1615" s="18">
        <v>2333163.39</v>
      </c>
      <c r="K1615" s="15">
        <v>899</v>
      </c>
      <c r="L1615" s="13" t="s">
        <v>102</v>
      </c>
      <c r="M1615" s="13" t="s">
        <v>103</v>
      </c>
      <c r="N1615" s="138" t="s">
        <v>484</v>
      </c>
      <c r="O1615" s="138" t="s">
        <v>484</v>
      </c>
      <c r="P1615" s="28">
        <v>30</v>
      </c>
      <c r="Q1615" s="13" t="s">
        <v>54</v>
      </c>
      <c r="R1615" s="13" t="s">
        <v>28</v>
      </c>
      <c r="S1615" s="13"/>
      <c r="T1615" s="13"/>
      <c r="U1615" s="13" t="s">
        <v>2086</v>
      </c>
      <c r="V1615" s="13" t="s">
        <v>2086</v>
      </c>
      <c r="W1615" s="59">
        <f>+J1615/$W$2</f>
        <v>3.8184724556352618E-5</v>
      </c>
    </row>
    <row r="1616" spans="1:29">
      <c r="A1616" s="13" t="s">
        <v>405</v>
      </c>
      <c r="B1616" s="13" t="s">
        <v>404</v>
      </c>
      <c r="C1616" s="138">
        <v>46346</v>
      </c>
      <c r="D1616" s="138" t="s">
        <v>424</v>
      </c>
      <c r="E1616" s="28">
        <v>0.92707843999999995</v>
      </c>
      <c r="F1616" s="13"/>
      <c r="G1616" s="18">
        <v>2500000</v>
      </c>
      <c r="H1616" s="18">
        <v>2317696.11</v>
      </c>
      <c r="I1616" s="18">
        <v>2500000</v>
      </c>
      <c r="J1616" s="18">
        <v>2317696.11</v>
      </c>
      <c r="K1616" s="15">
        <v>1023</v>
      </c>
      <c r="L1616" s="13" t="s">
        <v>102</v>
      </c>
      <c r="M1616" s="13" t="s">
        <v>103</v>
      </c>
      <c r="N1616" s="138" t="s">
        <v>170</v>
      </c>
      <c r="O1616" s="138" t="s">
        <v>170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2483</v>
      </c>
      <c r="V1616" s="13" t="s">
        <v>2483</v>
      </c>
      <c r="W1616" s="59">
        <f>+J1616/$W$2</f>
        <v>3.7931585908211908E-5</v>
      </c>
    </row>
    <row r="1617" spans="1:29">
      <c r="A1617" s="13" t="s">
        <v>1325</v>
      </c>
      <c r="B1617" s="13" t="s">
        <v>404</v>
      </c>
      <c r="C1617" s="138">
        <v>46346</v>
      </c>
      <c r="D1617" s="138" t="s">
        <v>424</v>
      </c>
      <c r="E1617" s="28">
        <v>0.91895594000000003</v>
      </c>
      <c r="F1617" s="13"/>
      <c r="G1617" s="18">
        <v>25000000</v>
      </c>
      <c r="H1617" s="18">
        <v>22973898.48</v>
      </c>
      <c r="I1617" s="18">
        <v>25000000</v>
      </c>
      <c r="J1617" s="18">
        <v>22973898.48</v>
      </c>
      <c r="K1617" s="15">
        <v>2661</v>
      </c>
      <c r="L1617" s="13" t="s">
        <v>102</v>
      </c>
      <c r="M1617" s="13" t="s">
        <v>103</v>
      </c>
      <c r="N1617" s="138" t="s">
        <v>464</v>
      </c>
      <c r="O1617" s="138" t="s">
        <v>464</v>
      </c>
      <c r="P1617" s="28">
        <v>37</v>
      </c>
      <c r="Q1617" s="13" t="s">
        <v>54</v>
      </c>
      <c r="R1617" s="13" t="s">
        <v>28</v>
      </c>
      <c r="S1617" s="13"/>
      <c r="T1617" s="13"/>
      <c r="U1617" s="13" t="s">
        <v>2560</v>
      </c>
      <c r="V1617" s="13" t="s">
        <v>2560</v>
      </c>
      <c r="W1617" s="59">
        <f>+J1617/$W$2</f>
        <v>3.7599252122861741E-4</v>
      </c>
    </row>
    <row r="1618" spans="1:29">
      <c r="A1618" s="13" t="s">
        <v>427</v>
      </c>
      <c r="B1618" s="13" t="s">
        <v>404</v>
      </c>
      <c r="C1618" s="138">
        <v>46346</v>
      </c>
      <c r="D1618" s="138" t="s">
        <v>424</v>
      </c>
      <c r="E1618" s="28">
        <v>0.92503424999999995</v>
      </c>
      <c r="F1618" s="13"/>
      <c r="G1618" s="18">
        <v>100000000</v>
      </c>
      <c r="H1618" s="18">
        <v>92503425.230000004</v>
      </c>
      <c r="I1618" s="18">
        <v>100000000</v>
      </c>
      <c r="J1618" s="18">
        <v>92503425.230000004</v>
      </c>
      <c r="K1618" s="15">
        <v>2210</v>
      </c>
      <c r="L1618" s="13" t="s">
        <v>102</v>
      </c>
      <c r="M1618" s="13" t="s">
        <v>103</v>
      </c>
      <c r="N1618" s="138" t="s">
        <v>342</v>
      </c>
      <c r="O1618" s="138" t="s">
        <v>342</v>
      </c>
      <c r="P1618" s="28">
        <v>34</v>
      </c>
      <c r="Q1618" s="13" t="s">
        <v>54</v>
      </c>
      <c r="R1618" s="13" t="s">
        <v>28</v>
      </c>
      <c r="S1618" s="13"/>
      <c r="T1618" s="13"/>
      <c r="U1618" s="13" t="s">
        <v>2348</v>
      </c>
      <c r="V1618" s="13" t="s">
        <v>2348</v>
      </c>
      <c r="W1618" s="59">
        <f>+J1618/$W$2</f>
        <v>1.5139178970773705E-3</v>
      </c>
    </row>
    <row r="1619" spans="1:29">
      <c r="A1619" s="13" t="s">
        <v>356</v>
      </c>
      <c r="B1619" s="13" t="s">
        <v>404</v>
      </c>
      <c r="C1619" s="138">
        <v>46346</v>
      </c>
      <c r="D1619" s="138" t="s">
        <v>424</v>
      </c>
      <c r="E1619" s="28">
        <v>0.92913151999999999</v>
      </c>
      <c r="F1619" s="13"/>
      <c r="G1619" s="18">
        <v>10000000</v>
      </c>
      <c r="H1619" s="18">
        <v>9291315.2100000009</v>
      </c>
      <c r="I1619" s="18">
        <v>10000000</v>
      </c>
      <c r="J1619" s="18">
        <v>9291315.2100000009</v>
      </c>
      <c r="K1619" s="15">
        <v>13953470</v>
      </c>
      <c r="L1619" s="13" t="s">
        <v>102</v>
      </c>
      <c r="M1619" s="13" t="s">
        <v>103</v>
      </c>
      <c r="N1619" s="138" t="s">
        <v>341</v>
      </c>
      <c r="O1619" s="138" t="s">
        <v>341</v>
      </c>
      <c r="P1619" s="28">
        <v>32</v>
      </c>
      <c r="Q1619" s="13" t="s">
        <v>54</v>
      </c>
      <c r="R1619" s="13" t="s">
        <v>28</v>
      </c>
      <c r="S1619" s="13"/>
      <c r="T1619" s="13"/>
      <c r="U1619" s="13" t="s">
        <v>1935</v>
      </c>
      <c r="V1619" s="13" t="s">
        <v>1935</v>
      </c>
      <c r="W1619" s="59">
        <f>+J1619/$W$2</f>
        <v>1.520623517327261E-4</v>
      </c>
    </row>
    <row r="1620" spans="1:29">
      <c r="A1620" s="13" t="s">
        <v>138</v>
      </c>
      <c r="B1620" s="13" t="s">
        <v>404</v>
      </c>
      <c r="C1620" s="138">
        <v>46350</v>
      </c>
      <c r="D1620" s="138" t="s">
        <v>424</v>
      </c>
      <c r="E1620" s="28">
        <v>0.91974321000000003</v>
      </c>
      <c r="F1620" s="13"/>
      <c r="G1620" s="18">
        <v>100000000</v>
      </c>
      <c r="H1620" s="18">
        <v>91974320.790000007</v>
      </c>
      <c r="I1620" s="18">
        <v>100000000</v>
      </c>
      <c r="J1620" s="18">
        <v>91974320.790000007</v>
      </c>
      <c r="K1620" s="15">
        <v>98</v>
      </c>
      <c r="L1620" s="13" t="s">
        <v>102</v>
      </c>
      <c r="M1620" s="13" t="s">
        <v>103</v>
      </c>
      <c r="N1620" s="138" t="s">
        <v>464</v>
      </c>
      <c r="O1620" s="138" t="s">
        <v>464</v>
      </c>
      <c r="P1620" s="28">
        <v>35</v>
      </c>
      <c r="Q1620" s="13" t="s">
        <v>54</v>
      </c>
      <c r="R1620" s="13" t="s">
        <v>28</v>
      </c>
      <c r="S1620" s="13"/>
      <c r="T1620" s="13"/>
      <c r="U1620" s="13" t="s">
        <v>2536</v>
      </c>
      <c r="V1620" s="13" t="s">
        <v>2536</v>
      </c>
      <c r="W1620" s="59">
        <f>+J1620/$W$2</f>
        <v>1.5052585346900056E-3</v>
      </c>
    </row>
    <row r="1621" spans="1:29">
      <c r="A1621" s="13" t="s">
        <v>763</v>
      </c>
      <c r="B1621" s="13" t="s">
        <v>404</v>
      </c>
      <c r="C1621" s="138">
        <v>46350</v>
      </c>
      <c r="D1621" s="138" t="s">
        <v>424</v>
      </c>
      <c r="E1621" s="28">
        <v>0.91763888999999998</v>
      </c>
      <c r="F1621" s="13"/>
      <c r="G1621" s="18">
        <v>1555000.5</v>
      </c>
      <c r="H1621" s="18">
        <v>1426928.94</v>
      </c>
      <c r="I1621" s="18">
        <v>1555000.5</v>
      </c>
      <c r="J1621" s="18">
        <v>1426928.94</v>
      </c>
      <c r="K1621" s="15">
        <v>510</v>
      </c>
      <c r="L1621" s="13" t="s">
        <v>102</v>
      </c>
      <c r="M1621" s="13" t="s">
        <v>103</v>
      </c>
      <c r="N1621" s="138" t="s">
        <v>170</v>
      </c>
      <c r="O1621" s="138" t="s">
        <v>170</v>
      </c>
      <c r="P1621" s="28">
        <v>36</v>
      </c>
      <c r="Q1621" s="13" t="s">
        <v>54</v>
      </c>
      <c r="R1621" s="13" t="s">
        <v>28</v>
      </c>
      <c r="S1621" s="13"/>
      <c r="T1621" s="13"/>
      <c r="U1621" s="13" t="s">
        <v>2459</v>
      </c>
      <c r="V1621" s="13" t="s">
        <v>2459</v>
      </c>
      <c r="W1621" s="59">
        <f>+J1621/$W$2</f>
        <v>2.3353224540090268E-5</v>
      </c>
    </row>
    <row r="1622" spans="1:29">
      <c r="A1622" s="13" t="s">
        <v>763</v>
      </c>
      <c r="B1622" s="13" t="s">
        <v>404</v>
      </c>
      <c r="C1622" s="138">
        <v>46350</v>
      </c>
      <c r="D1622" s="138" t="s">
        <v>424</v>
      </c>
      <c r="E1622" s="28">
        <v>0.92185687000000005</v>
      </c>
      <c r="F1622" s="13"/>
      <c r="G1622" s="18">
        <v>5000300.25</v>
      </c>
      <c r="H1622" s="18">
        <v>4609561.1399999997</v>
      </c>
      <c r="I1622" s="18">
        <v>5000300.25</v>
      </c>
      <c r="J1622" s="18">
        <v>4609561.1399999997</v>
      </c>
      <c r="K1622" s="15">
        <v>360</v>
      </c>
      <c r="L1622" s="13" t="s">
        <v>102</v>
      </c>
      <c r="M1622" s="13" t="s">
        <v>103</v>
      </c>
      <c r="N1622" s="138" t="s">
        <v>346</v>
      </c>
      <c r="O1622" s="138" t="s">
        <v>346</v>
      </c>
      <c r="P1622" s="28">
        <v>34</v>
      </c>
      <c r="Q1622" s="13" t="s">
        <v>54</v>
      </c>
      <c r="R1622" s="13" t="s">
        <v>28</v>
      </c>
      <c r="S1622" s="13"/>
      <c r="T1622" s="13"/>
      <c r="U1622" s="13" t="s">
        <v>1499</v>
      </c>
      <c r="V1622" s="13" t="s">
        <v>1499</v>
      </c>
      <c r="W1622" s="59">
        <f>+J1622/$W$2</f>
        <v>7.5440418451177025E-5</v>
      </c>
    </row>
    <row r="1623" spans="1:29">
      <c r="A1623" s="13" t="s">
        <v>2210</v>
      </c>
      <c r="B1623" s="13" t="s">
        <v>404</v>
      </c>
      <c r="C1623" s="138">
        <v>46350</v>
      </c>
      <c r="D1623" s="138" t="s">
        <v>424</v>
      </c>
      <c r="E1623" s="28">
        <v>0.93474718000000001</v>
      </c>
      <c r="F1623" s="13"/>
      <c r="G1623" s="18">
        <v>7098063.4299999997</v>
      </c>
      <c r="H1623" s="18">
        <v>6634894.7800000003</v>
      </c>
      <c r="I1623" s="18">
        <v>7098063.4299999997</v>
      </c>
      <c r="J1623" s="18">
        <v>6634894.7800000003</v>
      </c>
      <c r="K1623" s="15">
        <v>90027050</v>
      </c>
      <c r="L1623" s="13" t="s">
        <v>102</v>
      </c>
      <c r="M1623" s="13" t="s">
        <v>103</v>
      </c>
      <c r="N1623" s="138" t="s">
        <v>639</v>
      </c>
      <c r="O1623" s="138" t="s">
        <v>639</v>
      </c>
      <c r="P1623" s="28">
        <v>28</v>
      </c>
      <c r="Q1623" s="13" t="s">
        <v>54</v>
      </c>
      <c r="R1623" s="13" t="s">
        <v>28</v>
      </c>
      <c r="S1623" s="13"/>
      <c r="T1623" s="13"/>
      <c r="U1623" s="13" t="s">
        <v>2200</v>
      </c>
      <c r="V1623" s="13" t="s">
        <v>2200</v>
      </c>
      <c r="W1623" s="59">
        <f>+J1623/$W$2</f>
        <v>1.085871785578985E-4</v>
      </c>
    </row>
    <row r="1624" spans="1:29">
      <c r="A1624" s="13" t="s">
        <v>405</v>
      </c>
      <c r="B1624" s="13" t="s">
        <v>404</v>
      </c>
      <c r="C1624" s="138">
        <v>46350</v>
      </c>
      <c r="D1624" s="138" t="s">
        <v>424</v>
      </c>
      <c r="E1624" s="28">
        <v>0.93041057999999999</v>
      </c>
      <c r="F1624" s="13"/>
      <c r="G1624" s="18">
        <v>2500000</v>
      </c>
      <c r="H1624" s="18">
        <v>2326026.46</v>
      </c>
      <c r="I1624" s="18">
        <v>2500000</v>
      </c>
      <c r="J1624" s="18">
        <v>2326026.46</v>
      </c>
      <c r="K1624" s="15">
        <v>891</v>
      </c>
      <c r="L1624" s="13" t="s">
        <v>102</v>
      </c>
      <c r="M1624" s="13" t="s">
        <v>103</v>
      </c>
      <c r="N1624" s="138" t="s">
        <v>484</v>
      </c>
      <c r="O1624" s="138" t="s">
        <v>484</v>
      </c>
      <c r="P1624" s="28">
        <v>30</v>
      </c>
      <c r="Q1624" s="13" t="s">
        <v>54</v>
      </c>
      <c r="R1624" s="13" t="s">
        <v>28</v>
      </c>
      <c r="S1624" s="13"/>
      <c r="T1624" s="13"/>
      <c r="U1624" s="13" t="s">
        <v>2087</v>
      </c>
      <c r="V1624" s="13" t="s">
        <v>2087</v>
      </c>
      <c r="W1624" s="59">
        <f>+J1624/$W$2</f>
        <v>3.8067921032263383E-5</v>
      </c>
    </row>
    <row r="1625" spans="1:29">
      <c r="A1625" s="13" t="s">
        <v>405</v>
      </c>
      <c r="B1625" s="13" t="s">
        <v>404</v>
      </c>
      <c r="C1625" s="138">
        <v>46350</v>
      </c>
      <c r="D1625" s="138" t="s">
        <v>424</v>
      </c>
      <c r="E1625" s="28">
        <v>0.92398057</v>
      </c>
      <c r="F1625" s="13"/>
      <c r="G1625" s="18">
        <v>2500000</v>
      </c>
      <c r="H1625" s="18">
        <v>2309951.4300000002</v>
      </c>
      <c r="I1625" s="18">
        <v>2500000</v>
      </c>
      <c r="J1625" s="18">
        <v>2309951.4300000002</v>
      </c>
      <c r="K1625" s="15">
        <v>1024</v>
      </c>
      <c r="L1625" s="13" t="s">
        <v>102</v>
      </c>
      <c r="M1625" s="13" t="s">
        <v>103</v>
      </c>
      <c r="N1625" s="138" t="s">
        <v>170</v>
      </c>
      <c r="O1625" s="138" t="s">
        <v>170</v>
      </c>
      <c r="P1625" s="28">
        <v>33</v>
      </c>
      <c r="Q1625" s="13" t="s">
        <v>54</v>
      </c>
      <c r="R1625" s="13" t="s">
        <v>28</v>
      </c>
      <c r="S1625" s="13"/>
      <c r="T1625" s="13"/>
      <c r="U1625" s="13" t="s">
        <v>2484</v>
      </c>
      <c r="V1625" s="13" t="s">
        <v>2484</v>
      </c>
      <c r="W1625" s="59">
        <f>+J1625/$W$2</f>
        <v>3.7804835902685258E-5</v>
      </c>
    </row>
    <row r="1626" spans="1:29">
      <c r="A1626" s="13" t="s">
        <v>405</v>
      </c>
      <c r="B1626" s="13" t="s">
        <v>404</v>
      </c>
      <c r="C1626" s="138">
        <v>46350</v>
      </c>
      <c r="D1626" s="138" t="s">
        <v>424</v>
      </c>
      <c r="E1626" s="28">
        <v>0.92611389</v>
      </c>
      <c r="F1626" s="13"/>
      <c r="G1626" s="18">
        <v>3000000</v>
      </c>
      <c r="H1626" s="18">
        <v>2778341.68</v>
      </c>
      <c r="I1626" s="18">
        <v>3000000</v>
      </c>
      <c r="J1626" s="18">
        <v>2778341.68</v>
      </c>
      <c r="K1626" s="15">
        <v>1061</v>
      </c>
      <c r="L1626" s="13" t="s">
        <v>102</v>
      </c>
      <c r="M1626" s="13" t="s">
        <v>103</v>
      </c>
      <c r="N1626" s="138" t="s">
        <v>424</v>
      </c>
      <c r="O1626" s="138" t="s">
        <v>424</v>
      </c>
      <c r="P1626" s="28">
        <v>32</v>
      </c>
      <c r="Q1626" s="13" t="s">
        <v>54</v>
      </c>
      <c r="R1626" s="13" t="s">
        <v>28</v>
      </c>
      <c r="S1626" s="13"/>
      <c r="T1626" s="13"/>
      <c r="U1626" s="13" t="s">
        <v>2609</v>
      </c>
      <c r="V1626" s="13" t="s">
        <v>2609</v>
      </c>
      <c r="W1626" s="59">
        <f>+J1626/$W$2</f>
        <v>4.547054536726379E-5</v>
      </c>
    </row>
    <row r="1627" spans="1:29">
      <c r="A1627" s="13" t="s">
        <v>375</v>
      </c>
      <c r="B1627" s="13" t="s">
        <v>404</v>
      </c>
      <c r="C1627" s="138">
        <v>46350</v>
      </c>
      <c r="D1627" s="138" t="s">
        <v>424</v>
      </c>
      <c r="E1627" s="28">
        <v>0.91763890000000004</v>
      </c>
      <c r="F1627" s="13"/>
      <c r="G1627" s="18">
        <v>3789564.21</v>
      </c>
      <c r="H1627" s="18">
        <v>3477451.52</v>
      </c>
      <c r="I1627" s="18">
        <v>3789564.21</v>
      </c>
      <c r="J1627" s="18">
        <v>3477451.52</v>
      </c>
      <c r="K1627" s="15">
        <v>3278</v>
      </c>
      <c r="L1627" s="13" t="s">
        <v>102</v>
      </c>
      <c r="M1627" s="13" t="s">
        <v>103</v>
      </c>
      <c r="N1627" s="138" t="s">
        <v>170</v>
      </c>
      <c r="O1627" s="138" t="s">
        <v>170</v>
      </c>
      <c r="P1627" s="28">
        <v>36</v>
      </c>
      <c r="Q1627" s="13" t="s">
        <v>54</v>
      </c>
      <c r="R1627" s="13" t="s">
        <v>28</v>
      </c>
      <c r="S1627" s="13"/>
      <c r="T1627" s="13"/>
      <c r="U1627" s="13" t="s">
        <v>2467</v>
      </c>
      <c r="V1627" s="13" t="s">
        <v>2467</v>
      </c>
      <c r="W1627" s="59">
        <f>+J1627/$W$2</f>
        <v>5.6912228701338283E-5</v>
      </c>
      <c r="AC1627" s="56"/>
    </row>
    <row r="1628" spans="1:29">
      <c r="A1628" s="13" t="s">
        <v>1325</v>
      </c>
      <c r="B1628" s="13" t="s">
        <v>404</v>
      </c>
      <c r="C1628" s="138">
        <v>46350</v>
      </c>
      <c r="D1628" s="138" t="s">
        <v>424</v>
      </c>
      <c r="E1628" s="28">
        <v>0.91554442999999996</v>
      </c>
      <c r="F1628" s="13"/>
      <c r="G1628" s="18">
        <v>25000000</v>
      </c>
      <c r="H1628" s="18">
        <v>22888610.719999999</v>
      </c>
      <c r="I1628" s="18">
        <v>25000000</v>
      </c>
      <c r="J1628" s="18">
        <v>22888610.719999999</v>
      </c>
      <c r="K1628" s="15">
        <v>2662</v>
      </c>
      <c r="L1628" s="13" t="s">
        <v>102</v>
      </c>
      <c r="M1628" s="13" t="s">
        <v>103</v>
      </c>
      <c r="N1628" s="138" t="s">
        <v>464</v>
      </c>
      <c r="O1628" s="138" t="s">
        <v>464</v>
      </c>
      <c r="P1628" s="28">
        <v>37</v>
      </c>
      <c r="Q1628" s="13" t="s">
        <v>54</v>
      </c>
      <c r="R1628" s="13" t="s">
        <v>28</v>
      </c>
      <c r="S1628" s="13"/>
      <c r="T1628" s="13"/>
      <c r="U1628" s="13" t="s">
        <v>2564</v>
      </c>
      <c r="V1628" s="13" t="s">
        <v>2564</v>
      </c>
      <c r="W1628" s="59">
        <f>+J1628/$W$2</f>
        <v>3.7459669544222517E-4</v>
      </c>
    </row>
    <row r="1629" spans="1:29">
      <c r="A1629" s="13" t="s">
        <v>144</v>
      </c>
      <c r="B1629" s="13" t="s">
        <v>404</v>
      </c>
      <c r="C1629" s="138">
        <v>46350</v>
      </c>
      <c r="D1629" s="138" t="s">
        <v>424</v>
      </c>
      <c r="E1629" s="28">
        <v>0.91974308999999999</v>
      </c>
      <c r="F1629" s="13"/>
      <c r="G1629" s="18">
        <v>20000000</v>
      </c>
      <c r="H1629" s="18">
        <v>18394861.879999999</v>
      </c>
      <c r="I1629" s="18">
        <v>20000000</v>
      </c>
      <c r="J1629" s="18">
        <v>18394861.879999999</v>
      </c>
      <c r="K1629" s="15">
        <v>147</v>
      </c>
      <c r="L1629" s="13" t="s">
        <v>102</v>
      </c>
      <c r="M1629" s="13" t="s">
        <v>103</v>
      </c>
      <c r="N1629" s="138" t="s">
        <v>170</v>
      </c>
      <c r="O1629" s="138" t="s">
        <v>170</v>
      </c>
      <c r="P1629" s="28">
        <v>35</v>
      </c>
      <c r="Q1629" s="13" t="s">
        <v>54</v>
      </c>
      <c r="R1629" s="13" t="s">
        <v>28</v>
      </c>
      <c r="S1629" s="13"/>
      <c r="T1629" s="13"/>
      <c r="U1629" s="13" t="s">
        <v>2456</v>
      </c>
      <c r="V1629" s="13" t="s">
        <v>2456</v>
      </c>
      <c r="W1629" s="59">
        <f>+J1629/$W$2</f>
        <v>3.0105166965608464E-4</v>
      </c>
    </row>
    <row r="1630" spans="1:29">
      <c r="A1630" s="13" t="s">
        <v>917</v>
      </c>
      <c r="B1630" s="13" t="s">
        <v>404</v>
      </c>
      <c r="C1630" s="138">
        <v>46350</v>
      </c>
      <c r="D1630" s="138" t="s">
        <v>424</v>
      </c>
      <c r="E1630" s="28">
        <v>0.92398071999999998</v>
      </c>
      <c r="F1630" s="13"/>
      <c r="G1630" s="18">
        <v>5800000</v>
      </c>
      <c r="H1630" s="18">
        <v>5359088.17</v>
      </c>
      <c r="I1630" s="18">
        <v>5800000</v>
      </c>
      <c r="J1630" s="18">
        <v>5359088.17</v>
      </c>
      <c r="K1630" s="15">
        <v>6581</v>
      </c>
      <c r="L1630" s="13" t="s">
        <v>102</v>
      </c>
      <c r="M1630" s="13" t="s">
        <v>103</v>
      </c>
      <c r="N1630" s="138" t="s">
        <v>445</v>
      </c>
      <c r="O1630" s="138" t="s">
        <v>445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2533</v>
      </c>
      <c r="V1630" s="13" t="s">
        <v>2533</v>
      </c>
      <c r="W1630" s="59">
        <f>+J1630/$W$2</f>
        <v>8.7707233244671209E-5</v>
      </c>
    </row>
    <row r="1631" spans="1:29">
      <c r="A1631" s="13" t="s">
        <v>232</v>
      </c>
      <c r="B1631" s="13" t="s">
        <v>404</v>
      </c>
      <c r="C1631" s="138">
        <v>46351</v>
      </c>
      <c r="D1631" s="138" t="s">
        <v>424</v>
      </c>
      <c r="E1631" s="28">
        <v>0.92320943</v>
      </c>
      <c r="F1631" s="13"/>
      <c r="G1631" s="18">
        <v>25000000</v>
      </c>
      <c r="H1631" s="18">
        <v>23080235.73</v>
      </c>
      <c r="I1631" s="18">
        <v>25000000</v>
      </c>
      <c r="J1631" s="18">
        <v>23080235.73</v>
      </c>
      <c r="K1631" s="15">
        <v>475885</v>
      </c>
      <c r="L1631" s="13" t="s">
        <v>102</v>
      </c>
      <c r="M1631" s="13" t="s">
        <v>103</v>
      </c>
      <c r="N1631" s="138" t="s">
        <v>371</v>
      </c>
      <c r="O1631" s="138" t="s">
        <v>371</v>
      </c>
      <c r="P1631" s="28">
        <v>33</v>
      </c>
      <c r="Q1631" s="13" t="s">
        <v>54</v>
      </c>
      <c r="R1631" s="13" t="s">
        <v>28</v>
      </c>
      <c r="S1631" s="13"/>
      <c r="T1631" s="13"/>
      <c r="U1631" s="13" t="s">
        <v>2117</v>
      </c>
      <c r="V1631" s="13" t="s">
        <v>2117</v>
      </c>
      <c r="W1631" s="59">
        <f>+J1631/$W$2</f>
        <v>3.777328445247626E-4</v>
      </c>
    </row>
    <row r="1632" spans="1:29">
      <c r="A1632" s="13" t="s">
        <v>763</v>
      </c>
      <c r="B1632" s="13" t="s">
        <v>404</v>
      </c>
      <c r="C1632" s="138">
        <v>46351</v>
      </c>
      <c r="D1632" s="138" t="s">
        <v>424</v>
      </c>
      <c r="E1632" s="28">
        <v>0.92106608000000001</v>
      </c>
      <c r="F1632" s="13"/>
      <c r="G1632" s="18">
        <v>5000300.25</v>
      </c>
      <c r="H1632" s="18">
        <v>4605606.96</v>
      </c>
      <c r="I1632" s="18">
        <v>5000300.25</v>
      </c>
      <c r="J1632" s="18">
        <v>4605606.96</v>
      </c>
      <c r="K1632" s="15">
        <v>361</v>
      </c>
      <c r="L1632" s="13" t="s">
        <v>102</v>
      </c>
      <c r="M1632" s="13" t="s">
        <v>103</v>
      </c>
      <c r="N1632" s="138" t="s">
        <v>346</v>
      </c>
      <c r="O1632" s="138" t="s">
        <v>346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1506</v>
      </c>
      <c r="V1632" s="13" t="s">
        <v>1506</v>
      </c>
      <c r="W1632" s="59">
        <f>+J1632/$W$2</f>
        <v>7.5375704048922395E-5</v>
      </c>
    </row>
    <row r="1633" spans="1:29">
      <c r="A1633" s="13" t="s">
        <v>426</v>
      </c>
      <c r="B1633" s="13" t="s">
        <v>404</v>
      </c>
      <c r="C1633" s="138">
        <v>46351</v>
      </c>
      <c r="D1633" s="138" t="s">
        <v>424</v>
      </c>
      <c r="E1633" s="28">
        <v>0.91680907</v>
      </c>
      <c r="F1633" s="13"/>
      <c r="G1633" s="18">
        <v>9450000</v>
      </c>
      <c r="H1633" s="18">
        <v>8663845.7300000004</v>
      </c>
      <c r="I1633" s="18">
        <v>9450000</v>
      </c>
      <c r="J1633" s="18">
        <v>8663845.7300000004</v>
      </c>
      <c r="K1633" s="15">
        <v>66335232</v>
      </c>
      <c r="L1633" s="13" t="s">
        <v>102</v>
      </c>
      <c r="M1633" s="13" t="s">
        <v>103</v>
      </c>
      <c r="N1633" s="138" t="s">
        <v>289</v>
      </c>
      <c r="O1633" s="138" t="s">
        <v>289</v>
      </c>
      <c r="P1633" s="28">
        <v>36</v>
      </c>
      <c r="Q1633" s="13" t="s">
        <v>54</v>
      </c>
      <c r="R1633" s="13" t="s">
        <v>28</v>
      </c>
      <c r="S1633" s="13"/>
      <c r="T1633" s="13"/>
      <c r="U1633" s="13" t="s">
        <v>572</v>
      </c>
      <c r="V1633" s="13" t="s">
        <v>572</v>
      </c>
      <c r="W1633" s="59">
        <f>+J1633/$W$2</f>
        <v>1.4179313982754622E-4</v>
      </c>
    </row>
    <row r="1634" spans="1:29">
      <c r="A1634" s="13" t="s">
        <v>405</v>
      </c>
      <c r="B1634" s="13" t="s">
        <v>404</v>
      </c>
      <c r="C1634" s="138">
        <v>46351</v>
      </c>
      <c r="D1634" s="138" t="s">
        <v>424</v>
      </c>
      <c r="E1634" s="28">
        <v>0.92536275999999995</v>
      </c>
      <c r="F1634" s="13"/>
      <c r="G1634" s="18">
        <v>3000000</v>
      </c>
      <c r="H1634" s="18">
        <v>2776088.27</v>
      </c>
      <c r="I1634" s="18">
        <v>3000000</v>
      </c>
      <c r="J1634" s="18">
        <v>2776088.27</v>
      </c>
      <c r="K1634" s="15">
        <v>1062</v>
      </c>
      <c r="L1634" s="13" t="s">
        <v>102</v>
      </c>
      <c r="M1634" s="13" t="s">
        <v>103</v>
      </c>
      <c r="N1634" s="138" t="s">
        <v>424</v>
      </c>
      <c r="O1634" s="138" t="s">
        <v>424</v>
      </c>
      <c r="P1634" s="28">
        <v>32</v>
      </c>
      <c r="Q1634" s="13" t="s">
        <v>54</v>
      </c>
      <c r="R1634" s="13" t="s">
        <v>28</v>
      </c>
      <c r="S1634" s="13"/>
      <c r="T1634" s="13"/>
      <c r="U1634" s="13" t="s">
        <v>2627</v>
      </c>
      <c r="V1634" s="13" t="s">
        <v>2627</v>
      </c>
      <c r="W1634" s="59">
        <f>+J1634/$W$2</f>
        <v>4.5433665892585196E-5</v>
      </c>
    </row>
    <row r="1635" spans="1:29">
      <c r="A1635" s="13" t="s">
        <v>565</v>
      </c>
      <c r="B1635" s="13" t="s">
        <v>404</v>
      </c>
      <c r="C1635" s="138">
        <v>46351</v>
      </c>
      <c r="D1635" s="138" t="s">
        <v>424</v>
      </c>
      <c r="E1635" s="28">
        <v>0.93188325999999999</v>
      </c>
      <c r="F1635" s="13"/>
      <c r="G1635" s="18">
        <v>30000000</v>
      </c>
      <c r="H1635" s="18">
        <v>27956497.73</v>
      </c>
      <c r="I1635" s="18">
        <v>30000000</v>
      </c>
      <c r="J1635" s="18">
        <v>27956497.73</v>
      </c>
      <c r="K1635" s="15">
        <v>67</v>
      </c>
      <c r="L1635" s="13" t="s">
        <v>102</v>
      </c>
      <c r="M1635" s="13" t="s">
        <v>103</v>
      </c>
      <c r="N1635" s="138" t="s">
        <v>282</v>
      </c>
      <c r="O1635" s="138" t="s">
        <v>282</v>
      </c>
      <c r="P1635" s="28">
        <v>29</v>
      </c>
      <c r="Q1635" s="13" t="s">
        <v>54</v>
      </c>
      <c r="R1635" s="13" t="s">
        <v>28</v>
      </c>
      <c r="S1635" s="13"/>
      <c r="T1635" s="13"/>
      <c r="U1635" s="13" t="s">
        <v>827</v>
      </c>
      <c r="V1635" s="13" t="s">
        <v>827</v>
      </c>
      <c r="W1635" s="59">
        <f>+J1635/$W$2</f>
        <v>4.5753810897073398E-4</v>
      </c>
    </row>
    <row r="1636" spans="1:29">
      <c r="A1636" s="13" t="s">
        <v>285</v>
      </c>
      <c r="B1636" s="13" t="s">
        <v>404</v>
      </c>
      <c r="C1636" s="138">
        <v>46351</v>
      </c>
      <c r="D1636" s="138" t="s">
        <v>424</v>
      </c>
      <c r="E1636" s="28">
        <v>0.92752610999999996</v>
      </c>
      <c r="F1636" s="13"/>
      <c r="G1636" s="18">
        <v>15000000</v>
      </c>
      <c r="H1636" s="18">
        <v>13912891.6</v>
      </c>
      <c r="I1636" s="18">
        <v>15000000</v>
      </c>
      <c r="J1636" s="18">
        <v>13912891.6</v>
      </c>
      <c r="K1636" s="15">
        <v>2440</v>
      </c>
      <c r="L1636" s="13" t="s">
        <v>102</v>
      </c>
      <c r="M1636" s="13" t="s">
        <v>103</v>
      </c>
      <c r="N1636" s="138" t="s">
        <v>342</v>
      </c>
      <c r="O1636" s="138" t="s">
        <v>342</v>
      </c>
      <c r="P1636" s="28">
        <v>31</v>
      </c>
      <c r="Q1636" s="13" t="s">
        <v>54</v>
      </c>
      <c r="R1636" s="13" t="s">
        <v>28</v>
      </c>
      <c r="S1636" s="13"/>
      <c r="T1636" s="13"/>
      <c r="U1636" s="13" t="s">
        <v>2392</v>
      </c>
      <c r="V1636" s="13" t="s">
        <v>2392</v>
      </c>
      <c r="W1636" s="59">
        <f>+J1636/$W$2</f>
        <v>2.2769941265381847E-4</v>
      </c>
    </row>
    <row r="1637" spans="1:29">
      <c r="A1637" s="13" t="s">
        <v>405</v>
      </c>
      <c r="B1637" s="13" t="s">
        <v>404</v>
      </c>
      <c r="C1637" s="138">
        <v>46351</v>
      </c>
      <c r="D1637" s="138" t="s">
        <v>424</v>
      </c>
      <c r="E1637" s="28">
        <v>0.92320926999999997</v>
      </c>
      <c r="F1637" s="13"/>
      <c r="G1637" s="18">
        <v>2500000</v>
      </c>
      <c r="H1637" s="18">
        <v>2308023.1800000002</v>
      </c>
      <c r="I1637" s="18">
        <v>2500000</v>
      </c>
      <c r="J1637" s="18">
        <v>2308023.1800000002</v>
      </c>
      <c r="K1637" s="15">
        <v>1025</v>
      </c>
      <c r="L1637" s="13" t="s">
        <v>102</v>
      </c>
      <c r="M1637" s="13" t="s">
        <v>103</v>
      </c>
      <c r="N1637" s="138" t="s">
        <v>170</v>
      </c>
      <c r="O1637" s="138" t="s">
        <v>170</v>
      </c>
      <c r="P1637" s="28">
        <v>33</v>
      </c>
      <c r="Q1637" s="13" t="s">
        <v>54</v>
      </c>
      <c r="R1637" s="13" t="s">
        <v>28</v>
      </c>
      <c r="S1637" s="13"/>
      <c r="T1637" s="13"/>
      <c r="U1637" s="13" t="s">
        <v>2485</v>
      </c>
      <c r="V1637" s="13" t="s">
        <v>2485</v>
      </c>
      <c r="W1637" s="59">
        <f>+J1637/$W$2</f>
        <v>3.7773278020609199E-5</v>
      </c>
      <c r="AB1637" s="52"/>
      <c r="AC1637" s="56"/>
    </row>
    <row r="1638" spans="1:29">
      <c r="A1638" s="13" t="s">
        <v>1325</v>
      </c>
      <c r="B1638" s="13" t="s">
        <v>404</v>
      </c>
      <c r="C1638" s="138">
        <v>46351</v>
      </c>
      <c r="D1638" s="138" t="s">
        <v>424</v>
      </c>
      <c r="E1638" s="28">
        <v>0.91469542999999998</v>
      </c>
      <c r="F1638" s="13"/>
      <c r="G1638" s="18">
        <v>25000000</v>
      </c>
      <c r="H1638" s="18">
        <v>22867385.719999999</v>
      </c>
      <c r="I1638" s="18">
        <v>25000000</v>
      </c>
      <c r="J1638" s="18">
        <v>22867385.719999999</v>
      </c>
      <c r="K1638" s="15">
        <v>2663</v>
      </c>
      <c r="L1638" s="13" t="s">
        <v>102</v>
      </c>
      <c r="M1638" s="13" t="s">
        <v>103</v>
      </c>
      <c r="N1638" s="138" t="s">
        <v>464</v>
      </c>
      <c r="O1638" s="138" t="s">
        <v>464</v>
      </c>
      <c r="P1638" s="28">
        <v>37</v>
      </c>
      <c r="Q1638" s="13" t="s">
        <v>54</v>
      </c>
      <c r="R1638" s="13" t="s">
        <v>28</v>
      </c>
      <c r="S1638" s="13"/>
      <c r="T1638" s="13"/>
      <c r="U1638" s="13" t="s">
        <v>2561</v>
      </c>
      <c r="V1638" s="13" t="s">
        <v>2561</v>
      </c>
      <c r="W1638" s="59">
        <f>+J1638/$W$2</f>
        <v>3.7424932552283493E-4</v>
      </c>
    </row>
    <row r="1639" spans="1:29">
      <c r="A1639" s="13" t="s">
        <v>2317</v>
      </c>
      <c r="B1639" s="13" t="s">
        <v>404</v>
      </c>
      <c r="C1639" s="138">
        <v>46351</v>
      </c>
      <c r="D1639" s="138" t="s">
        <v>424</v>
      </c>
      <c r="E1639" s="28">
        <v>0.93407722999999998</v>
      </c>
      <c r="F1639" s="13"/>
      <c r="G1639" s="18">
        <v>150000000</v>
      </c>
      <c r="H1639" s="18">
        <v>140111585.03</v>
      </c>
      <c r="I1639" s="18">
        <v>150000000</v>
      </c>
      <c r="J1639" s="18">
        <v>140111585.03</v>
      </c>
      <c r="K1639" s="15">
        <v>78</v>
      </c>
      <c r="L1639" s="13" t="s">
        <v>102</v>
      </c>
      <c r="M1639" s="13" t="s">
        <v>103</v>
      </c>
      <c r="N1639" s="138" t="s">
        <v>441</v>
      </c>
      <c r="O1639" s="138" t="s">
        <v>441</v>
      </c>
      <c r="P1639" s="28">
        <v>28</v>
      </c>
      <c r="Q1639" s="13" t="s">
        <v>54</v>
      </c>
      <c r="R1639" s="13" t="s">
        <v>28</v>
      </c>
      <c r="S1639" s="13"/>
      <c r="T1639" s="13"/>
      <c r="U1639" s="13" t="s">
        <v>2299</v>
      </c>
      <c r="V1639" s="13" t="s">
        <v>2299</v>
      </c>
      <c r="W1639" s="59">
        <f>+J1639/$W$2</f>
        <v>2.2930765605423493E-3</v>
      </c>
    </row>
    <row r="1640" spans="1:29">
      <c r="A1640" s="13" t="s">
        <v>279</v>
      </c>
      <c r="B1640" s="13" t="s">
        <v>404</v>
      </c>
      <c r="C1640" s="138">
        <v>46351</v>
      </c>
      <c r="D1640" s="138" t="s">
        <v>424</v>
      </c>
      <c r="E1640" s="28">
        <v>0.93407720999999999</v>
      </c>
      <c r="F1640" s="13"/>
      <c r="G1640" s="18">
        <v>50000000</v>
      </c>
      <c r="H1640" s="18">
        <v>46703860.359999999</v>
      </c>
      <c r="I1640" s="18">
        <v>50000000</v>
      </c>
      <c r="J1640" s="18">
        <v>46703860.359999999</v>
      </c>
      <c r="K1640" s="15">
        <v>29757440</v>
      </c>
      <c r="L1640" s="13" t="s">
        <v>102</v>
      </c>
      <c r="M1640" s="13" t="s">
        <v>103</v>
      </c>
      <c r="N1640" s="138" t="s">
        <v>388</v>
      </c>
      <c r="O1640" s="138" t="s">
        <v>388</v>
      </c>
      <c r="P1640" s="28">
        <v>28</v>
      </c>
      <c r="Q1640" s="13" t="s">
        <v>54</v>
      </c>
      <c r="R1640" s="13" t="s">
        <v>28</v>
      </c>
      <c r="S1640" s="13"/>
      <c r="T1640" s="13"/>
      <c r="U1640" s="13" t="s">
        <v>1878</v>
      </c>
      <c r="V1640" s="13" t="s">
        <v>1878</v>
      </c>
      <c r="W1640" s="59">
        <f>+J1640/$W$2</f>
        <v>7.643588319654524E-4</v>
      </c>
    </row>
    <row r="1641" spans="1:29">
      <c r="A1641" s="13" t="s">
        <v>1810</v>
      </c>
      <c r="B1641" s="13" t="s">
        <v>404</v>
      </c>
      <c r="C1641" s="138">
        <v>46351</v>
      </c>
      <c r="D1641" s="138" t="s">
        <v>424</v>
      </c>
      <c r="E1641" s="28">
        <v>0.92320922999999999</v>
      </c>
      <c r="F1641" s="13"/>
      <c r="G1641" s="18">
        <v>5898583.8099999996</v>
      </c>
      <c r="H1641" s="18">
        <v>5445627.0199999996</v>
      </c>
      <c r="I1641" s="18">
        <v>5898583.8099999996</v>
      </c>
      <c r="J1641" s="18">
        <v>5445627.0199999996</v>
      </c>
      <c r="K1641" s="15">
        <v>10180817</v>
      </c>
      <c r="L1641" s="13" t="s">
        <v>102</v>
      </c>
      <c r="M1641" s="13" t="s">
        <v>103</v>
      </c>
      <c r="N1641" s="138" t="s">
        <v>384</v>
      </c>
      <c r="O1641" s="138" t="s">
        <v>384</v>
      </c>
      <c r="P1641" s="28">
        <v>33</v>
      </c>
      <c r="Q1641" s="13" t="s">
        <v>54</v>
      </c>
      <c r="R1641" s="13" t="s">
        <v>28</v>
      </c>
      <c r="S1641" s="13"/>
      <c r="T1641" s="13"/>
      <c r="U1641" s="13" t="s">
        <v>1799</v>
      </c>
      <c r="V1641" s="13" t="s">
        <v>1799</v>
      </c>
      <c r="W1641" s="59">
        <f>+J1641/$W$2</f>
        <v>8.9123534462509847E-5</v>
      </c>
    </row>
    <row r="1642" spans="1:29">
      <c r="A1642" s="13" t="s">
        <v>1810</v>
      </c>
      <c r="B1642" s="13" t="s">
        <v>404</v>
      </c>
      <c r="C1642" s="138">
        <v>46351</v>
      </c>
      <c r="D1642" s="138" t="s">
        <v>424</v>
      </c>
      <c r="E1642" s="28">
        <v>0.92320924999999998</v>
      </c>
      <c r="F1642" s="13"/>
      <c r="G1642" s="18">
        <v>2900162.75</v>
      </c>
      <c r="H1642" s="18">
        <v>2677457.08</v>
      </c>
      <c r="I1642" s="18">
        <v>2900162.75</v>
      </c>
      <c r="J1642" s="18">
        <v>2677457.08</v>
      </c>
      <c r="K1642" s="15">
        <v>10180818</v>
      </c>
      <c r="L1642" s="13" t="s">
        <v>102</v>
      </c>
      <c r="M1642" s="13" t="s">
        <v>103</v>
      </c>
      <c r="N1642" s="138" t="s">
        <v>388</v>
      </c>
      <c r="O1642" s="138" t="s">
        <v>388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1867</v>
      </c>
      <c r="V1642" s="13" t="s">
        <v>1867</v>
      </c>
      <c r="W1642" s="59">
        <f>+J1642/$W$2</f>
        <v>4.381946054419111E-5</v>
      </c>
    </row>
    <row r="1643" spans="1:29">
      <c r="A1643" s="13" t="s">
        <v>2318</v>
      </c>
      <c r="B1643" s="13" t="s">
        <v>404</v>
      </c>
      <c r="C1643" s="138">
        <v>46351</v>
      </c>
      <c r="D1643" s="138" t="s">
        <v>424</v>
      </c>
      <c r="E1643" s="28">
        <v>0.93407722999999998</v>
      </c>
      <c r="F1643" s="13"/>
      <c r="G1643" s="18">
        <v>150000000</v>
      </c>
      <c r="H1643" s="18">
        <v>140111585.03</v>
      </c>
      <c r="I1643" s="18">
        <v>150000000</v>
      </c>
      <c r="J1643" s="18">
        <v>140111585.03</v>
      </c>
      <c r="K1643" s="15">
        <v>90000173</v>
      </c>
      <c r="L1643" s="13" t="s">
        <v>102</v>
      </c>
      <c r="M1643" s="13" t="s">
        <v>103</v>
      </c>
      <c r="N1643" s="138" t="s">
        <v>441</v>
      </c>
      <c r="O1643" s="138" t="s">
        <v>441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2285</v>
      </c>
      <c r="V1643" s="13" t="s">
        <v>2285</v>
      </c>
      <c r="W1643" s="59">
        <f>+J1643/$W$2</f>
        <v>2.2930765605423493E-3</v>
      </c>
    </row>
    <row r="1644" spans="1:29">
      <c r="A1644" s="13" t="s">
        <v>523</v>
      </c>
      <c r="B1644" s="13" t="s">
        <v>404</v>
      </c>
      <c r="C1644" s="138">
        <v>46351</v>
      </c>
      <c r="D1644" s="138" t="s">
        <v>424</v>
      </c>
      <c r="E1644" s="28">
        <v>0.92969953000000005</v>
      </c>
      <c r="F1644" s="13"/>
      <c r="G1644" s="18">
        <v>9478811.3499999996</v>
      </c>
      <c r="H1644" s="18">
        <v>8812446.4700000007</v>
      </c>
      <c r="I1644" s="18">
        <v>9478811.3499999996</v>
      </c>
      <c r="J1644" s="18">
        <v>8812446.4700000007</v>
      </c>
      <c r="K1644" s="15">
        <v>90020413</v>
      </c>
      <c r="L1644" s="13" t="s">
        <v>102</v>
      </c>
      <c r="M1644" s="13" t="s">
        <v>103</v>
      </c>
      <c r="N1644" s="138" t="s">
        <v>282</v>
      </c>
      <c r="O1644" s="138" t="s">
        <v>282</v>
      </c>
      <c r="P1644" s="28">
        <v>30</v>
      </c>
      <c r="Q1644" s="13" t="s">
        <v>54</v>
      </c>
      <c r="R1644" s="13" t="s">
        <v>28</v>
      </c>
      <c r="S1644" s="13"/>
      <c r="T1644" s="13"/>
      <c r="U1644" s="13" t="s">
        <v>817</v>
      </c>
      <c r="V1644" s="13" t="s">
        <v>817</v>
      </c>
      <c r="W1644" s="59">
        <f>+J1644/$W$2</f>
        <v>1.4422515052602122E-4</v>
      </c>
    </row>
    <row r="1645" spans="1:29">
      <c r="A1645" s="13" t="s">
        <v>1700</v>
      </c>
      <c r="B1645" s="13" t="s">
        <v>404</v>
      </c>
      <c r="C1645" s="138">
        <v>46351</v>
      </c>
      <c r="D1645" s="138" t="s">
        <v>424</v>
      </c>
      <c r="E1645" s="28">
        <v>0.92320926999999997</v>
      </c>
      <c r="F1645" s="13"/>
      <c r="G1645" s="18">
        <v>15040535.109999999</v>
      </c>
      <c r="H1645" s="18">
        <v>13885561.41</v>
      </c>
      <c r="I1645" s="18">
        <v>15040535.109999999</v>
      </c>
      <c r="J1645" s="18">
        <v>13885561.41</v>
      </c>
      <c r="K1645" s="15">
        <v>29717250</v>
      </c>
      <c r="L1645" s="13" t="s">
        <v>102</v>
      </c>
      <c r="M1645" s="13" t="s">
        <v>103</v>
      </c>
      <c r="N1645" s="138" t="s">
        <v>161</v>
      </c>
      <c r="O1645" s="138" t="s">
        <v>161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1684</v>
      </c>
      <c r="V1645" s="13" t="s">
        <v>1684</v>
      </c>
      <c r="W1645" s="59">
        <f>+J1645/$W$2</f>
        <v>2.2725212474346653E-4</v>
      </c>
    </row>
    <row r="1646" spans="1:29">
      <c r="A1646" s="13" t="s">
        <v>626</v>
      </c>
      <c r="B1646" s="13" t="s">
        <v>404</v>
      </c>
      <c r="C1646" s="138">
        <v>46352</v>
      </c>
      <c r="D1646" s="138" t="s">
        <v>424</v>
      </c>
      <c r="E1646" s="28">
        <v>0.92243936000000004</v>
      </c>
      <c r="F1646" s="13"/>
      <c r="G1646" s="18">
        <v>5448062.4299999997</v>
      </c>
      <c r="H1646" s="18">
        <v>5025507.22</v>
      </c>
      <c r="I1646" s="18">
        <v>5448062.4299999997</v>
      </c>
      <c r="J1646" s="18">
        <v>5025507.22</v>
      </c>
      <c r="K1646" s="15">
        <v>90000596</v>
      </c>
      <c r="L1646" s="13" t="s">
        <v>102</v>
      </c>
      <c r="M1646" s="13" t="s">
        <v>103</v>
      </c>
      <c r="N1646" s="138" t="s">
        <v>164</v>
      </c>
      <c r="O1646" s="138" t="s">
        <v>164</v>
      </c>
      <c r="P1646" s="28">
        <v>33</v>
      </c>
      <c r="Q1646" s="13" t="s">
        <v>54</v>
      </c>
      <c r="R1646" s="13" t="s">
        <v>28</v>
      </c>
      <c r="S1646" s="13"/>
      <c r="T1646" s="13"/>
      <c r="U1646" s="13" t="s">
        <v>883</v>
      </c>
      <c r="V1646" s="13" t="s">
        <v>883</v>
      </c>
      <c r="W1646" s="59">
        <f>+J1646/$W$2</f>
        <v>8.2247822751779656E-5</v>
      </c>
    </row>
    <row r="1647" spans="1:29">
      <c r="A1647" s="13" t="s">
        <v>763</v>
      </c>
      <c r="B1647" s="13" t="s">
        <v>404</v>
      </c>
      <c r="C1647" s="138">
        <v>46352</v>
      </c>
      <c r="D1647" s="138" t="s">
        <v>424</v>
      </c>
      <c r="E1647" s="28">
        <v>0.92027645000000002</v>
      </c>
      <c r="F1647" s="13"/>
      <c r="G1647" s="18">
        <v>5000300.25</v>
      </c>
      <c r="H1647" s="18">
        <v>4601658.55</v>
      </c>
      <c r="I1647" s="18">
        <v>5000300.25</v>
      </c>
      <c r="J1647" s="18">
        <v>4601658.55</v>
      </c>
      <c r="K1647" s="15">
        <v>363</v>
      </c>
      <c r="L1647" s="13" t="s">
        <v>102</v>
      </c>
      <c r="M1647" s="13" t="s">
        <v>103</v>
      </c>
      <c r="N1647" s="138" t="s">
        <v>346</v>
      </c>
      <c r="O1647" s="138" t="s">
        <v>346</v>
      </c>
      <c r="P1647" s="28">
        <v>34</v>
      </c>
      <c r="Q1647" s="13" t="s">
        <v>54</v>
      </c>
      <c r="R1647" s="13" t="s">
        <v>28</v>
      </c>
      <c r="S1647" s="13"/>
      <c r="T1647" s="13"/>
      <c r="U1647" s="13" t="s">
        <v>1502</v>
      </c>
      <c r="V1647" s="13" t="s">
        <v>1502</v>
      </c>
      <c r="W1647" s="59">
        <f>+J1647/$W$2</f>
        <v>7.5311084078914401E-5</v>
      </c>
    </row>
    <row r="1648" spans="1:29">
      <c r="A1648" s="13" t="s">
        <v>763</v>
      </c>
      <c r="B1648" s="13" t="s">
        <v>404</v>
      </c>
      <c r="C1648" s="138">
        <v>46352</v>
      </c>
      <c r="D1648" s="138" t="s">
        <v>424</v>
      </c>
      <c r="E1648" s="28">
        <v>0.92027645000000002</v>
      </c>
      <c r="F1648" s="13"/>
      <c r="G1648" s="18">
        <v>5000300.25</v>
      </c>
      <c r="H1648" s="18">
        <v>4601658.55</v>
      </c>
      <c r="I1648" s="18">
        <v>5000300.25</v>
      </c>
      <c r="J1648" s="18">
        <v>4601658.55</v>
      </c>
      <c r="K1648" s="15">
        <v>364</v>
      </c>
      <c r="L1648" s="13" t="s">
        <v>102</v>
      </c>
      <c r="M1648" s="13" t="s">
        <v>103</v>
      </c>
      <c r="N1648" s="138" t="s">
        <v>346</v>
      </c>
      <c r="O1648" s="138" t="s">
        <v>346</v>
      </c>
      <c r="P1648" s="28">
        <v>34</v>
      </c>
      <c r="Q1648" s="13" t="s">
        <v>54</v>
      </c>
      <c r="R1648" s="13" t="s">
        <v>28</v>
      </c>
      <c r="S1648" s="13"/>
      <c r="T1648" s="13"/>
      <c r="U1648" s="13" t="s">
        <v>1503</v>
      </c>
      <c r="V1648" s="13" t="s">
        <v>1503</v>
      </c>
      <c r="W1648" s="59">
        <f>+J1648/$W$2</f>
        <v>7.5311084078914401E-5</v>
      </c>
    </row>
    <row r="1649" spans="1:29">
      <c r="A1649" s="13" t="s">
        <v>763</v>
      </c>
      <c r="B1649" s="13" t="s">
        <v>404</v>
      </c>
      <c r="C1649" s="138">
        <v>46352</v>
      </c>
      <c r="D1649" s="138" t="s">
        <v>424</v>
      </c>
      <c r="E1649" s="28">
        <v>0.92027645000000002</v>
      </c>
      <c r="F1649" s="13"/>
      <c r="G1649" s="18">
        <v>5000300.25</v>
      </c>
      <c r="H1649" s="18">
        <v>4601658.55</v>
      </c>
      <c r="I1649" s="18">
        <v>5000300.25</v>
      </c>
      <c r="J1649" s="18">
        <v>4601658.55</v>
      </c>
      <c r="K1649" s="15">
        <v>365</v>
      </c>
      <c r="L1649" s="13" t="s">
        <v>102</v>
      </c>
      <c r="M1649" s="13" t="s">
        <v>103</v>
      </c>
      <c r="N1649" s="138" t="s">
        <v>346</v>
      </c>
      <c r="O1649" s="138" t="s">
        <v>346</v>
      </c>
      <c r="P1649" s="28">
        <v>34</v>
      </c>
      <c r="Q1649" s="13" t="s">
        <v>54</v>
      </c>
      <c r="R1649" s="13" t="s">
        <v>28</v>
      </c>
      <c r="S1649" s="13"/>
      <c r="T1649" s="13"/>
      <c r="U1649" s="13" t="s">
        <v>1504</v>
      </c>
      <c r="V1649" s="13" t="s">
        <v>1504</v>
      </c>
      <c r="W1649" s="59">
        <f>+J1649/$W$2</f>
        <v>7.5311084078914401E-5</v>
      </c>
    </row>
    <row r="1650" spans="1:29">
      <c r="A1650" s="13" t="s">
        <v>763</v>
      </c>
      <c r="B1650" s="13" t="s">
        <v>404</v>
      </c>
      <c r="C1650" s="138">
        <v>46352</v>
      </c>
      <c r="D1650" s="138" t="s">
        <v>424</v>
      </c>
      <c r="E1650" s="28">
        <v>0.92027645000000002</v>
      </c>
      <c r="F1650" s="13"/>
      <c r="G1650" s="18">
        <v>5000300.25</v>
      </c>
      <c r="H1650" s="18">
        <v>4601658.55</v>
      </c>
      <c r="I1650" s="18">
        <v>5000300.25</v>
      </c>
      <c r="J1650" s="18">
        <v>4601658.55</v>
      </c>
      <c r="K1650" s="15">
        <v>362</v>
      </c>
      <c r="L1650" s="13" t="s">
        <v>102</v>
      </c>
      <c r="M1650" s="13" t="s">
        <v>103</v>
      </c>
      <c r="N1650" s="138" t="s">
        <v>346</v>
      </c>
      <c r="O1650" s="138" t="s">
        <v>346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1505</v>
      </c>
      <c r="V1650" s="13" t="s">
        <v>1505</v>
      </c>
      <c r="W1650" s="59">
        <f>+J1650/$W$2</f>
        <v>7.5311084078914401E-5</v>
      </c>
      <c r="AC1650" s="56"/>
    </row>
    <row r="1651" spans="1:29">
      <c r="A1651" s="13" t="s">
        <v>2584</v>
      </c>
      <c r="B1651" s="13" t="s">
        <v>404</v>
      </c>
      <c r="C1651" s="138">
        <v>46352</v>
      </c>
      <c r="D1651" s="138" t="s">
        <v>424</v>
      </c>
      <c r="E1651" s="28">
        <v>0.92243934999999999</v>
      </c>
      <c r="F1651" s="13"/>
      <c r="G1651" s="18">
        <v>20000194</v>
      </c>
      <c r="H1651" s="18">
        <v>18448966.010000002</v>
      </c>
      <c r="I1651" s="18">
        <v>20000194</v>
      </c>
      <c r="J1651" s="18">
        <v>18448966.010000002</v>
      </c>
      <c r="K1651" s="15">
        <v>732</v>
      </c>
      <c r="L1651" s="13" t="s">
        <v>102</v>
      </c>
      <c r="M1651" s="13" t="s">
        <v>103</v>
      </c>
      <c r="N1651" s="138" t="s">
        <v>464</v>
      </c>
      <c r="O1651" s="138" t="s">
        <v>464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2571</v>
      </c>
      <c r="V1651" s="13" t="s">
        <v>2571</v>
      </c>
      <c r="W1651" s="59">
        <f>+J1651/$W$2</f>
        <v>3.0193714184815909E-4</v>
      </c>
    </row>
    <row r="1652" spans="1:29">
      <c r="A1652" s="13" t="s">
        <v>417</v>
      </c>
      <c r="B1652" s="13" t="s">
        <v>404</v>
      </c>
      <c r="C1652" s="138">
        <v>46352</v>
      </c>
      <c r="D1652" s="138" t="s">
        <v>424</v>
      </c>
      <c r="E1652" s="28">
        <v>0.92027649</v>
      </c>
      <c r="F1652" s="13"/>
      <c r="G1652" s="18">
        <v>4000000</v>
      </c>
      <c r="H1652" s="18">
        <v>3681105.95</v>
      </c>
      <c r="I1652" s="18">
        <v>4000000</v>
      </c>
      <c r="J1652" s="18">
        <v>3681105.95</v>
      </c>
      <c r="K1652" s="15">
        <v>90000053</v>
      </c>
      <c r="L1652" s="13" t="s">
        <v>102</v>
      </c>
      <c r="M1652" s="13" t="s">
        <v>103</v>
      </c>
      <c r="N1652" s="138" t="s">
        <v>353</v>
      </c>
      <c r="O1652" s="138" t="s">
        <v>353</v>
      </c>
      <c r="P1652" s="28">
        <v>34</v>
      </c>
      <c r="Q1652" s="13" t="s">
        <v>54</v>
      </c>
      <c r="R1652" s="13" t="s">
        <v>28</v>
      </c>
      <c r="S1652" s="13"/>
      <c r="T1652" s="13"/>
      <c r="U1652" s="13" t="s">
        <v>1000</v>
      </c>
      <c r="V1652" s="13" t="s">
        <v>1000</v>
      </c>
      <c r="W1652" s="59">
        <f>+J1652/$W$2</f>
        <v>6.0245252161058781E-5</v>
      </c>
    </row>
    <row r="1653" spans="1:29">
      <c r="A1653" s="13" t="s">
        <v>517</v>
      </c>
      <c r="B1653" s="13" t="s">
        <v>404</v>
      </c>
      <c r="C1653" s="138">
        <v>46352</v>
      </c>
      <c r="D1653" s="138" t="s">
        <v>424</v>
      </c>
      <c r="E1653" s="28">
        <v>0.92027641000000004</v>
      </c>
      <c r="F1653" s="13"/>
      <c r="G1653" s="18">
        <v>10000000</v>
      </c>
      <c r="H1653" s="18">
        <v>9202764.0600000005</v>
      </c>
      <c r="I1653" s="18">
        <v>10000000</v>
      </c>
      <c r="J1653" s="18">
        <v>9202764.0600000005</v>
      </c>
      <c r="K1653" s="15">
        <v>14284517</v>
      </c>
      <c r="L1653" s="13" t="s">
        <v>102</v>
      </c>
      <c r="M1653" s="13" t="s">
        <v>103</v>
      </c>
      <c r="N1653" s="138" t="s">
        <v>464</v>
      </c>
      <c r="O1653" s="138" t="s">
        <v>464</v>
      </c>
      <c r="P1653" s="28">
        <v>34</v>
      </c>
      <c r="Q1653" s="13" t="s">
        <v>54</v>
      </c>
      <c r="R1653" s="13" t="s">
        <v>28</v>
      </c>
      <c r="S1653" s="13"/>
      <c r="T1653" s="13"/>
      <c r="U1653" s="13" t="s">
        <v>2548</v>
      </c>
      <c r="V1653" s="13" t="s">
        <v>2548</v>
      </c>
      <c r="W1653" s="59">
        <f>+J1653/$W$2</f>
        <v>1.506131170642967E-4</v>
      </c>
    </row>
    <row r="1654" spans="1:29">
      <c r="A1654" s="13" t="s">
        <v>565</v>
      </c>
      <c r="B1654" s="13" t="s">
        <v>404</v>
      </c>
      <c r="C1654" s="138">
        <v>46352</v>
      </c>
      <c r="D1654" s="138" t="s">
        <v>424</v>
      </c>
      <c r="E1654" s="28">
        <v>0.93563366000000003</v>
      </c>
      <c r="F1654" s="13"/>
      <c r="G1654" s="18">
        <v>25000000</v>
      </c>
      <c r="H1654" s="18">
        <v>23390841.489999998</v>
      </c>
      <c r="I1654" s="18">
        <v>25000000</v>
      </c>
      <c r="J1654" s="18">
        <v>23390841.489999998</v>
      </c>
      <c r="K1654" s="15">
        <v>9508923</v>
      </c>
      <c r="L1654" s="13" t="s">
        <v>102</v>
      </c>
      <c r="M1654" s="13" t="s">
        <v>103</v>
      </c>
      <c r="N1654" s="138" t="s">
        <v>601</v>
      </c>
      <c r="O1654" s="138" t="s">
        <v>601</v>
      </c>
      <c r="P1654" s="28">
        <v>27</v>
      </c>
      <c r="Q1654" s="13" t="s">
        <v>54</v>
      </c>
      <c r="R1654" s="13" t="s">
        <v>28</v>
      </c>
      <c r="S1654" s="13"/>
      <c r="T1654" s="13"/>
      <c r="U1654" s="13" t="s">
        <v>1334</v>
      </c>
      <c r="V1654" s="13" t="s">
        <v>1334</v>
      </c>
      <c r="W1654" s="59">
        <f>+J1654/$W$2</f>
        <v>3.8281624135931368E-4</v>
      </c>
    </row>
    <row r="1655" spans="1:29">
      <c r="A1655" s="13" t="s">
        <v>565</v>
      </c>
      <c r="B1655" s="13" t="s">
        <v>404</v>
      </c>
      <c r="C1655" s="138">
        <v>46352</v>
      </c>
      <c r="D1655" s="138" t="s">
        <v>424</v>
      </c>
      <c r="E1655" s="28">
        <v>0.93786950000000002</v>
      </c>
      <c r="F1655" s="13"/>
      <c r="G1655" s="18">
        <v>15000000</v>
      </c>
      <c r="H1655" s="18">
        <v>14068042.51</v>
      </c>
      <c r="I1655" s="18">
        <v>15000000</v>
      </c>
      <c r="J1655" s="18">
        <v>14068042.51</v>
      </c>
      <c r="K1655" s="15">
        <v>20411017</v>
      </c>
      <c r="L1655" s="13" t="s">
        <v>102</v>
      </c>
      <c r="M1655" s="13" t="s">
        <v>103</v>
      </c>
      <c r="N1655" s="138" t="s">
        <v>339</v>
      </c>
      <c r="O1655" s="138" t="s">
        <v>339</v>
      </c>
      <c r="P1655" s="28">
        <v>26</v>
      </c>
      <c r="Q1655" s="13" t="s">
        <v>54</v>
      </c>
      <c r="R1655" s="13" t="s">
        <v>28</v>
      </c>
      <c r="S1655" s="13"/>
      <c r="T1655" s="13"/>
      <c r="U1655" s="13" t="s">
        <v>1562</v>
      </c>
      <c r="V1655" s="13" t="s">
        <v>1562</v>
      </c>
      <c r="W1655" s="59">
        <f>+J1655/$W$2</f>
        <v>2.3023862391883726E-4</v>
      </c>
    </row>
    <row r="1656" spans="1:29">
      <c r="A1656" s="13" t="s">
        <v>285</v>
      </c>
      <c r="B1656" s="13" t="s">
        <v>404</v>
      </c>
      <c r="C1656" s="138">
        <v>46352</v>
      </c>
      <c r="D1656" s="138" t="s">
        <v>424</v>
      </c>
      <c r="E1656" s="28">
        <v>0.93786946999999998</v>
      </c>
      <c r="F1656" s="13"/>
      <c r="G1656" s="18">
        <v>5000000</v>
      </c>
      <c r="H1656" s="18">
        <v>4689347.37</v>
      </c>
      <c r="I1656" s="18">
        <v>5000000</v>
      </c>
      <c r="J1656" s="18">
        <v>4689347.37</v>
      </c>
      <c r="K1656" s="15">
        <v>491505</v>
      </c>
      <c r="L1656" s="13" t="s">
        <v>102</v>
      </c>
      <c r="M1656" s="13" t="s">
        <v>103</v>
      </c>
      <c r="N1656" s="138" t="s">
        <v>383</v>
      </c>
      <c r="O1656" s="138" t="s">
        <v>383</v>
      </c>
      <c r="P1656" s="28">
        <v>26</v>
      </c>
      <c r="Q1656" s="13" t="s">
        <v>54</v>
      </c>
      <c r="R1656" s="13" t="s">
        <v>28</v>
      </c>
      <c r="S1656" s="13"/>
      <c r="T1656" s="13"/>
      <c r="U1656" s="13" t="s">
        <v>1620</v>
      </c>
      <c r="V1656" s="13" t="s">
        <v>1620</v>
      </c>
      <c r="W1656" s="59">
        <f>+J1656/$W$2</f>
        <v>7.6746205790802571E-5</v>
      </c>
    </row>
    <row r="1657" spans="1:29">
      <c r="A1657" s="13" t="s">
        <v>285</v>
      </c>
      <c r="B1657" s="13" t="s">
        <v>404</v>
      </c>
      <c r="C1657" s="138">
        <v>46352</v>
      </c>
      <c r="D1657" s="138" t="s">
        <v>424</v>
      </c>
      <c r="E1657" s="28">
        <v>0.92679595000000004</v>
      </c>
      <c r="F1657" s="13"/>
      <c r="G1657" s="18">
        <v>15000000</v>
      </c>
      <c r="H1657" s="18">
        <v>13901939.189999999</v>
      </c>
      <c r="I1657" s="18">
        <v>15000000</v>
      </c>
      <c r="J1657" s="18">
        <v>13901939.189999999</v>
      </c>
      <c r="K1657" s="15">
        <v>2441</v>
      </c>
      <c r="L1657" s="13" t="s">
        <v>102</v>
      </c>
      <c r="M1657" s="13" t="s">
        <v>103</v>
      </c>
      <c r="N1657" s="138" t="s">
        <v>342</v>
      </c>
      <c r="O1657" s="138" t="s">
        <v>342</v>
      </c>
      <c r="P1657" s="28">
        <v>31</v>
      </c>
      <c r="Q1657" s="13" t="s">
        <v>54</v>
      </c>
      <c r="R1657" s="13" t="s">
        <v>28</v>
      </c>
      <c r="S1657" s="13"/>
      <c r="T1657" s="13"/>
      <c r="U1657" s="13" t="s">
        <v>2389</v>
      </c>
      <c r="V1657" s="13" t="s">
        <v>2389</v>
      </c>
      <c r="W1657" s="59">
        <f>+J1657/$W$2</f>
        <v>2.2752016470193017E-4</v>
      </c>
    </row>
    <row r="1658" spans="1:29">
      <c r="A1658" s="13" t="s">
        <v>405</v>
      </c>
      <c r="B1658" s="13" t="s">
        <v>404</v>
      </c>
      <c r="C1658" s="138">
        <v>46352</v>
      </c>
      <c r="D1658" s="138" t="s">
        <v>424</v>
      </c>
      <c r="E1658" s="28">
        <v>0.92243951999999996</v>
      </c>
      <c r="F1658" s="13"/>
      <c r="G1658" s="18">
        <v>2500000</v>
      </c>
      <c r="H1658" s="18">
        <v>2306098.79</v>
      </c>
      <c r="I1658" s="18">
        <v>2500000</v>
      </c>
      <c r="J1658" s="18">
        <v>2306098.79</v>
      </c>
      <c r="K1658" s="15">
        <v>1026</v>
      </c>
      <c r="L1658" s="13" t="s">
        <v>102</v>
      </c>
      <c r="M1658" s="13" t="s">
        <v>103</v>
      </c>
      <c r="N1658" s="138" t="s">
        <v>170</v>
      </c>
      <c r="O1658" s="138" t="s">
        <v>170</v>
      </c>
      <c r="P1658" s="28">
        <v>33</v>
      </c>
      <c r="Q1658" s="13" t="s">
        <v>54</v>
      </c>
      <c r="R1658" s="13" t="s">
        <v>28</v>
      </c>
      <c r="S1658" s="13"/>
      <c r="T1658" s="13"/>
      <c r="U1658" s="13" t="s">
        <v>2486</v>
      </c>
      <c r="V1658" s="13" t="s">
        <v>2486</v>
      </c>
      <c r="W1658" s="59">
        <f>+J1658/$W$2</f>
        <v>3.7741783311578554E-5</v>
      </c>
    </row>
    <row r="1659" spans="1:29">
      <c r="A1659" s="13" t="s">
        <v>1325</v>
      </c>
      <c r="B1659" s="13" t="s">
        <v>404</v>
      </c>
      <c r="C1659" s="138">
        <v>46352</v>
      </c>
      <c r="D1659" s="138" t="s">
        <v>424</v>
      </c>
      <c r="E1659" s="28">
        <v>0.91384799999999999</v>
      </c>
      <c r="F1659" s="13"/>
      <c r="G1659" s="18">
        <v>25000000</v>
      </c>
      <c r="H1659" s="18">
        <v>22846200.010000002</v>
      </c>
      <c r="I1659" s="18">
        <v>25000000</v>
      </c>
      <c r="J1659" s="18">
        <v>22846200.010000002</v>
      </c>
      <c r="K1659" s="15">
        <v>2664</v>
      </c>
      <c r="L1659" s="13" t="s">
        <v>102</v>
      </c>
      <c r="M1659" s="13" t="s">
        <v>103</v>
      </c>
      <c r="N1659" s="138" t="s">
        <v>464</v>
      </c>
      <c r="O1659" s="138" t="s">
        <v>464</v>
      </c>
      <c r="P1659" s="28">
        <v>37</v>
      </c>
      <c r="Q1659" s="13" t="s">
        <v>54</v>
      </c>
      <c r="R1659" s="13" t="s">
        <v>28</v>
      </c>
      <c r="S1659" s="13"/>
      <c r="T1659" s="13"/>
      <c r="U1659" s="13" t="s">
        <v>2565</v>
      </c>
      <c r="V1659" s="13" t="s">
        <v>2565</v>
      </c>
      <c r="W1659" s="59">
        <f>+J1659/$W$2</f>
        <v>3.7390259862648986E-4</v>
      </c>
    </row>
    <row r="1660" spans="1:29">
      <c r="A1660" s="13" t="s">
        <v>189</v>
      </c>
      <c r="B1660" s="13" t="s">
        <v>404</v>
      </c>
      <c r="C1660" s="138">
        <v>46352</v>
      </c>
      <c r="D1660" s="138" t="s">
        <v>424</v>
      </c>
      <c r="E1660" s="28">
        <v>0.94692067000000002</v>
      </c>
      <c r="F1660" s="13"/>
      <c r="G1660" s="18">
        <v>9164430.8599999994</v>
      </c>
      <c r="H1660" s="18">
        <v>8677988.9900000002</v>
      </c>
      <c r="I1660" s="18">
        <v>9164430.8599999994</v>
      </c>
      <c r="J1660" s="18">
        <v>8677988.9900000002</v>
      </c>
      <c r="K1660" s="15">
        <v>646957</v>
      </c>
      <c r="L1660" s="13" t="s">
        <v>102</v>
      </c>
      <c r="M1660" s="13" t="s">
        <v>103</v>
      </c>
      <c r="N1660" s="138" t="s">
        <v>341</v>
      </c>
      <c r="O1660" s="138" t="s">
        <v>341</v>
      </c>
      <c r="P1660" s="28">
        <v>22</v>
      </c>
      <c r="Q1660" s="13" t="s">
        <v>54</v>
      </c>
      <c r="R1660" s="13" t="s">
        <v>28</v>
      </c>
      <c r="S1660" s="13"/>
      <c r="T1660" s="13"/>
      <c r="U1660" s="13" t="s">
        <v>1925</v>
      </c>
      <c r="V1660" s="13" t="s">
        <v>1925</v>
      </c>
      <c r="W1660" s="59">
        <f>+J1660/$W$2</f>
        <v>1.4202460946646802E-4</v>
      </c>
    </row>
    <row r="1661" spans="1:29">
      <c r="A1661" s="13" t="s">
        <v>2581</v>
      </c>
      <c r="B1661" s="13" t="s">
        <v>404</v>
      </c>
      <c r="C1661" s="138">
        <v>46352</v>
      </c>
      <c r="D1661" s="138" t="s">
        <v>424</v>
      </c>
      <c r="E1661" s="28">
        <v>0.91812358000000005</v>
      </c>
      <c r="F1661" s="13"/>
      <c r="G1661" s="18">
        <v>3087576.27</v>
      </c>
      <c r="H1661" s="18">
        <v>2834776.58</v>
      </c>
      <c r="I1661" s="18">
        <v>3087576.27</v>
      </c>
      <c r="J1661" s="18">
        <v>2834776.58</v>
      </c>
      <c r="K1661" s="15">
        <v>1508</v>
      </c>
      <c r="L1661" s="13" t="s">
        <v>102</v>
      </c>
      <c r="M1661" s="13" t="s">
        <v>103</v>
      </c>
      <c r="N1661" s="138" t="s">
        <v>464</v>
      </c>
      <c r="O1661" s="138" t="s">
        <v>464</v>
      </c>
      <c r="P1661" s="28">
        <v>35</v>
      </c>
      <c r="Q1661" s="13" t="s">
        <v>54</v>
      </c>
      <c r="R1661" s="13" t="s">
        <v>28</v>
      </c>
      <c r="S1661" s="13"/>
      <c r="T1661" s="13"/>
      <c r="U1661" s="13" t="s">
        <v>2566</v>
      </c>
      <c r="V1661" s="13" t="s">
        <v>2566</v>
      </c>
      <c r="W1661" s="59">
        <f>+J1661/$W$2</f>
        <v>4.6394163113496854E-5</v>
      </c>
    </row>
    <row r="1662" spans="1:29">
      <c r="A1662" s="13" t="s">
        <v>1699</v>
      </c>
      <c r="B1662" s="13" t="s">
        <v>404</v>
      </c>
      <c r="C1662" s="138">
        <v>46352</v>
      </c>
      <c r="D1662" s="138" t="s">
        <v>424</v>
      </c>
      <c r="E1662" s="28">
        <v>0.92243947000000004</v>
      </c>
      <c r="F1662" s="13"/>
      <c r="G1662" s="18">
        <v>300000000</v>
      </c>
      <c r="H1662" s="18">
        <v>276731842.23000002</v>
      </c>
      <c r="I1662" s="18">
        <v>300000000</v>
      </c>
      <c r="J1662" s="18">
        <v>276731842.23000002</v>
      </c>
      <c r="K1662" s="15">
        <v>231767</v>
      </c>
      <c r="L1662" s="13" t="s">
        <v>102</v>
      </c>
      <c r="M1662" s="13" t="s">
        <v>103</v>
      </c>
      <c r="N1662" s="138" t="s">
        <v>161</v>
      </c>
      <c r="O1662" s="138" t="s">
        <v>161</v>
      </c>
      <c r="P1662" s="28">
        <v>33</v>
      </c>
      <c r="Q1662" s="13" t="s">
        <v>54</v>
      </c>
      <c r="R1662" s="13" t="s">
        <v>28</v>
      </c>
      <c r="S1662" s="13"/>
      <c r="T1662" s="13"/>
      <c r="U1662" s="13" t="s">
        <v>1685</v>
      </c>
      <c r="V1662" s="13" t="s">
        <v>1685</v>
      </c>
      <c r="W1662" s="59">
        <f>+J1662/$W$2</f>
        <v>4.5290137916678772E-3</v>
      </c>
    </row>
    <row r="1663" spans="1:29">
      <c r="A1663" s="13" t="s">
        <v>174</v>
      </c>
      <c r="B1663" s="13" t="s">
        <v>404</v>
      </c>
      <c r="C1663" s="138">
        <v>46352</v>
      </c>
      <c r="D1663" s="138" t="s">
        <v>424</v>
      </c>
      <c r="E1663" s="28">
        <v>0.91812360999999998</v>
      </c>
      <c r="F1663" s="13"/>
      <c r="G1663" s="18">
        <v>250000000</v>
      </c>
      <c r="H1663" s="18">
        <v>229530902.93000001</v>
      </c>
      <c r="I1663" s="18">
        <v>250000000</v>
      </c>
      <c r="J1663" s="18">
        <v>229530902.93000001</v>
      </c>
      <c r="K1663" s="15">
        <v>70400477</v>
      </c>
      <c r="L1663" s="13" t="s">
        <v>102</v>
      </c>
      <c r="M1663" s="13" t="s">
        <v>103</v>
      </c>
      <c r="N1663" s="138" t="s">
        <v>639</v>
      </c>
      <c r="O1663" s="138" t="s">
        <v>639</v>
      </c>
      <c r="P1663" s="28">
        <v>35</v>
      </c>
      <c r="Q1663" s="13" t="s">
        <v>54</v>
      </c>
      <c r="R1663" s="13" t="s">
        <v>28</v>
      </c>
      <c r="S1663" s="13"/>
      <c r="T1663" s="13"/>
      <c r="U1663" s="13" t="s">
        <v>2140</v>
      </c>
      <c r="V1663" s="13" t="s">
        <v>2140</v>
      </c>
      <c r="W1663" s="59">
        <f>+J1663/$W$2</f>
        <v>3.7565197290160461E-3</v>
      </c>
    </row>
    <row r="1664" spans="1:29">
      <c r="A1664" s="13" t="s">
        <v>1124</v>
      </c>
      <c r="B1664" s="13" t="s">
        <v>404</v>
      </c>
      <c r="C1664" s="138">
        <v>46352</v>
      </c>
      <c r="D1664" s="138" t="s">
        <v>424</v>
      </c>
      <c r="E1664" s="28">
        <v>0.94011591999999999</v>
      </c>
      <c r="F1664" s="13"/>
      <c r="G1664" s="18">
        <v>19922304</v>
      </c>
      <c r="H1664" s="18">
        <v>18729275.07</v>
      </c>
      <c r="I1664" s="18">
        <v>19922304</v>
      </c>
      <c r="J1664" s="18">
        <v>18729275.07</v>
      </c>
      <c r="K1664" s="15">
        <v>67863958</v>
      </c>
      <c r="L1664" s="13" t="s">
        <v>102</v>
      </c>
      <c r="M1664" s="13" t="s">
        <v>103</v>
      </c>
      <c r="N1664" s="138" t="s">
        <v>382</v>
      </c>
      <c r="O1664" s="138" t="s">
        <v>382</v>
      </c>
      <c r="P1664" s="28">
        <v>25</v>
      </c>
      <c r="Q1664" s="13" t="s">
        <v>54</v>
      </c>
      <c r="R1664" s="13" t="s">
        <v>28</v>
      </c>
      <c r="S1664" s="13"/>
      <c r="T1664" s="13"/>
      <c r="U1664" s="13" t="s">
        <v>1113</v>
      </c>
      <c r="V1664" s="13" t="s">
        <v>1113</v>
      </c>
      <c r="W1664" s="59">
        <f>+J1664/$W$2</f>
        <v>3.0652470065035259E-4</v>
      </c>
    </row>
    <row r="1665" spans="1:23">
      <c r="A1665" s="13" t="s">
        <v>763</v>
      </c>
      <c r="B1665" s="13" t="s">
        <v>404</v>
      </c>
      <c r="C1665" s="138">
        <v>46353</v>
      </c>
      <c r="D1665" s="138" t="s">
        <v>424</v>
      </c>
      <c r="E1665" s="28">
        <v>0.91948817000000005</v>
      </c>
      <c r="F1665" s="13"/>
      <c r="G1665" s="18">
        <v>5000300.25</v>
      </c>
      <c r="H1665" s="18">
        <v>4597716.92</v>
      </c>
      <c r="I1665" s="18">
        <v>5000300.25</v>
      </c>
      <c r="J1665" s="18">
        <v>4597716.92</v>
      </c>
      <c r="K1665" s="15">
        <v>366</v>
      </c>
      <c r="L1665" s="13" t="s">
        <v>102</v>
      </c>
      <c r="M1665" s="13" t="s">
        <v>103</v>
      </c>
      <c r="N1665" s="138" t="s">
        <v>346</v>
      </c>
      <c r="O1665" s="138" t="s">
        <v>346</v>
      </c>
      <c r="P1665" s="28">
        <v>34</v>
      </c>
      <c r="Q1665" s="13" t="s">
        <v>54</v>
      </c>
      <c r="R1665" s="13" t="s">
        <v>28</v>
      </c>
      <c r="S1665" s="13"/>
      <c r="T1665" s="13"/>
      <c r="U1665" s="13" t="s">
        <v>1501</v>
      </c>
      <c r="V1665" s="13" t="s">
        <v>1501</v>
      </c>
      <c r="W1665" s="59">
        <f>+J1665/$W$2</f>
        <v>7.5246575070887724E-5</v>
      </c>
    </row>
    <row r="1666" spans="1:23">
      <c r="A1666" s="13" t="s">
        <v>431</v>
      </c>
      <c r="B1666" s="13" t="s">
        <v>404</v>
      </c>
      <c r="C1666" s="138">
        <v>46353</v>
      </c>
      <c r="D1666" s="138" t="s">
        <v>424</v>
      </c>
      <c r="E1666" s="28">
        <v>0.92386358000000002</v>
      </c>
      <c r="F1666" s="13"/>
      <c r="G1666" s="18">
        <v>25000000</v>
      </c>
      <c r="H1666" s="18">
        <v>23096589.460000001</v>
      </c>
      <c r="I1666" s="18">
        <v>25000000</v>
      </c>
      <c r="J1666" s="18">
        <v>23096589.460000001</v>
      </c>
      <c r="K1666" s="15">
        <v>2714</v>
      </c>
      <c r="L1666" s="13" t="s">
        <v>102</v>
      </c>
      <c r="M1666" s="13" t="s">
        <v>103</v>
      </c>
      <c r="N1666" s="138" t="s">
        <v>342</v>
      </c>
      <c r="O1666" s="138" t="s">
        <v>342</v>
      </c>
      <c r="P1666" s="28">
        <v>32</v>
      </c>
      <c r="Q1666" s="13" t="s">
        <v>54</v>
      </c>
      <c r="R1666" s="13" t="s">
        <v>28</v>
      </c>
      <c r="S1666" s="13"/>
      <c r="T1666" s="13"/>
      <c r="U1666" s="13" t="s">
        <v>2376</v>
      </c>
      <c r="V1666" s="13" t="s">
        <v>2376</v>
      </c>
      <c r="W1666" s="59">
        <f>+J1666/$W$2</f>
        <v>3.7800049087914796E-4</v>
      </c>
    </row>
    <row r="1667" spans="1:23">
      <c r="A1667" s="13" t="s">
        <v>405</v>
      </c>
      <c r="B1667" s="13" t="s">
        <v>404</v>
      </c>
      <c r="C1667" s="138">
        <v>46353</v>
      </c>
      <c r="D1667" s="138" t="s">
        <v>424</v>
      </c>
      <c r="E1667" s="28">
        <v>0.92386358999999996</v>
      </c>
      <c r="F1667" s="13"/>
      <c r="G1667" s="18">
        <v>3000000</v>
      </c>
      <c r="H1667" s="18">
        <v>2771590.77</v>
      </c>
      <c r="I1667" s="18">
        <v>3000000</v>
      </c>
      <c r="J1667" s="18">
        <v>2771590.77</v>
      </c>
      <c r="K1667" s="15">
        <v>1063</v>
      </c>
      <c r="L1667" s="13" t="s">
        <v>102</v>
      </c>
      <c r="M1667" s="13" t="s">
        <v>103</v>
      </c>
      <c r="N1667" s="138" t="s">
        <v>424</v>
      </c>
      <c r="O1667" s="138" t="s">
        <v>424</v>
      </c>
      <c r="P1667" s="28">
        <v>32</v>
      </c>
      <c r="Q1667" s="13" t="s">
        <v>54</v>
      </c>
      <c r="R1667" s="13" t="s">
        <v>28</v>
      </c>
      <c r="S1667" s="13"/>
      <c r="T1667" s="13"/>
      <c r="U1667" s="13" t="s">
        <v>2624</v>
      </c>
      <c r="V1667" s="13" t="s">
        <v>2624</v>
      </c>
      <c r="W1667" s="59">
        <f>+J1667/$W$2</f>
        <v>4.5360059475037131E-5</v>
      </c>
    </row>
    <row r="1668" spans="1:23">
      <c r="A1668" s="13" t="s">
        <v>285</v>
      </c>
      <c r="B1668" s="13" t="s">
        <v>404</v>
      </c>
      <c r="C1668" s="138">
        <v>46353</v>
      </c>
      <c r="D1668" s="138" t="s">
        <v>424</v>
      </c>
      <c r="E1668" s="28">
        <v>0.92606694000000001</v>
      </c>
      <c r="F1668" s="13"/>
      <c r="G1668" s="18">
        <v>26000000</v>
      </c>
      <c r="H1668" s="18">
        <v>24077740.309999999</v>
      </c>
      <c r="I1668" s="18">
        <v>26000000</v>
      </c>
      <c r="J1668" s="18">
        <v>24077740.309999999</v>
      </c>
      <c r="K1668" s="15">
        <v>34571</v>
      </c>
      <c r="L1668" s="13" t="s">
        <v>102</v>
      </c>
      <c r="M1668" s="13" t="s">
        <v>103</v>
      </c>
      <c r="N1668" s="138" t="s">
        <v>342</v>
      </c>
      <c r="O1668" s="138" t="s">
        <v>342</v>
      </c>
      <c r="P1668" s="28">
        <v>31</v>
      </c>
      <c r="Q1668" s="13" t="s">
        <v>54</v>
      </c>
      <c r="R1668" s="13" t="s">
        <v>28</v>
      </c>
      <c r="S1668" s="13"/>
      <c r="T1668" s="13"/>
      <c r="U1668" s="13" t="s">
        <v>2401</v>
      </c>
      <c r="V1668" s="13" t="s">
        <v>2401</v>
      </c>
      <c r="W1668" s="59">
        <f>+J1668/$W$2</f>
        <v>3.9405807823717745E-4</v>
      </c>
    </row>
    <row r="1669" spans="1:23">
      <c r="A1669" s="13" t="s">
        <v>405</v>
      </c>
      <c r="B1669" s="13" t="s">
        <v>404</v>
      </c>
      <c r="C1669" s="138">
        <v>46353</v>
      </c>
      <c r="D1669" s="138" t="s">
        <v>424</v>
      </c>
      <c r="E1669" s="28">
        <v>0.92828078000000003</v>
      </c>
      <c r="F1669" s="13"/>
      <c r="G1669" s="18">
        <v>2500000</v>
      </c>
      <c r="H1669" s="18">
        <v>2320701.96</v>
      </c>
      <c r="I1669" s="18">
        <v>2500000</v>
      </c>
      <c r="J1669" s="18">
        <v>2320701.96</v>
      </c>
      <c r="K1669" s="15">
        <v>900</v>
      </c>
      <c r="L1669" s="13" t="s">
        <v>102</v>
      </c>
      <c r="M1669" s="13" t="s">
        <v>103</v>
      </c>
      <c r="N1669" s="138" t="s">
        <v>484</v>
      </c>
      <c r="O1669" s="138" t="s">
        <v>484</v>
      </c>
      <c r="P1669" s="28">
        <v>30</v>
      </c>
      <c r="Q1669" s="13" t="s">
        <v>54</v>
      </c>
      <c r="R1669" s="13" t="s">
        <v>28</v>
      </c>
      <c r="S1669" s="13"/>
      <c r="T1669" s="13"/>
      <c r="U1669" s="13" t="s">
        <v>2088</v>
      </c>
      <c r="V1669" s="13" t="s">
        <v>2088</v>
      </c>
      <c r="W1669" s="59">
        <f>+J1669/$W$2</f>
        <v>3.7980779871566406E-5</v>
      </c>
    </row>
    <row r="1670" spans="1:23">
      <c r="A1670" s="13" t="s">
        <v>405</v>
      </c>
      <c r="B1670" s="13" t="s">
        <v>404</v>
      </c>
      <c r="C1670" s="138">
        <v>46353</v>
      </c>
      <c r="D1670" s="138" t="s">
        <v>424</v>
      </c>
      <c r="E1670" s="28">
        <v>0.92167078000000002</v>
      </c>
      <c r="F1670" s="13"/>
      <c r="G1670" s="18">
        <v>2500000</v>
      </c>
      <c r="H1670" s="18">
        <v>2304176.96</v>
      </c>
      <c r="I1670" s="18">
        <v>2500000</v>
      </c>
      <c r="J1670" s="18">
        <v>2304176.96</v>
      </c>
      <c r="K1670" s="15">
        <v>1027</v>
      </c>
      <c r="L1670" s="13" t="s">
        <v>102</v>
      </c>
      <c r="M1670" s="13" t="s">
        <v>103</v>
      </c>
      <c r="N1670" s="138" t="s">
        <v>170</v>
      </c>
      <c r="O1670" s="138" t="s">
        <v>345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2487</v>
      </c>
      <c r="V1670" s="13" t="s">
        <v>2487</v>
      </c>
      <c r="W1670" s="59">
        <f>+J1670/$W$2</f>
        <v>3.77103304996972E-5</v>
      </c>
    </row>
    <row r="1671" spans="1:23">
      <c r="A1671" s="13" t="s">
        <v>1325</v>
      </c>
      <c r="B1671" s="13" t="s">
        <v>404</v>
      </c>
      <c r="C1671" s="138">
        <v>46353</v>
      </c>
      <c r="D1671" s="138" t="s">
        <v>424</v>
      </c>
      <c r="E1671" s="28">
        <v>0.91300245000000002</v>
      </c>
      <c r="F1671" s="13"/>
      <c r="G1671" s="18">
        <v>25000000</v>
      </c>
      <c r="H1671" s="18">
        <v>22825061.190000001</v>
      </c>
      <c r="I1671" s="18">
        <v>25000000</v>
      </c>
      <c r="J1671" s="18">
        <v>22825061.190000001</v>
      </c>
      <c r="K1671" s="15">
        <v>2665</v>
      </c>
      <c r="L1671" s="13" t="s">
        <v>102</v>
      </c>
      <c r="M1671" s="13" t="s">
        <v>103</v>
      </c>
      <c r="N1671" s="138" t="s">
        <v>464</v>
      </c>
      <c r="O1671" s="138" t="s">
        <v>464</v>
      </c>
      <c r="P1671" s="28">
        <v>37</v>
      </c>
      <c r="Q1671" s="13" t="s">
        <v>54</v>
      </c>
      <c r="R1671" s="13" t="s">
        <v>28</v>
      </c>
      <c r="S1671" s="13"/>
      <c r="T1671" s="13"/>
      <c r="U1671" s="13" t="s">
        <v>2562</v>
      </c>
      <c r="V1671" s="13" t="s">
        <v>2562</v>
      </c>
      <c r="W1671" s="59">
        <f>+J1671/$W$2</f>
        <v>3.7355663913535178E-4</v>
      </c>
    </row>
    <row r="1672" spans="1:23">
      <c r="A1672" s="13" t="s">
        <v>427</v>
      </c>
      <c r="B1672" s="13" t="s">
        <v>404</v>
      </c>
      <c r="C1672" s="138">
        <v>46353</v>
      </c>
      <c r="D1672" s="138" t="s">
        <v>424</v>
      </c>
      <c r="E1672" s="28">
        <v>0.91948817999999999</v>
      </c>
      <c r="F1672" s="13"/>
      <c r="G1672" s="18">
        <v>50000000</v>
      </c>
      <c r="H1672" s="18">
        <v>45974409.079999998</v>
      </c>
      <c r="I1672" s="18">
        <v>50000000</v>
      </c>
      <c r="J1672" s="18">
        <v>45974409.079999998</v>
      </c>
      <c r="K1672" s="15">
        <v>2230</v>
      </c>
      <c r="L1672" s="13" t="s">
        <v>102</v>
      </c>
      <c r="M1672" s="13" t="s">
        <v>103</v>
      </c>
      <c r="N1672" s="138" t="s">
        <v>424</v>
      </c>
      <c r="O1672" s="138" t="s">
        <v>424</v>
      </c>
      <c r="P1672" s="28">
        <v>34</v>
      </c>
      <c r="Q1672" s="13" t="s">
        <v>54</v>
      </c>
      <c r="R1672" s="13" t="s">
        <v>28</v>
      </c>
      <c r="S1672" s="13"/>
      <c r="T1672" s="13"/>
      <c r="U1672" s="13" t="s">
        <v>2592</v>
      </c>
      <c r="V1672" s="13" t="s">
        <v>2592</v>
      </c>
      <c r="W1672" s="59">
        <f>+J1672/$W$2</f>
        <v>7.5242057838087223E-4</v>
      </c>
    </row>
    <row r="1673" spans="1:23">
      <c r="A1673" s="13" t="s">
        <v>144</v>
      </c>
      <c r="B1673" s="13" t="s">
        <v>404</v>
      </c>
      <c r="C1673" s="138">
        <v>46353</v>
      </c>
      <c r="D1673" s="138" t="s">
        <v>424</v>
      </c>
      <c r="E1673" s="28">
        <v>0.91731598000000003</v>
      </c>
      <c r="F1673" s="13"/>
      <c r="G1673" s="18">
        <v>15000000</v>
      </c>
      <c r="H1673" s="18">
        <v>13759739.73</v>
      </c>
      <c r="I1673" s="18">
        <v>15000000</v>
      </c>
      <c r="J1673" s="18">
        <v>13759739.73</v>
      </c>
      <c r="K1673" s="15">
        <v>188</v>
      </c>
      <c r="L1673" s="13" t="s">
        <v>102</v>
      </c>
      <c r="M1673" s="13" t="s">
        <v>103</v>
      </c>
      <c r="N1673" s="138" t="s">
        <v>424</v>
      </c>
      <c r="O1673" s="138" t="s">
        <v>424</v>
      </c>
      <c r="P1673" s="28">
        <v>35</v>
      </c>
      <c r="Q1673" s="13" t="s">
        <v>54</v>
      </c>
      <c r="R1673" s="13" t="s">
        <v>28</v>
      </c>
      <c r="S1673" s="13"/>
      <c r="T1673" s="13"/>
      <c r="U1673" s="13" t="s">
        <v>2591</v>
      </c>
      <c r="V1673" s="13" t="s">
        <v>2591</v>
      </c>
      <c r="W1673" s="59">
        <f>+J1673/$W$2</f>
        <v>2.2519291782525E-4</v>
      </c>
    </row>
    <row r="1674" spans="1:23">
      <c r="A1674" s="13" t="s">
        <v>2224</v>
      </c>
      <c r="B1674" s="13" t="s">
        <v>404</v>
      </c>
      <c r="C1674" s="138">
        <v>46353</v>
      </c>
      <c r="D1674" s="138" t="s">
        <v>424</v>
      </c>
      <c r="E1674" s="28">
        <v>0.92386358999999996</v>
      </c>
      <c r="F1674" s="13"/>
      <c r="G1674" s="18">
        <v>5444206</v>
      </c>
      <c r="H1674" s="18">
        <v>5029703.6900000004</v>
      </c>
      <c r="I1674" s="18">
        <v>5444206</v>
      </c>
      <c r="J1674" s="18">
        <v>5029703.6900000004</v>
      </c>
      <c r="K1674" s="15">
        <v>3447</v>
      </c>
      <c r="L1674" s="13" t="s">
        <v>102</v>
      </c>
      <c r="M1674" s="13" t="s">
        <v>103</v>
      </c>
      <c r="N1674" s="138" t="s">
        <v>424</v>
      </c>
      <c r="O1674" s="138" t="s">
        <v>424</v>
      </c>
      <c r="P1674" s="28">
        <v>32</v>
      </c>
      <c r="Q1674" s="13" t="s">
        <v>54</v>
      </c>
      <c r="R1674" s="13" t="s">
        <v>28</v>
      </c>
      <c r="S1674" s="13"/>
      <c r="T1674" s="13"/>
      <c r="U1674" s="13" t="s">
        <v>2641</v>
      </c>
      <c r="V1674" s="13" t="s">
        <v>2641</v>
      </c>
      <c r="W1674" s="59">
        <f>+J1674/$W$2</f>
        <v>8.2316502490089376E-5</v>
      </c>
    </row>
    <row r="1675" spans="1:23">
      <c r="A1675" s="13" t="s">
        <v>979</v>
      </c>
      <c r="B1675" s="13" t="s">
        <v>404</v>
      </c>
      <c r="C1675" s="138">
        <v>46353</v>
      </c>
      <c r="D1675" s="138" t="s">
        <v>424</v>
      </c>
      <c r="E1675" s="28">
        <v>0.91515411999999996</v>
      </c>
      <c r="F1675" s="13"/>
      <c r="G1675" s="18">
        <v>29362361.710000001</v>
      </c>
      <c r="H1675" s="18">
        <v>26871086.199999999</v>
      </c>
      <c r="I1675" s="18">
        <v>29362361.710000001</v>
      </c>
      <c r="J1675" s="18">
        <v>26871086.199999999</v>
      </c>
      <c r="K1675" s="15">
        <v>67998146</v>
      </c>
      <c r="L1675" s="13" t="s">
        <v>102</v>
      </c>
      <c r="M1675" s="13" t="s">
        <v>103</v>
      </c>
      <c r="N1675" s="138" t="s">
        <v>163</v>
      </c>
      <c r="O1675" s="138" t="s">
        <v>163</v>
      </c>
      <c r="P1675" s="28">
        <v>36</v>
      </c>
      <c r="Q1675" s="13" t="s">
        <v>54</v>
      </c>
      <c r="R1675" s="13" t="s">
        <v>28</v>
      </c>
      <c r="S1675" s="13"/>
      <c r="T1675" s="13"/>
      <c r="U1675" s="13" t="s">
        <v>1149</v>
      </c>
      <c r="V1675" s="13" t="s">
        <v>1149</v>
      </c>
      <c r="W1675" s="59">
        <f>+J1675/$W$2</f>
        <v>4.3977418361472226E-4</v>
      </c>
    </row>
    <row r="1676" spans="1:23">
      <c r="A1676" s="13" t="s">
        <v>405</v>
      </c>
      <c r="B1676" s="13" t="s">
        <v>404</v>
      </c>
      <c r="C1676" s="138">
        <v>46356</v>
      </c>
      <c r="D1676" s="138" t="s">
        <v>424</v>
      </c>
      <c r="E1676" s="28">
        <v>0.92162418999999995</v>
      </c>
      <c r="F1676" s="13"/>
      <c r="G1676" s="18">
        <v>3000000</v>
      </c>
      <c r="H1676" s="18">
        <v>2764872.58</v>
      </c>
      <c r="I1676" s="18">
        <v>3000000</v>
      </c>
      <c r="J1676" s="18">
        <v>2764872.58</v>
      </c>
      <c r="K1676" s="15">
        <v>1064</v>
      </c>
      <c r="L1676" s="13" t="s">
        <v>102</v>
      </c>
      <c r="M1676" s="13" t="s">
        <v>103</v>
      </c>
      <c r="N1676" s="138" t="s">
        <v>424</v>
      </c>
      <c r="O1676" s="138" t="s">
        <v>424</v>
      </c>
      <c r="P1676" s="28">
        <v>32</v>
      </c>
      <c r="Q1676" s="13" t="s">
        <v>54</v>
      </c>
      <c r="R1676" s="13" t="s">
        <v>28</v>
      </c>
      <c r="S1676" s="13"/>
      <c r="T1676" s="13"/>
      <c r="U1676" s="13" t="s">
        <v>2625</v>
      </c>
      <c r="V1676" s="13" t="s">
        <v>2625</v>
      </c>
      <c r="W1676" s="59">
        <f>+J1676/$W$2</f>
        <v>4.5250109080749813E-5</v>
      </c>
    </row>
    <row r="1677" spans="1:23">
      <c r="A1677" s="13" t="s">
        <v>285</v>
      </c>
      <c r="B1677" s="13" t="s">
        <v>404</v>
      </c>
      <c r="C1677" s="138">
        <v>46356</v>
      </c>
      <c r="D1677" s="138" t="s">
        <v>424</v>
      </c>
      <c r="E1677" s="28">
        <v>0.93536987999999999</v>
      </c>
      <c r="F1677" s="13"/>
      <c r="G1677" s="18">
        <v>5000000</v>
      </c>
      <c r="H1677" s="18">
        <v>4676849.42</v>
      </c>
      <c r="I1677" s="18">
        <v>5000000</v>
      </c>
      <c r="J1677" s="18">
        <v>4676849.42</v>
      </c>
      <c r="K1677" s="15">
        <v>491506</v>
      </c>
      <c r="L1677" s="13" t="s">
        <v>102</v>
      </c>
      <c r="M1677" s="13" t="s">
        <v>103</v>
      </c>
      <c r="N1677" s="138" t="s">
        <v>383</v>
      </c>
      <c r="O1677" s="138" t="s">
        <v>383</v>
      </c>
      <c r="P1677" s="28">
        <v>26</v>
      </c>
      <c r="Q1677" s="13" t="s">
        <v>54</v>
      </c>
      <c r="R1677" s="13" t="s">
        <v>28</v>
      </c>
      <c r="S1677" s="13"/>
      <c r="T1677" s="13"/>
      <c r="U1677" s="13" t="s">
        <v>1616</v>
      </c>
      <c r="V1677" s="13" t="s">
        <v>1616</v>
      </c>
      <c r="W1677" s="59">
        <f>+J1677/$W$2</f>
        <v>7.6541663416996046E-5</v>
      </c>
    </row>
    <row r="1678" spans="1:23">
      <c r="A1678" s="13" t="s">
        <v>285</v>
      </c>
      <c r="B1678" s="13" t="s">
        <v>404</v>
      </c>
      <c r="C1678" s="138">
        <v>46356</v>
      </c>
      <c r="D1678" s="138" t="s">
        <v>424</v>
      </c>
      <c r="E1678" s="28">
        <v>0.92388700000000001</v>
      </c>
      <c r="F1678" s="13"/>
      <c r="G1678" s="18">
        <v>15000000</v>
      </c>
      <c r="H1678" s="18">
        <v>13858305.060000001</v>
      </c>
      <c r="I1678" s="18">
        <v>15000000</v>
      </c>
      <c r="J1678" s="18">
        <v>13858305.060000001</v>
      </c>
      <c r="K1678" s="15">
        <v>2442</v>
      </c>
      <c r="L1678" s="13" t="s">
        <v>102</v>
      </c>
      <c r="M1678" s="13" t="s">
        <v>103</v>
      </c>
      <c r="N1678" s="138" t="s">
        <v>342</v>
      </c>
      <c r="O1678" s="138" t="s">
        <v>342</v>
      </c>
      <c r="P1678" s="28">
        <v>31</v>
      </c>
      <c r="Q1678" s="13" t="s">
        <v>54</v>
      </c>
      <c r="R1678" s="13" t="s">
        <v>28</v>
      </c>
      <c r="S1678" s="13"/>
      <c r="T1678" s="13"/>
      <c r="U1678" s="13" t="s">
        <v>2391</v>
      </c>
      <c r="V1678" s="13" t="s">
        <v>2391</v>
      </c>
      <c r="W1678" s="59">
        <f>+J1678/$W$2</f>
        <v>2.2680604530401436E-4</v>
      </c>
    </row>
    <row r="1679" spans="1:23">
      <c r="A1679" s="13" t="s">
        <v>405</v>
      </c>
      <c r="B1679" s="13" t="s">
        <v>404</v>
      </c>
      <c r="C1679" s="138">
        <v>46356</v>
      </c>
      <c r="D1679" s="138" t="s">
        <v>424</v>
      </c>
      <c r="E1679" s="28">
        <v>0.92616091</v>
      </c>
      <c r="F1679" s="13"/>
      <c r="G1679" s="18">
        <v>2500000</v>
      </c>
      <c r="H1679" s="18">
        <v>2315402.2799999998</v>
      </c>
      <c r="I1679" s="18">
        <v>2500000</v>
      </c>
      <c r="J1679" s="18">
        <v>2315402.2799999998</v>
      </c>
      <c r="K1679" s="15">
        <v>901</v>
      </c>
      <c r="L1679" s="13" t="s">
        <v>102</v>
      </c>
      <c r="M1679" s="13" t="s">
        <v>103</v>
      </c>
      <c r="N1679" s="138" t="s">
        <v>484</v>
      </c>
      <c r="O1679" s="138" t="s">
        <v>484</v>
      </c>
      <c r="P1679" s="28">
        <v>30</v>
      </c>
      <c r="Q1679" s="13" t="s">
        <v>54</v>
      </c>
      <c r="R1679" s="13" t="s">
        <v>28</v>
      </c>
      <c r="S1679" s="13"/>
      <c r="T1679" s="13"/>
      <c r="U1679" s="13" t="s">
        <v>2090</v>
      </c>
      <c r="V1679" s="13" t="s">
        <v>2090</v>
      </c>
      <c r="W1679" s="59">
        <f>+J1679/$W$2</f>
        <v>3.7894044916824627E-5</v>
      </c>
    </row>
    <row r="1680" spans="1:23">
      <c r="A1680" s="13" t="s">
        <v>405</v>
      </c>
      <c r="B1680" s="13" t="s">
        <v>404</v>
      </c>
      <c r="C1680" s="138">
        <v>46356</v>
      </c>
      <c r="D1680" s="138" t="s">
        <v>424</v>
      </c>
      <c r="E1680" s="28">
        <v>0.91937252000000003</v>
      </c>
      <c r="F1680" s="13"/>
      <c r="G1680" s="18">
        <v>2500000</v>
      </c>
      <c r="H1680" s="18">
        <v>2298431.29</v>
      </c>
      <c r="I1680" s="18">
        <v>2500000</v>
      </c>
      <c r="J1680" s="18">
        <v>2298431.29</v>
      </c>
      <c r="K1680" s="15">
        <v>1028</v>
      </c>
      <c r="L1680" s="13" t="s">
        <v>102</v>
      </c>
      <c r="M1680" s="13" t="s">
        <v>103</v>
      </c>
      <c r="N1680" s="138" t="s">
        <v>170</v>
      </c>
      <c r="O1680" s="138" t="s">
        <v>345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2488</v>
      </c>
      <c r="V1680" s="13" t="s">
        <v>2488</v>
      </c>
      <c r="W1680" s="59">
        <f>+J1680/$W$2</f>
        <v>3.7616296439638638E-5</v>
      </c>
    </row>
    <row r="1681" spans="1:29">
      <c r="A1681" s="13" t="s">
        <v>2224</v>
      </c>
      <c r="B1681" s="13" t="s">
        <v>404</v>
      </c>
      <c r="C1681" s="138">
        <v>46356</v>
      </c>
      <c r="D1681" s="138" t="s">
        <v>424</v>
      </c>
      <c r="E1681" s="28">
        <v>0.92162418999999995</v>
      </c>
      <c r="F1681" s="13"/>
      <c r="G1681" s="18">
        <v>5444206</v>
      </c>
      <c r="H1681" s="18">
        <v>5017511.96</v>
      </c>
      <c r="I1681" s="18">
        <v>5444206</v>
      </c>
      <c r="J1681" s="18">
        <v>5017511.96</v>
      </c>
      <c r="K1681" s="15">
        <v>3448</v>
      </c>
      <c r="L1681" s="13" t="s">
        <v>102</v>
      </c>
      <c r="M1681" s="13" t="s">
        <v>103</v>
      </c>
      <c r="N1681" s="138" t="s">
        <v>424</v>
      </c>
      <c r="O1681" s="138" t="s">
        <v>424</v>
      </c>
      <c r="P1681" s="28">
        <v>32</v>
      </c>
      <c r="Q1681" s="13" t="s">
        <v>54</v>
      </c>
      <c r="R1681" s="13" t="s">
        <v>28</v>
      </c>
      <c r="S1681" s="13"/>
      <c r="T1681" s="13"/>
      <c r="U1681" s="13" t="s">
        <v>2648</v>
      </c>
      <c r="V1681" s="13" t="s">
        <v>2648</v>
      </c>
      <c r="W1681" s="59">
        <f>+J1681/$W$2</f>
        <v>8.2116971735444956E-5</v>
      </c>
    </row>
    <row r="1682" spans="1:29">
      <c r="A1682" s="13" t="s">
        <v>405</v>
      </c>
      <c r="B1682" s="13" t="s">
        <v>404</v>
      </c>
      <c r="C1682" s="138">
        <v>46357</v>
      </c>
      <c r="D1682" s="138" t="s">
        <v>424</v>
      </c>
      <c r="E1682" s="28">
        <v>0.92088004999999995</v>
      </c>
      <c r="F1682" s="13"/>
      <c r="G1682" s="18">
        <v>3500000</v>
      </c>
      <c r="H1682" s="18">
        <v>3223080.17</v>
      </c>
      <c r="I1682" s="18">
        <v>3500000</v>
      </c>
      <c r="J1682" s="18">
        <v>3223080.17</v>
      </c>
      <c r="K1682" s="15">
        <v>1065</v>
      </c>
      <c r="L1682" s="13" t="s">
        <v>102</v>
      </c>
      <c r="M1682" s="13" t="s">
        <v>103</v>
      </c>
      <c r="N1682" s="138" t="s">
        <v>424</v>
      </c>
      <c r="O1682" s="138" t="s">
        <v>424</v>
      </c>
      <c r="P1682" s="28">
        <v>32</v>
      </c>
      <c r="Q1682" s="13" t="s">
        <v>54</v>
      </c>
      <c r="R1682" s="13" t="s">
        <v>28</v>
      </c>
      <c r="S1682" s="13"/>
      <c r="T1682" s="13"/>
      <c r="U1682" s="13" t="s">
        <v>2626</v>
      </c>
      <c r="V1682" s="13" t="s">
        <v>2626</v>
      </c>
      <c r="W1682" s="59">
        <f>+J1682/$W$2</f>
        <v>5.2749168378855868E-5</v>
      </c>
      <c r="AC1682" s="56"/>
    </row>
    <row r="1683" spans="1:29">
      <c r="A1683" s="13" t="s">
        <v>285</v>
      </c>
      <c r="B1683" s="13" t="s">
        <v>404</v>
      </c>
      <c r="C1683" s="138">
        <v>46357</v>
      </c>
      <c r="D1683" s="138" t="s">
        <v>424</v>
      </c>
      <c r="E1683" s="28">
        <v>0.92545641999999995</v>
      </c>
      <c r="F1683" s="13"/>
      <c r="G1683" s="18">
        <v>25000000</v>
      </c>
      <c r="H1683" s="18">
        <v>23136410.539999999</v>
      </c>
      <c r="I1683" s="18">
        <v>25000000</v>
      </c>
      <c r="J1683" s="18">
        <v>23136410.539999999</v>
      </c>
      <c r="K1683" s="15">
        <v>12742281</v>
      </c>
      <c r="L1683" s="13" t="s">
        <v>102</v>
      </c>
      <c r="M1683" s="13" t="s">
        <v>103</v>
      </c>
      <c r="N1683" s="138" t="s">
        <v>342</v>
      </c>
      <c r="O1683" s="138" t="s">
        <v>342</v>
      </c>
      <c r="P1683" s="28">
        <v>30</v>
      </c>
      <c r="Q1683" s="13" t="s">
        <v>54</v>
      </c>
      <c r="R1683" s="13" t="s">
        <v>28</v>
      </c>
      <c r="S1683" s="13"/>
      <c r="T1683" s="13"/>
      <c r="U1683" s="13" t="s">
        <v>2400</v>
      </c>
      <c r="V1683" s="13" t="s">
        <v>2400</v>
      </c>
      <c r="W1683" s="59">
        <f>+J1683/$W$2</f>
        <v>3.7865220561882442E-4</v>
      </c>
      <c r="AC1683" s="56"/>
    </row>
    <row r="1684" spans="1:29">
      <c r="A1684" s="13" t="s">
        <v>405</v>
      </c>
      <c r="B1684" s="13" t="s">
        <v>404</v>
      </c>
      <c r="C1684" s="138">
        <v>46357</v>
      </c>
      <c r="D1684" s="138" t="s">
        <v>424</v>
      </c>
      <c r="E1684" s="28">
        <v>0.91860889000000001</v>
      </c>
      <c r="F1684" s="13"/>
      <c r="G1684" s="18">
        <v>2500000</v>
      </c>
      <c r="H1684" s="18">
        <v>2296522.2200000002</v>
      </c>
      <c r="I1684" s="18">
        <v>2500000</v>
      </c>
      <c r="J1684" s="18">
        <v>2296522.2200000002</v>
      </c>
      <c r="K1684" s="15">
        <v>1029</v>
      </c>
      <c r="L1684" s="13" t="s">
        <v>102</v>
      </c>
      <c r="M1684" s="13" t="s">
        <v>103</v>
      </c>
      <c r="N1684" s="138" t="s">
        <v>170</v>
      </c>
      <c r="O1684" s="138" t="s">
        <v>345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2489</v>
      </c>
      <c r="V1684" s="13" t="s">
        <v>2489</v>
      </c>
      <c r="W1684" s="59">
        <f>+J1684/$W$2</f>
        <v>3.7585052458860769E-5</v>
      </c>
    </row>
    <row r="1685" spans="1:29">
      <c r="A1685" s="13" t="s">
        <v>2317</v>
      </c>
      <c r="B1685" s="13" t="s">
        <v>404</v>
      </c>
      <c r="C1685" s="138">
        <v>46357</v>
      </c>
      <c r="D1685" s="138" t="s">
        <v>424</v>
      </c>
      <c r="E1685" s="28">
        <v>0.93007861000000003</v>
      </c>
      <c r="F1685" s="13"/>
      <c r="G1685" s="18">
        <v>150000000</v>
      </c>
      <c r="H1685" s="18">
        <v>139511791.31999999</v>
      </c>
      <c r="I1685" s="18">
        <v>150000000</v>
      </c>
      <c r="J1685" s="18">
        <v>139511791.31999999</v>
      </c>
      <c r="K1685" s="15">
        <v>77</v>
      </c>
      <c r="L1685" s="13" t="s">
        <v>102</v>
      </c>
      <c r="M1685" s="13" t="s">
        <v>103</v>
      </c>
      <c r="N1685" s="138" t="s">
        <v>441</v>
      </c>
      <c r="O1685" s="138" t="s">
        <v>441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2305</v>
      </c>
      <c r="V1685" s="13" t="s">
        <v>2305</v>
      </c>
      <c r="W1685" s="59">
        <f>+J1685/$W$2</f>
        <v>2.2832602923353539E-3</v>
      </c>
    </row>
    <row r="1686" spans="1:29">
      <c r="A1686" s="13" t="s">
        <v>279</v>
      </c>
      <c r="B1686" s="13" t="s">
        <v>404</v>
      </c>
      <c r="C1686" s="138">
        <v>46357</v>
      </c>
      <c r="D1686" s="138" t="s">
        <v>424</v>
      </c>
      <c r="E1686" s="28">
        <v>0.93007857000000005</v>
      </c>
      <c r="F1686" s="13"/>
      <c r="G1686" s="18">
        <v>50000000</v>
      </c>
      <c r="H1686" s="18">
        <v>46503928.700000003</v>
      </c>
      <c r="I1686" s="18">
        <v>50000000</v>
      </c>
      <c r="J1686" s="18">
        <v>46503928.700000003</v>
      </c>
      <c r="K1686" s="15">
        <v>29757438</v>
      </c>
      <c r="L1686" s="13" t="s">
        <v>102</v>
      </c>
      <c r="M1686" s="13" t="s">
        <v>103</v>
      </c>
      <c r="N1686" s="138" t="s">
        <v>388</v>
      </c>
      <c r="O1686" s="138" t="s">
        <v>388</v>
      </c>
      <c r="P1686" s="28">
        <v>28</v>
      </c>
      <c r="Q1686" s="13" t="s">
        <v>54</v>
      </c>
      <c r="R1686" s="13" t="s">
        <v>28</v>
      </c>
      <c r="S1686" s="13"/>
      <c r="T1686" s="13"/>
      <c r="U1686" s="13" t="s">
        <v>1877</v>
      </c>
      <c r="V1686" s="13" t="s">
        <v>1877</v>
      </c>
      <c r="W1686" s="59">
        <f>+J1686/$W$2</f>
        <v>7.6108673563481609E-4</v>
      </c>
    </row>
    <row r="1687" spans="1:29">
      <c r="A1687" s="13" t="s">
        <v>1883</v>
      </c>
      <c r="B1687" s="13" t="s">
        <v>404</v>
      </c>
      <c r="C1687" s="138">
        <v>46357</v>
      </c>
      <c r="D1687" s="138" t="s">
        <v>424</v>
      </c>
      <c r="E1687" s="28">
        <v>0.91860885000000003</v>
      </c>
      <c r="F1687" s="13"/>
      <c r="G1687" s="18">
        <v>1392835</v>
      </c>
      <c r="H1687" s="18">
        <v>1279470.55</v>
      </c>
      <c r="I1687" s="18">
        <v>1392835</v>
      </c>
      <c r="J1687" s="18">
        <v>1279470.55</v>
      </c>
      <c r="K1687" s="15">
        <v>111459</v>
      </c>
      <c r="L1687" s="13" t="s">
        <v>102</v>
      </c>
      <c r="M1687" s="13" t="s">
        <v>103</v>
      </c>
      <c r="N1687" s="138" t="s">
        <v>388</v>
      </c>
      <c r="O1687" s="138" t="s">
        <v>388</v>
      </c>
      <c r="P1687" s="28">
        <v>33</v>
      </c>
      <c r="Q1687" s="13" t="s">
        <v>54</v>
      </c>
      <c r="R1687" s="13" t="s">
        <v>28</v>
      </c>
      <c r="S1687" s="13"/>
      <c r="T1687" s="13"/>
      <c r="U1687" s="13" t="s">
        <v>1871</v>
      </c>
      <c r="V1687" s="13" t="s">
        <v>1871</v>
      </c>
      <c r="W1687" s="59">
        <f>+J1687/$W$2</f>
        <v>2.0939909626181382E-5</v>
      </c>
    </row>
    <row r="1688" spans="1:29">
      <c r="A1688" s="13" t="s">
        <v>2224</v>
      </c>
      <c r="B1688" s="13" t="s">
        <v>404</v>
      </c>
      <c r="C1688" s="138">
        <v>46357</v>
      </c>
      <c r="D1688" s="138" t="s">
        <v>424</v>
      </c>
      <c r="E1688" s="28">
        <v>0.92088004999999995</v>
      </c>
      <c r="F1688" s="13"/>
      <c r="G1688" s="18">
        <v>5444206</v>
      </c>
      <c r="H1688" s="18">
        <v>5013460.6900000004</v>
      </c>
      <c r="I1688" s="18">
        <v>5444206</v>
      </c>
      <c r="J1688" s="18">
        <v>5013460.6900000004</v>
      </c>
      <c r="K1688" s="15">
        <v>3449</v>
      </c>
      <c r="L1688" s="13" t="s">
        <v>102</v>
      </c>
      <c r="M1688" s="13" t="s">
        <v>103</v>
      </c>
      <c r="N1688" s="138" t="s">
        <v>424</v>
      </c>
      <c r="O1688" s="138" t="s">
        <v>424</v>
      </c>
      <c r="P1688" s="28">
        <v>32</v>
      </c>
      <c r="Q1688" s="13" t="s">
        <v>54</v>
      </c>
      <c r="R1688" s="13" t="s">
        <v>28</v>
      </c>
      <c r="S1688" s="13"/>
      <c r="T1688" s="13"/>
      <c r="U1688" s="13" t="s">
        <v>2650</v>
      </c>
      <c r="V1688" s="13" t="s">
        <v>2650</v>
      </c>
      <c r="W1688" s="59">
        <f>+J1688/$W$2</f>
        <v>8.2050668351071429E-5</v>
      </c>
    </row>
    <row r="1689" spans="1:29">
      <c r="A1689" s="13" t="s">
        <v>2321</v>
      </c>
      <c r="B1689" s="13" t="s">
        <v>404</v>
      </c>
      <c r="C1689" s="138">
        <v>46357</v>
      </c>
      <c r="D1689" s="138" t="s">
        <v>424</v>
      </c>
      <c r="E1689" s="28">
        <v>0.92776181000000002</v>
      </c>
      <c r="F1689" s="13"/>
      <c r="G1689" s="18">
        <v>40000000</v>
      </c>
      <c r="H1689" s="18">
        <v>37110472.359999999</v>
      </c>
      <c r="I1689" s="18">
        <v>40000000</v>
      </c>
      <c r="J1689" s="18">
        <v>37110472.359999999</v>
      </c>
      <c r="K1689" s="15">
        <v>2886</v>
      </c>
      <c r="L1689" s="13" t="s">
        <v>102</v>
      </c>
      <c r="M1689" s="13" t="s">
        <v>103</v>
      </c>
      <c r="N1689" s="138" t="s">
        <v>441</v>
      </c>
      <c r="O1689" s="138" t="s">
        <v>441</v>
      </c>
      <c r="P1689" s="28">
        <v>29</v>
      </c>
      <c r="Q1689" s="13" t="s">
        <v>54</v>
      </c>
      <c r="R1689" s="13" t="s">
        <v>28</v>
      </c>
      <c r="S1689" s="13"/>
      <c r="T1689" s="13"/>
      <c r="U1689" s="13" t="s">
        <v>2298</v>
      </c>
      <c r="V1689" s="13" t="s">
        <v>2298</v>
      </c>
      <c r="W1689" s="59">
        <f>+J1689/$W$2</f>
        <v>6.0735273461612858E-4</v>
      </c>
    </row>
    <row r="1690" spans="1:29">
      <c r="A1690" s="13" t="s">
        <v>522</v>
      </c>
      <c r="B1690" s="13" t="s">
        <v>404</v>
      </c>
      <c r="C1690" s="138">
        <v>46358</v>
      </c>
      <c r="D1690" s="138" t="s">
        <v>424</v>
      </c>
      <c r="E1690" s="28">
        <v>0.91784661999999995</v>
      </c>
      <c r="F1690" s="13"/>
      <c r="G1690" s="18">
        <v>2600411.64</v>
      </c>
      <c r="H1690" s="18">
        <v>2386779.0299999998</v>
      </c>
      <c r="I1690" s="18">
        <v>2600411.64</v>
      </c>
      <c r="J1690" s="18">
        <v>2386779.0299999998</v>
      </c>
      <c r="K1690" s="15">
        <v>90000275</v>
      </c>
      <c r="L1690" s="13" t="s">
        <v>102</v>
      </c>
      <c r="M1690" s="13" t="s">
        <v>103</v>
      </c>
      <c r="N1690" s="138" t="s">
        <v>484</v>
      </c>
      <c r="O1690" s="138" t="s">
        <v>484</v>
      </c>
      <c r="P1690" s="28">
        <v>33</v>
      </c>
      <c r="Q1690" s="13" t="s">
        <v>54</v>
      </c>
      <c r="R1690" s="13" t="s">
        <v>28</v>
      </c>
      <c r="S1690" s="13"/>
      <c r="T1690" s="13"/>
      <c r="U1690" s="13" t="s">
        <v>2063</v>
      </c>
      <c r="V1690" s="13" t="s">
        <v>2063</v>
      </c>
      <c r="W1690" s="59">
        <f>+J1690/$W$2</f>
        <v>3.9062202084967764E-5</v>
      </c>
      <c r="AC1690" s="56"/>
    </row>
    <row r="1691" spans="1:29">
      <c r="A1691" s="13" t="s">
        <v>537</v>
      </c>
      <c r="B1691" s="13" t="s">
        <v>404</v>
      </c>
      <c r="C1691" s="138">
        <v>46358</v>
      </c>
      <c r="D1691" s="138" t="s">
        <v>424</v>
      </c>
      <c r="E1691" s="28">
        <v>0.92941543000000004</v>
      </c>
      <c r="F1691" s="13"/>
      <c r="G1691" s="18">
        <v>30000000</v>
      </c>
      <c r="H1691" s="18">
        <v>27882462.969999999</v>
      </c>
      <c r="I1691" s="18">
        <v>30000000</v>
      </c>
      <c r="J1691" s="18">
        <v>27882462.969999999</v>
      </c>
      <c r="K1691" s="15">
        <v>29600860</v>
      </c>
      <c r="L1691" s="13" t="s">
        <v>102</v>
      </c>
      <c r="M1691" s="13" t="s">
        <v>103</v>
      </c>
      <c r="N1691" s="138" t="s">
        <v>420</v>
      </c>
      <c r="O1691" s="138" t="s">
        <v>420</v>
      </c>
      <c r="P1691" s="28">
        <v>28</v>
      </c>
      <c r="Q1691" s="13" t="s">
        <v>54</v>
      </c>
      <c r="R1691" s="13" t="s">
        <v>28</v>
      </c>
      <c r="S1691" s="13"/>
      <c r="T1691" s="13"/>
      <c r="U1691" s="13" t="s">
        <v>1270</v>
      </c>
      <c r="V1691" s="13" t="s">
        <v>1270</v>
      </c>
      <c r="W1691" s="59">
        <f>+J1691/$W$2</f>
        <v>4.5632645061439585E-4</v>
      </c>
      <c r="AC1691" s="56"/>
    </row>
    <row r="1692" spans="1:29">
      <c r="A1692" s="13" t="s">
        <v>284</v>
      </c>
      <c r="B1692" s="13" t="s">
        <v>404</v>
      </c>
      <c r="C1692" s="138">
        <v>46358</v>
      </c>
      <c r="D1692" s="138" t="s">
        <v>424</v>
      </c>
      <c r="E1692" s="28">
        <v>0.92707837000000004</v>
      </c>
      <c r="F1692" s="13"/>
      <c r="G1692" s="18">
        <v>4103981.39</v>
      </c>
      <c r="H1692" s="18">
        <v>3804712.37</v>
      </c>
      <c r="I1692" s="18">
        <v>4103981.39</v>
      </c>
      <c r="J1692" s="18">
        <v>3804712.37</v>
      </c>
      <c r="K1692" s="15">
        <v>90000123</v>
      </c>
      <c r="L1692" s="13" t="s">
        <v>102</v>
      </c>
      <c r="M1692" s="13" t="s">
        <v>103</v>
      </c>
      <c r="N1692" s="138" t="s">
        <v>374</v>
      </c>
      <c r="O1692" s="138" t="s">
        <v>374</v>
      </c>
      <c r="P1692" s="28">
        <v>29</v>
      </c>
      <c r="Q1692" s="13" t="s">
        <v>54</v>
      </c>
      <c r="R1692" s="13" t="s">
        <v>28</v>
      </c>
      <c r="S1692" s="13"/>
      <c r="T1692" s="13"/>
      <c r="U1692" s="13" t="s">
        <v>1220</v>
      </c>
      <c r="V1692" s="13" t="s">
        <v>1220</v>
      </c>
      <c r="W1692" s="59">
        <f>+J1692/$W$2</f>
        <v>6.2268203970317545E-5</v>
      </c>
    </row>
    <row r="1693" spans="1:29">
      <c r="A1693" s="13" t="s">
        <v>285</v>
      </c>
      <c r="B1693" s="13" t="s">
        <v>404</v>
      </c>
      <c r="C1693" s="138">
        <v>46358</v>
      </c>
      <c r="D1693" s="138" t="s">
        <v>424</v>
      </c>
      <c r="E1693" s="28">
        <v>0.93412499999999998</v>
      </c>
      <c r="F1693" s="13"/>
      <c r="G1693" s="18">
        <v>5000000</v>
      </c>
      <c r="H1693" s="18">
        <v>4670624.9800000004</v>
      </c>
      <c r="I1693" s="18">
        <v>5000000</v>
      </c>
      <c r="J1693" s="18">
        <v>4670624.9800000004</v>
      </c>
      <c r="K1693" s="15">
        <v>491507</v>
      </c>
      <c r="L1693" s="13" t="s">
        <v>102</v>
      </c>
      <c r="M1693" s="13" t="s">
        <v>103</v>
      </c>
      <c r="N1693" s="138" t="s">
        <v>383</v>
      </c>
      <c r="O1693" s="138" t="s">
        <v>383</v>
      </c>
      <c r="P1693" s="28">
        <v>26</v>
      </c>
      <c r="Q1693" s="13" t="s">
        <v>54</v>
      </c>
      <c r="R1693" s="13" t="s">
        <v>28</v>
      </c>
      <c r="S1693" s="13"/>
      <c r="T1693" s="13"/>
      <c r="U1693" s="13" t="s">
        <v>1621</v>
      </c>
      <c r="V1693" s="13" t="s">
        <v>1621</v>
      </c>
      <c r="W1693" s="59">
        <f>+J1693/$W$2</f>
        <v>7.6439793771716926E-5</v>
      </c>
    </row>
    <row r="1694" spans="1:29">
      <c r="A1694" s="13" t="s">
        <v>285</v>
      </c>
      <c r="B1694" s="13" t="s">
        <v>404</v>
      </c>
      <c r="C1694" s="138">
        <v>46358</v>
      </c>
      <c r="D1694" s="138" t="s">
        <v>424</v>
      </c>
      <c r="E1694" s="28">
        <v>0.92941543000000004</v>
      </c>
      <c r="F1694" s="13"/>
      <c r="G1694" s="18">
        <v>7000000</v>
      </c>
      <c r="H1694" s="18">
        <v>6505908.0300000003</v>
      </c>
      <c r="I1694" s="18">
        <v>7000000</v>
      </c>
      <c r="J1694" s="18">
        <v>6505908.0300000003</v>
      </c>
      <c r="K1694" s="15">
        <v>67768339</v>
      </c>
      <c r="L1694" s="13" t="s">
        <v>102</v>
      </c>
      <c r="M1694" s="13" t="s">
        <v>103</v>
      </c>
      <c r="N1694" s="138" t="s">
        <v>420</v>
      </c>
      <c r="O1694" s="138" t="s">
        <v>420</v>
      </c>
      <c r="P1694" s="28">
        <v>28</v>
      </c>
      <c r="Q1694" s="13" t="s">
        <v>54</v>
      </c>
      <c r="R1694" s="13" t="s">
        <v>28</v>
      </c>
      <c r="S1694" s="13"/>
      <c r="T1694" s="13"/>
      <c r="U1694" s="13" t="s">
        <v>1282</v>
      </c>
      <c r="V1694" s="13" t="s">
        <v>1282</v>
      </c>
      <c r="W1694" s="59">
        <f>+J1694/$W$2</f>
        <v>1.0647617187003464E-4</v>
      </c>
    </row>
    <row r="1695" spans="1:29">
      <c r="A1695" s="13" t="s">
        <v>405</v>
      </c>
      <c r="B1695" s="13" t="s">
        <v>404</v>
      </c>
      <c r="C1695" s="138">
        <v>46358</v>
      </c>
      <c r="D1695" s="138" t="s">
        <v>424</v>
      </c>
      <c r="E1695" s="28">
        <v>0.91784652</v>
      </c>
      <c r="F1695" s="13"/>
      <c r="G1695" s="18">
        <v>2500000</v>
      </c>
      <c r="H1695" s="18">
        <v>2294616.29</v>
      </c>
      <c r="I1695" s="18">
        <v>2500000</v>
      </c>
      <c r="J1695" s="18">
        <v>2294616.29</v>
      </c>
      <c r="K1695" s="15">
        <v>1030</v>
      </c>
      <c r="L1695" s="13" t="s">
        <v>102</v>
      </c>
      <c r="M1695" s="13" t="s">
        <v>103</v>
      </c>
      <c r="N1695" s="138" t="s">
        <v>170</v>
      </c>
      <c r="O1695" s="138" t="s">
        <v>170</v>
      </c>
      <c r="P1695" s="28">
        <v>33</v>
      </c>
      <c r="Q1695" s="13" t="s">
        <v>54</v>
      </c>
      <c r="R1695" s="13" t="s">
        <v>28</v>
      </c>
      <c r="S1695" s="13"/>
      <c r="T1695" s="13"/>
      <c r="U1695" s="13" t="s">
        <v>2490</v>
      </c>
      <c r="V1695" s="13" t="s">
        <v>2490</v>
      </c>
      <c r="W1695" s="59">
        <f>+J1695/$W$2</f>
        <v>3.7553859867555066E-5</v>
      </c>
      <c r="AC1695" s="56"/>
    </row>
    <row r="1696" spans="1:29">
      <c r="A1696" s="13" t="s">
        <v>405</v>
      </c>
      <c r="B1696" s="13" t="s">
        <v>404</v>
      </c>
      <c r="C1696" s="138">
        <v>46358</v>
      </c>
      <c r="D1696" s="138" t="s">
        <v>424</v>
      </c>
      <c r="E1696" s="28">
        <v>0.92013738</v>
      </c>
      <c r="F1696" s="13"/>
      <c r="G1696" s="18">
        <v>3500000</v>
      </c>
      <c r="H1696" s="18">
        <v>3220480.82</v>
      </c>
      <c r="I1696" s="18">
        <v>3500000</v>
      </c>
      <c r="J1696" s="18">
        <v>3220480.82</v>
      </c>
      <c r="K1696" s="15">
        <v>1066</v>
      </c>
      <c r="L1696" s="13" t="s">
        <v>102</v>
      </c>
      <c r="M1696" s="13" t="s">
        <v>103</v>
      </c>
      <c r="N1696" s="138" t="s">
        <v>424</v>
      </c>
      <c r="O1696" s="138" t="s">
        <v>424</v>
      </c>
      <c r="P1696" s="28">
        <v>32</v>
      </c>
      <c r="Q1696" s="13" t="s">
        <v>54</v>
      </c>
      <c r="R1696" s="13" t="s">
        <v>28</v>
      </c>
      <c r="S1696" s="13"/>
      <c r="T1696" s="13"/>
      <c r="U1696" s="13" t="s">
        <v>2610</v>
      </c>
      <c r="V1696" s="13" t="s">
        <v>2610</v>
      </c>
      <c r="W1696" s="59">
        <f>+J1696/$W$2</f>
        <v>5.2706627224558241E-5</v>
      </c>
      <c r="AC1696" s="56"/>
    </row>
    <row r="1697" spans="1:29">
      <c r="A1697" s="13" t="s">
        <v>917</v>
      </c>
      <c r="B1697" s="13" t="s">
        <v>404</v>
      </c>
      <c r="C1697" s="138">
        <v>46358</v>
      </c>
      <c r="D1697" s="138" t="s">
        <v>424</v>
      </c>
      <c r="E1697" s="28">
        <v>0.91784666000000004</v>
      </c>
      <c r="F1697" s="13"/>
      <c r="G1697" s="18">
        <v>5800000</v>
      </c>
      <c r="H1697" s="18">
        <v>5323510.6500000004</v>
      </c>
      <c r="I1697" s="18">
        <v>5800000</v>
      </c>
      <c r="J1697" s="18">
        <v>5323510.6500000004</v>
      </c>
      <c r="K1697" s="15">
        <v>6580</v>
      </c>
      <c r="L1697" s="13" t="s">
        <v>102</v>
      </c>
      <c r="M1697" s="13" t="s">
        <v>103</v>
      </c>
      <c r="N1697" s="138" t="s">
        <v>445</v>
      </c>
      <c r="O1697" s="138" t="s">
        <v>445</v>
      </c>
      <c r="P1697" s="28">
        <v>33</v>
      </c>
      <c r="Q1697" s="13" t="s">
        <v>54</v>
      </c>
      <c r="R1697" s="13" t="s">
        <v>28</v>
      </c>
      <c r="S1697" s="13"/>
      <c r="T1697" s="13"/>
      <c r="U1697" s="13" t="s">
        <v>2532</v>
      </c>
      <c r="V1697" s="13" t="s">
        <v>2532</v>
      </c>
      <c r="W1697" s="59">
        <f>+J1697/$W$2</f>
        <v>8.7124968921726341E-5</v>
      </c>
    </row>
    <row r="1698" spans="1:29">
      <c r="A1698" s="13" t="s">
        <v>2687</v>
      </c>
      <c r="B1698" s="13" t="s">
        <v>404</v>
      </c>
      <c r="C1698" s="138">
        <v>46358</v>
      </c>
      <c r="D1698" s="138" t="s">
        <v>424</v>
      </c>
      <c r="E1698" s="28">
        <v>0.91556740000000003</v>
      </c>
      <c r="F1698" s="13"/>
      <c r="G1698" s="18">
        <v>13000000</v>
      </c>
      <c r="H1698" s="18">
        <v>11902376.199999999</v>
      </c>
      <c r="I1698" s="18">
        <v>13000000</v>
      </c>
      <c r="J1698" s="18">
        <v>11902376.199999999</v>
      </c>
      <c r="K1698" s="15">
        <v>14330929</v>
      </c>
      <c r="L1698" s="13" t="s">
        <v>102</v>
      </c>
      <c r="M1698" s="13" t="s">
        <v>103</v>
      </c>
      <c r="N1698" s="138" t="s">
        <v>424</v>
      </c>
      <c r="O1698" s="138" t="s">
        <v>424</v>
      </c>
      <c r="P1698" s="28">
        <v>34</v>
      </c>
      <c r="Q1698" s="13" t="s">
        <v>54</v>
      </c>
      <c r="R1698" s="13" t="s">
        <v>28</v>
      </c>
      <c r="S1698" s="13"/>
      <c r="T1698" s="13"/>
      <c r="U1698" s="13" t="s">
        <v>2640</v>
      </c>
      <c r="V1698" s="13" t="s">
        <v>2640</v>
      </c>
      <c r="W1698" s="59">
        <f>+J1698/$W$2</f>
        <v>1.9479516895860724E-4</v>
      </c>
    </row>
    <row r="1699" spans="1:29">
      <c r="A1699" s="13" t="s">
        <v>1882</v>
      </c>
      <c r="B1699" s="13" t="s">
        <v>404</v>
      </c>
      <c r="C1699" s="138">
        <v>46358</v>
      </c>
      <c r="D1699" s="138" t="s">
        <v>424</v>
      </c>
      <c r="E1699" s="28">
        <v>0.91784650999999995</v>
      </c>
      <c r="F1699" s="13"/>
      <c r="G1699" s="18">
        <v>3320250</v>
      </c>
      <c r="H1699" s="18">
        <v>3047479.88</v>
      </c>
      <c r="I1699" s="18">
        <v>3320250</v>
      </c>
      <c r="J1699" s="18">
        <v>3047479.88</v>
      </c>
      <c r="K1699" s="15">
        <v>10539964</v>
      </c>
      <c r="L1699" s="13" t="s">
        <v>102</v>
      </c>
      <c r="M1699" s="13" t="s">
        <v>103</v>
      </c>
      <c r="N1699" s="138" t="s">
        <v>388</v>
      </c>
      <c r="O1699" s="138" t="s">
        <v>388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1870</v>
      </c>
      <c r="V1699" s="13" t="s">
        <v>1870</v>
      </c>
      <c r="W1699" s="59">
        <f>+J1699/$W$2</f>
        <v>4.9875281048716661E-5</v>
      </c>
    </row>
    <row r="1700" spans="1:29">
      <c r="A1700" s="13" t="s">
        <v>2224</v>
      </c>
      <c r="B1700" s="13" t="s">
        <v>404</v>
      </c>
      <c r="C1700" s="138">
        <v>46358</v>
      </c>
      <c r="D1700" s="138" t="s">
        <v>424</v>
      </c>
      <c r="E1700" s="28">
        <v>0.92013736999999995</v>
      </c>
      <c r="F1700" s="13"/>
      <c r="G1700" s="18">
        <v>5444208</v>
      </c>
      <c r="H1700" s="18">
        <v>5009419.26</v>
      </c>
      <c r="I1700" s="18">
        <v>5444208</v>
      </c>
      <c r="J1700" s="18">
        <v>5009419.26</v>
      </c>
      <c r="K1700" s="15">
        <v>3450</v>
      </c>
      <c r="L1700" s="13" t="s">
        <v>102</v>
      </c>
      <c r="M1700" s="13" t="s">
        <v>103</v>
      </c>
      <c r="N1700" s="138" t="s">
        <v>424</v>
      </c>
      <c r="O1700" s="138" t="s">
        <v>424</v>
      </c>
      <c r="P1700" s="28">
        <v>32</v>
      </c>
      <c r="Q1700" s="13" t="s">
        <v>54</v>
      </c>
      <c r="R1700" s="13" t="s">
        <v>28</v>
      </c>
      <c r="S1700" s="13"/>
      <c r="T1700" s="13"/>
      <c r="U1700" s="13" t="s">
        <v>2652</v>
      </c>
      <c r="V1700" s="13" t="s">
        <v>2652</v>
      </c>
      <c r="W1700" s="59">
        <f>+J1700/$W$2</f>
        <v>8.1984526008865472E-5</v>
      </c>
    </row>
    <row r="1701" spans="1:29">
      <c r="A1701" s="13" t="s">
        <v>897</v>
      </c>
      <c r="B1701" s="13" t="s">
        <v>404</v>
      </c>
      <c r="C1701" s="138">
        <v>46358</v>
      </c>
      <c r="D1701" s="138" t="s">
        <v>424</v>
      </c>
      <c r="E1701" s="28">
        <v>0.91784661000000001</v>
      </c>
      <c r="F1701" s="13"/>
      <c r="G1701" s="18">
        <v>6512309.3700000001</v>
      </c>
      <c r="H1701" s="18">
        <v>5977301.0999999996</v>
      </c>
      <c r="I1701" s="18">
        <v>6512309.3700000001</v>
      </c>
      <c r="J1701" s="18">
        <v>5977301.0999999996</v>
      </c>
      <c r="K1701" s="15">
        <v>90001933</v>
      </c>
      <c r="L1701" s="13" t="s">
        <v>102</v>
      </c>
      <c r="M1701" s="13" t="s">
        <v>103</v>
      </c>
      <c r="N1701" s="138" t="s">
        <v>484</v>
      </c>
      <c r="O1701" s="138" t="s">
        <v>484</v>
      </c>
      <c r="P1701" s="28">
        <v>33</v>
      </c>
      <c r="Q1701" s="13" t="s">
        <v>54</v>
      </c>
      <c r="R1701" s="13" t="s">
        <v>28</v>
      </c>
      <c r="S1701" s="13"/>
      <c r="T1701" s="13"/>
      <c r="U1701" s="13" t="s">
        <v>2070</v>
      </c>
      <c r="V1701" s="13" t="s">
        <v>2070</v>
      </c>
      <c r="W1701" s="59">
        <f>+J1701/$W$2</f>
        <v>9.7824951768115767E-5</v>
      </c>
    </row>
    <row r="1702" spans="1:29">
      <c r="A1702" s="13" t="s">
        <v>129</v>
      </c>
      <c r="B1702" s="13" t="s">
        <v>127</v>
      </c>
      <c r="C1702" s="138">
        <v>46359</v>
      </c>
      <c r="D1702" s="138" t="s">
        <v>424</v>
      </c>
      <c r="E1702" s="28">
        <v>0.97855219999999998</v>
      </c>
      <c r="F1702" s="13" t="s">
        <v>2681</v>
      </c>
      <c r="G1702" s="18">
        <v>50000</v>
      </c>
      <c r="H1702" s="18">
        <v>48927.61</v>
      </c>
      <c r="I1702" s="18">
        <v>75576626.989999995</v>
      </c>
      <c r="J1702" s="18">
        <v>73955674.609999999</v>
      </c>
      <c r="K1702" s="15">
        <v>158027</v>
      </c>
      <c r="L1702" s="13" t="s">
        <v>102</v>
      </c>
      <c r="M1702" s="13" t="s">
        <v>103</v>
      </c>
      <c r="N1702" s="138" t="s">
        <v>481</v>
      </c>
      <c r="O1702" s="138" t="s">
        <v>481</v>
      </c>
      <c r="P1702" s="28">
        <v>8</v>
      </c>
      <c r="Q1702" s="13" t="s">
        <v>54</v>
      </c>
      <c r="R1702" s="13" t="s">
        <v>28</v>
      </c>
      <c r="S1702" s="13"/>
      <c r="T1702" s="13"/>
      <c r="U1702" s="13" t="s">
        <v>1777</v>
      </c>
      <c r="V1702" s="13" t="s">
        <v>1777</v>
      </c>
      <c r="W1702" s="59">
        <f>+J1702/$W$2</f>
        <v>1.2103640389977534E-3</v>
      </c>
    </row>
    <row r="1703" spans="1:29">
      <c r="A1703" s="13" t="s">
        <v>126</v>
      </c>
      <c r="B1703" s="13" t="s">
        <v>127</v>
      </c>
      <c r="C1703" s="138">
        <v>46359</v>
      </c>
      <c r="D1703" s="138" t="s">
        <v>424</v>
      </c>
      <c r="E1703" s="28">
        <v>0.97593569999999996</v>
      </c>
      <c r="F1703" s="13" t="s">
        <v>2681</v>
      </c>
      <c r="G1703" s="18">
        <v>100000</v>
      </c>
      <c r="H1703" s="18">
        <v>97593.57</v>
      </c>
      <c r="I1703" s="18">
        <v>151153253.97999999</v>
      </c>
      <c r="J1703" s="18">
        <v>147515856.72999999</v>
      </c>
      <c r="K1703" s="15">
        <v>159253</v>
      </c>
      <c r="L1703" s="13" t="s">
        <v>102</v>
      </c>
      <c r="M1703" s="13" t="s">
        <v>103</v>
      </c>
      <c r="N1703" s="138" t="s">
        <v>429</v>
      </c>
      <c r="O1703" s="138" t="s">
        <v>429</v>
      </c>
      <c r="P1703" s="28">
        <v>9</v>
      </c>
      <c r="Q1703" s="13" t="s">
        <v>54</v>
      </c>
      <c r="R1703" s="13" t="s">
        <v>28</v>
      </c>
      <c r="S1703" s="13"/>
      <c r="T1703" s="13"/>
      <c r="U1703" s="13" t="s">
        <v>1983</v>
      </c>
      <c r="V1703" s="13" t="s">
        <v>1983</v>
      </c>
      <c r="W1703" s="59">
        <f>+J1703/$W$2</f>
        <v>2.4142554186611957E-3</v>
      </c>
      <c r="AC1703" s="56"/>
    </row>
    <row r="1704" spans="1:29">
      <c r="A1704" s="13" t="s">
        <v>565</v>
      </c>
      <c r="B1704" s="13" t="s">
        <v>404</v>
      </c>
      <c r="C1704" s="138">
        <v>46359</v>
      </c>
      <c r="D1704" s="138" t="s">
        <v>424</v>
      </c>
      <c r="E1704" s="28">
        <v>0.93112258000000003</v>
      </c>
      <c r="F1704" s="13"/>
      <c r="G1704" s="18">
        <v>25000000</v>
      </c>
      <c r="H1704" s="18">
        <v>23278064.609999999</v>
      </c>
      <c r="I1704" s="18">
        <v>25000000</v>
      </c>
      <c r="J1704" s="18">
        <v>23278064.609999999</v>
      </c>
      <c r="K1704" s="15">
        <v>9508924</v>
      </c>
      <c r="L1704" s="13" t="s">
        <v>102</v>
      </c>
      <c r="M1704" s="13" t="s">
        <v>103</v>
      </c>
      <c r="N1704" s="138" t="s">
        <v>601</v>
      </c>
      <c r="O1704" s="138" t="s">
        <v>601</v>
      </c>
      <c r="P1704" s="28">
        <v>27</v>
      </c>
      <c r="Q1704" s="13" t="s">
        <v>54</v>
      </c>
      <c r="R1704" s="13" t="s">
        <v>28</v>
      </c>
      <c r="S1704" s="13"/>
      <c r="T1704" s="13"/>
      <c r="U1704" s="13" t="s">
        <v>1329</v>
      </c>
      <c r="V1704" s="13" t="s">
        <v>1329</v>
      </c>
      <c r="W1704" s="59">
        <f>+J1704/$W$2</f>
        <v>3.8097052660243809E-4</v>
      </c>
    </row>
    <row r="1705" spans="1:29">
      <c r="A1705" s="13" t="s">
        <v>1208</v>
      </c>
      <c r="B1705" s="13" t="s">
        <v>404</v>
      </c>
      <c r="C1705" s="138">
        <v>46360</v>
      </c>
      <c r="D1705" s="138" t="s">
        <v>424</v>
      </c>
      <c r="E1705" s="28">
        <v>0.92334943999999997</v>
      </c>
      <c r="F1705" s="13"/>
      <c r="G1705" s="18">
        <v>18700000</v>
      </c>
      <c r="H1705" s="18">
        <v>17266634.609999999</v>
      </c>
      <c r="I1705" s="18">
        <v>18700000</v>
      </c>
      <c r="J1705" s="18">
        <v>17266634.609999999</v>
      </c>
      <c r="K1705" s="15">
        <v>238</v>
      </c>
      <c r="L1705" s="13" t="s">
        <v>102</v>
      </c>
      <c r="M1705" s="13" t="s">
        <v>103</v>
      </c>
      <c r="N1705" s="138" t="s">
        <v>355</v>
      </c>
      <c r="O1705" s="138" t="s">
        <v>355</v>
      </c>
      <c r="P1705" s="28">
        <v>30</v>
      </c>
      <c r="Q1705" s="13" t="s">
        <v>54</v>
      </c>
      <c r="R1705" s="13" t="s">
        <v>28</v>
      </c>
      <c r="S1705" s="13"/>
      <c r="T1705" s="13"/>
      <c r="U1705" s="13" t="s">
        <v>1181</v>
      </c>
      <c r="V1705" s="13" t="s">
        <v>1181</v>
      </c>
      <c r="W1705" s="59">
        <f>+J1705/$W$2</f>
        <v>2.8258701873340935E-4</v>
      </c>
    </row>
    <row r="1706" spans="1:29">
      <c r="A1706" s="13" t="s">
        <v>232</v>
      </c>
      <c r="B1706" s="13" t="s">
        <v>404</v>
      </c>
      <c r="C1706" s="138">
        <v>46365</v>
      </c>
      <c r="D1706" s="138" t="s">
        <v>424</v>
      </c>
      <c r="E1706" s="28">
        <v>0.91254563</v>
      </c>
      <c r="F1706" s="13"/>
      <c r="G1706" s="18">
        <v>25000000</v>
      </c>
      <c r="H1706" s="18">
        <v>22813640.859999999</v>
      </c>
      <c r="I1706" s="18">
        <v>25000000</v>
      </c>
      <c r="J1706" s="18">
        <v>22813640.859999999</v>
      </c>
      <c r="K1706" s="15">
        <v>475886</v>
      </c>
      <c r="L1706" s="13" t="s">
        <v>102</v>
      </c>
      <c r="M1706" s="13" t="s">
        <v>103</v>
      </c>
      <c r="N1706" s="138" t="s">
        <v>371</v>
      </c>
      <c r="O1706" s="138" t="s">
        <v>371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2124</v>
      </c>
      <c r="V1706" s="13" t="s">
        <v>2124</v>
      </c>
      <c r="W1706" s="59">
        <f>+J1706/$W$2</f>
        <v>3.7336973317014517E-4</v>
      </c>
    </row>
    <row r="1707" spans="1:29">
      <c r="A1707" s="13" t="s">
        <v>539</v>
      </c>
      <c r="B1707" s="13" t="s">
        <v>404</v>
      </c>
      <c r="C1707" s="138">
        <v>46365</v>
      </c>
      <c r="D1707" s="138" t="s">
        <v>424</v>
      </c>
      <c r="E1707" s="28">
        <v>0.90297379</v>
      </c>
      <c r="F1707" s="13"/>
      <c r="G1707" s="18">
        <v>15000000</v>
      </c>
      <c r="H1707" s="18">
        <v>13544606.800000001</v>
      </c>
      <c r="I1707" s="18">
        <v>15000000</v>
      </c>
      <c r="J1707" s="18">
        <v>13544606.800000001</v>
      </c>
      <c r="K1707" s="15">
        <v>90023082</v>
      </c>
      <c r="L1707" s="13" t="s">
        <v>102</v>
      </c>
      <c r="M1707" s="13" t="s">
        <v>103</v>
      </c>
      <c r="N1707" s="138" t="s">
        <v>164</v>
      </c>
      <c r="O1707" s="138" t="s">
        <v>164</v>
      </c>
      <c r="P1707" s="28">
        <v>37</v>
      </c>
      <c r="Q1707" s="13" t="s">
        <v>54</v>
      </c>
      <c r="R1707" s="13" t="s">
        <v>28</v>
      </c>
      <c r="S1707" s="13"/>
      <c r="T1707" s="13"/>
      <c r="U1707" s="13" t="s">
        <v>874</v>
      </c>
      <c r="V1707" s="13" t="s">
        <v>874</v>
      </c>
      <c r="W1707" s="59">
        <f>+J1707/$W$2</f>
        <v>2.2167203638580178E-4</v>
      </c>
    </row>
    <row r="1708" spans="1:29">
      <c r="A1708" s="13" t="s">
        <v>539</v>
      </c>
      <c r="B1708" s="13" t="s">
        <v>404</v>
      </c>
      <c r="C1708" s="138">
        <v>46365</v>
      </c>
      <c r="D1708" s="138" t="s">
        <v>424</v>
      </c>
      <c r="E1708" s="28">
        <v>0.90297379</v>
      </c>
      <c r="F1708" s="13"/>
      <c r="G1708" s="18">
        <v>15000000</v>
      </c>
      <c r="H1708" s="18">
        <v>13544606.800000001</v>
      </c>
      <c r="I1708" s="18">
        <v>15000000</v>
      </c>
      <c r="J1708" s="18">
        <v>13544606.800000001</v>
      </c>
      <c r="K1708" s="15">
        <v>90023081</v>
      </c>
      <c r="L1708" s="13" t="s">
        <v>102</v>
      </c>
      <c r="M1708" s="13" t="s">
        <v>103</v>
      </c>
      <c r="N1708" s="138" t="s">
        <v>164</v>
      </c>
      <c r="O1708" s="138" t="s">
        <v>164</v>
      </c>
      <c r="P1708" s="28">
        <v>37</v>
      </c>
      <c r="Q1708" s="13" t="s">
        <v>54</v>
      </c>
      <c r="R1708" s="13" t="s">
        <v>28</v>
      </c>
      <c r="S1708" s="13"/>
      <c r="T1708" s="13"/>
      <c r="U1708" s="13" t="s">
        <v>876</v>
      </c>
      <c r="V1708" s="13" t="s">
        <v>876</v>
      </c>
      <c r="W1708" s="59">
        <f>+J1708/$W$2</f>
        <v>2.2167203638580178E-4</v>
      </c>
      <c r="AC1708" s="56"/>
    </row>
    <row r="1709" spans="1:29">
      <c r="A1709" s="13" t="s">
        <v>284</v>
      </c>
      <c r="B1709" s="13" t="s">
        <v>404</v>
      </c>
      <c r="C1709" s="138">
        <v>46365</v>
      </c>
      <c r="D1709" s="138" t="s">
        <v>424</v>
      </c>
      <c r="E1709" s="28">
        <v>0.92232281000000005</v>
      </c>
      <c r="F1709" s="13"/>
      <c r="G1709" s="18">
        <v>8106418.25</v>
      </c>
      <c r="H1709" s="18">
        <v>7476734.4500000002</v>
      </c>
      <c r="I1709" s="18">
        <v>8106418.25</v>
      </c>
      <c r="J1709" s="18">
        <v>7476734.4500000002</v>
      </c>
      <c r="K1709" s="15">
        <v>90000807</v>
      </c>
      <c r="L1709" s="13" t="s">
        <v>102</v>
      </c>
      <c r="M1709" s="13" t="s">
        <v>103</v>
      </c>
      <c r="N1709" s="138" t="s">
        <v>374</v>
      </c>
      <c r="O1709" s="138" t="s">
        <v>374</v>
      </c>
      <c r="P1709" s="28">
        <v>29</v>
      </c>
      <c r="Q1709" s="13" t="s">
        <v>54</v>
      </c>
      <c r="R1709" s="13" t="s">
        <v>28</v>
      </c>
      <c r="S1709" s="13"/>
      <c r="T1709" s="13"/>
      <c r="U1709" s="13" t="s">
        <v>1222</v>
      </c>
      <c r="V1709" s="13" t="s">
        <v>1222</v>
      </c>
      <c r="W1709" s="59">
        <f>+J1709/$W$2</f>
        <v>1.2236478884328908E-4</v>
      </c>
    </row>
    <row r="1710" spans="1:29">
      <c r="A1710" s="13" t="s">
        <v>979</v>
      </c>
      <c r="B1710" s="13" t="s">
        <v>404</v>
      </c>
      <c r="C1710" s="138">
        <v>46365</v>
      </c>
      <c r="D1710" s="138" t="s">
        <v>424</v>
      </c>
      <c r="E1710" s="28">
        <v>0.90534795000000001</v>
      </c>
      <c r="F1710" s="13"/>
      <c r="G1710" s="18">
        <v>11500000</v>
      </c>
      <c r="H1710" s="18">
        <v>10411501.43</v>
      </c>
      <c r="I1710" s="18">
        <v>11500000</v>
      </c>
      <c r="J1710" s="18">
        <v>10411501.43</v>
      </c>
      <c r="K1710" s="15">
        <v>10468665</v>
      </c>
      <c r="L1710" s="13" t="s">
        <v>102</v>
      </c>
      <c r="M1710" s="13" t="s">
        <v>103</v>
      </c>
      <c r="N1710" s="138" t="s">
        <v>291</v>
      </c>
      <c r="O1710" s="138" t="s">
        <v>291</v>
      </c>
      <c r="P1710" s="28">
        <v>36</v>
      </c>
      <c r="Q1710" s="13" t="s">
        <v>54</v>
      </c>
      <c r="R1710" s="13" t="s">
        <v>28</v>
      </c>
      <c r="S1710" s="13"/>
      <c r="T1710" s="13"/>
      <c r="U1710" s="13" t="s">
        <v>1914</v>
      </c>
      <c r="V1710" s="13" t="s">
        <v>1914</v>
      </c>
      <c r="W1710" s="59">
        <f>+J1710/$W$2</f>
        <v>1.7039540223654089E-4</v>
      </c>
    </row>
    <row r="1711" spans="1:29">
      <c r="A1711" s="13" t="s">
        <v>539</v>
      </c>
      <c r="B1711" s="13" t="s">
        <v>404</v>
      </c>
      <c r="C1711" s="138">
        <v>46366</v>
      </c>
      <c r="D1711" s="138" t="s">
        <v>424</v>
      </c>
      <c r="E1711" s="28">
        <v>0.90214797000000002</v>
      </c>
      <c r="F1711" s="13"/>
      <c r="G1711" s="18">
        <v>15000000</v>
      </c>
      <c r="H1711" s="18">
        <v>13532219.48</v>
      </c>
      <c r="I1711" s="18">
        <v>15000000</v>
      </c>
      <c r="J1711" s="18">
        <v>13532219.48</v>
      </c>
      <c r="K1711" s="15">
        <v>90023083</v>
      </c>
      <c r="L1711" s="13" t="s">
        <v>102</v>
      </c>
      <c r="M1711" s="13" t="s">
        <v>103</v>
      </c>
      <c r="N1711" s="138" t="s">
        <v>164</v>
      </c>
      <c r="O1711" s="138" t="s">
        <v>164</v>
      </c>
      <c r="P1711" s="28">
        <v>37</v>
      </c>
      <c r="Q1711" s="13" t="s">
        <v>54</v>
      </c>
      <c r="R1711" s="13" t="s">
        <v>28</v>
      </c>
      <c r="S1711" s="13"/>
      <c r="T1711" s="13"/>
      <c r="U1711" s="13" t="s">
        <v>877</v>
      </c>
      <c r="V1711" s="13" t="s">
        <v>877</v>
      </c>
      <c r="W1711" s="59">
        <f>+J1711/$W$2</f>
        <v>2.214693045907553E-4</v>
      </c>
    </row>
    <row r="1712" spans="1:29">
      <c r="A1712" s="13" t="s">
        <v>2229</v>
      </c>
      <c r="B1712" s="13" t="s">
        <v>404</v>
      </c>
      <c r="C1712" s="138">
        <v>46366</v>
      </c>
      <c r="D1712" s="138" t="s">
        <v>424</v>
      </c>
      <c r="E1712" s="28">
        <v>0.92414434000000001</v>
      </c>
      <c r="F1712" s="13"/>
      <c r="G1712" s="18">
        <v>15000000</v>
      </c>
      <c r="H1712" s="18">
        <v>13862165.060000001</v>
      </c>
      <c r="I1712" s="18">
        <v>15000000</v>
      </c>
      <c r="J1712" s="18">
        <v>13862165.060000001</v>
      </c>
      <c r="K1712" s="15">
        <v>2285661</v>
      </c>
      <c r="L1712" s="13" t="s">
        <v>102</v>
      </c>
      <c r="M1712" s="13" t="s">
        <v>103</v>
      </c>
      <c r="N1712" s="138" t="s">
        <v>639</v>
      </c>
      <c r="O1712" s="138" t="s">
        <v>639</v>
      </c>
      <c r="P1712" s="28">
        <v>28</v>
      </c>
      <c r="Q1712" s="13" t="s">
        <v>54</v>
      </c>
      <c r="R1712" s="13" t="s">
        <v>28</v>
      </c>
      <c r="S1712" s="13"/>
      <c r="T1712" s="13"/>
      <c r="U1712" s="13" t="s">
        <v>2208</v>
      </c>
      <c r="V1712" s="13" t="s">
        <v>2208</v>
      </c>
      <c r="W1712" s="59">
        <f>+J1712/$W$2</f>
        <v>2.2686921834942525E-4</v>
      </c>
    </row>
    <row r="1713" spans="1:29">
      <c r="A1713" s="13" t="s">
        <v>979</v>
      </c>
      <c r="B1713" s="13" t="s">
        <v>404</v>
      </c>
      <c r="C1713" s="138">
        <v>46366</v>
      </c>
      <c r="D1713" s="138" t="s">
        <v>424</v>
      </c>
      <c r="E1713" s="28">
        <v>0.90454018000000003</v>
      </c>
      <c r="F1713" s="13"/>
      <c r="G1713" s="18">
        <v>11500000</v>
      </c>
      <c r="H1713" s="18">
        <v>10402212.09</v>
      </c>
      <c r="I1713" s="18">
        <v>11500000</v>
      </c>
      <c r="J1713" s="18">
        <v>10402212.09</v>
      </c>
      <c r="K1713" s="15">
        <v>10468668</v>
      </c>
      <c r="L1713" s="13" t="s">
        <v>102</v>
      </c>
      <c r="M1713" s="13" t="s">
        <v>103</v>
      </c>
      <c r="N1713" s="138" t="s">
        <v>291</v>
      </c>
      <c r="O1713" s="138" t="s">
        <v>291</v>
      </c>
      <c r="P1713" s="28">
        <v>36</v>
      </c>
      <c r="Q1713" s="13" t="s">
        <v>54</v>
      </c>
      <c r="R1713" s="13" t="s">
        <v>28</v>
      </c>
      <c r="S1713" s="13"/>
      <c r="T1713" s="13"/>
      <c r="U1713" s="13" t="s">
        <v>1913</v>
      </c>
      <c r="V1713" s="13" t="s">
        <v>1913</v>
      </c>
      <c r="W1713" s="59">
        <f>+J1713/$W$2</f>
        <v>1.7024337221124109E-4</v>
      </c>
    </row>
    <row r="1714" spans="1:29">
      <c r="A1714" s="13" t="s">
        <v>539</v>
      </c>
      <c r="B1714" s="13" t="s">
        <v>404</v>
      </c>
      <c r="C1714" s="138">
        <v>46367</v>
      </c>
      <c r="D1714" s="138" t="s">
        <v>424</v>
      </c>
      <c r="E1714" s="28">
        <v>0.90132365000000003</v>
      </c>
      <c r="F1714" s="13"/>
      <c r="G1714" s="18">
        <v>15000000</v>
      </c>
      <c r="H1714" s="18">
        <v>13519854.82</v>
      </c>
      <c r="I1714" s="18">
        <v>15000000</v>
      </c>
      <c r="J1714" s="18">
        <v>13519854.82</v>
      </c>
      <c r="K1714" s="15">
        <v>90023086</v>
      </c>
      <c r="L1714" s="13" t="s">
        <v>102</v>
      </c>
      <c r="M1714" s="13" t="s">
        <v>103</v>
      </c>
      <c r="N1714" s="138" t="s">
        <v>164</v>
      </c>
      <c r="O1714" s="138" t="s">
        <v>164</v>
      </c>
      <c r="P1714" s="28">
        <v>37</v>
      </c>
      <c r="Q1714" s="13" t="s">
        <v>54</v>
      </c>
      <c r="R1714" s="13" t="s">
        <v>28</v>
      </c>
      <c r="S1714" s="13"/>
      <c r="T1714" s="13"/>
      <c r="U1714" s="13" t="s">
        <v>878</v>
      </c>
      <c r="V1714" s="13" t="s">
        <v>878</v>
      </c>
      <c r="W1714" s="59">
        <f>+J1714/$W$2</f>
        <v>2.2126694365094432E-4</v>
      </c>
    </row>
    <row r="1715" spans="1:29">
      <c r="A1715" s="13" t="s">
        <v>284</v>
      </c>
      <c r="B1715" s="13" t="s">
        <v>404</v>
      </c>
      <c r="C1715" s="138">
        <v>46367</v>
      </c>
      <c r="D1715" s="138" t="s">
        <v>424</v>
      </c>
      <c r="E1715" s="28">
        <v>0.92097309999999999</v>
      </c>
      <c r="F1715" s="13"/>
      <c r="G1715" s="18">
        <v>5311841.87</v>
      </c>
      <c r="H1715" s="18">
        <v>4892063.46</v>
      </c>
      <c r="I1715" s="18">
        <v>5311841.87</v>
      </c>
      <c r="J1715" s="18">
        <v>4892063.46</v>
      </c>
      <c r="K1715" s="15">
        <v>90000278</v>
      </c>
      <c r="L1715" s="13" t="s">
        <v>102</v>
      </c>
      <c r="M1715" s="13" t="s">
        <v>103</v>
      </c>
      <c r="N1715" s="138" t="s">
        <v>374</v>
      </c>
      <c r="O1715" s="138" t="s">
        <v>374</v>
      </c>
      <c r="P1715" s="28">
        <v>29</v>
      </c>
      <c r="Q1715" s="13" t="s">
        <v>54</v>
      </c>
      <c r="R1715" s="13" t="s">
        <v>28</v>
      </c>
      <c r="S1715" s="13"/>
      <c r="T1715" s="13"/>
      <c r="U1715" s="13" t="s">
        <v>1217</v>
      </c>
      <c r="V1715" s="13" t="s">
        <v>1217</v>
      </c>
      <c r="W1715" s="59">
        <f>+J1715/$W$2</f>
        <v>8.0063872308701586E-5</v>
      </c>
    </row>
    <row r="1716" spans="1:29">
      <c r="A1716" s="13" t="s">
        <v>1168</v>
      </c>
      <c r="B1716" s="13" t="s">
        <v>404</v>
      </c>
      <c r="C1716" s="138">
        <v>46367</v>
      </c>
      <c r="D1716" s="138" t="s">
        <v>424</v>
      </c>
      <c r="E1716" s="28">
        <v>0.92348958000000003</v>
      </c>
      <c r="F1716" s="13"/>
      <c r="G1716" s="18">
        <v>69542230</v>
      </c>
      <c r="H1716" s="18">
        <v>64221524.659999996</v>
      </c>
      <c r="I1716" s="18">
        <v>69542230</v>
      </c>
      <c r="J1716" s="18">
        <v>64221524.659999996</v>
      </c>
      <c r="K1716" s="15">
        <v>155355</v>
      </c>
      <c r="L1716" s="13" t="s">
        <v>102</v>
      </c>
      <c r="M1716" s="13" t="s">
        <v>103</v>
      </c>
      <c r="N1716" s="138" t="s">
        <v>324</v>
      </c>
      <c r="O1716" s="138" t="s">
        <v>324</v>
      </c>
      <c r="P1716" s="28">
        <v>28</v>
      </c>
      <c r="Q1716" s="13" t="s">
        <v>54</v>
      </c>
      <c r="R1716" s="13" t="s">
        <v>28</v>
      </c>
      <c r="S1716" s="13"/>
      <c r="T1716" s="13"/>
      <c r="U1716" s="13" t="s">
        <v>1164</v>
      </c>
      <c r="V1716" s="13" t="s">
        <v>1164</v>
      </c>
      <c r="W1716" s="59">
        <f>+J1716/$W$2</f>
        <v>1.0510542211666996E-3</v>
      </c>
    </row>
    <row r="1717" spans="1:29">
      <c r="A1717" s="13" t="s">
        <v>417</v>
      </c>
      <c r="B1717" s="13" t="s">
        <v>404</v>
      </c>
      <c r="C1717" s="138">
        <v>46367</v>
      </c>
      <c r="D1717" s="138" t="s">
        <v>424</v>
      </c>
      <c r="E1717" s="28">
        <v>0.90859319000000005</v>
      </c>
      <c r="F1717" s="13"/>
      <c r="G1717" s="18">
        <v>4000000</v>
      </c>
      <c r="H1717" s="18">
        <v>3634372.78</v>
      </c>
      <c r="I1717" s="18">
        <v>4000000</v>
      </c>
      <c r="J1717" s="18">
        <v>3634372.78</v>
      </c>
      <c r="K1717" s="15">
        <v>90000054</v>
      </c>
      <c r="L1717" s="13" t="s">
        <v>102</v>
      </c>
      <c r="M1717" s="13" t="s">
        <v>103</v>
      </c>
      <c r="N1717" s="138" t="s">
        <v>353</v>
      </c>
      <c r="O1717" s="138" t="s">
        <v>353</v>
      </c>
      <c r="P1717" s="28">
        <v>34</v>
      </c>
      <c r="Q1717" s="13" t="s">
        <v>54</v>
      </c>
      <c r="R1717" s="13" t="s">
        <v>28</v>
      </c>
      <c r="S1717" s="13"/>
      <c r="T1717" s="13"/>
      <c r="U1717" s="13" t="s">
        <v>995</v>
      </c>
      <c r="V1717" s="13" t="s">
        <v>995</v>
      </c>
      <c r="W1717" s="59">
        <f>+J1717/$W$2</f>
        <v>5.9480413645357902E-5</v>
      </c>
    </row>
    <row r="1718" spans="1:29">
      <c r="A1718" s="13" t="s">
        <v>721</v>
      </c>
      <c r="B1718" s="13" t="s">
        <v>404</v>
      </c>
      <c r="C1718" s="138">
        <v>46367</v>
      </c>
      <c r="D1718" s="138" t="s">
        <v>424</v>
      </c>
      <c r="E1718" s="28">
        <v>0.91847005999999998</v>
      </c>
      <c r="F1718" s="13"/>
      <c r="G1718" s="18">
        <v>50000000</v>
      </c>
      <c r="H1718" s="18">
        <v>45923502.899999999</v>
      </c>
      <c r="I1718" s="18">
        <v>50000000</v>
      </c>
      <c r="J1718" s="18">
        <v>45923502.899999999</v>
      </c>
      <c r="K1718" s="15">
        <v>68017</v>
      </c>
      <c r="L1718" s="13" t="s">
        <v>102</v>
      </c>
      <c r="M1718" s="13" t="s">
        <v>103</v>
      </c>
      <c r="N1718" s="138" t="s">
        <v>385</v>
      </c>
      <c r="O1718" s="138" t="s">
        <v>385</v>
      </c>
      <c r="P1718" s="28">
        <v>30</v>
      </c>
      <c r="Q1718" s="13" t="s">
        <v>54</v>
      </c>
      <c r="R1718" s="13" t="s">
        <v>28</v>
      </c>
      <c r="S1718" s="13"/>
      <c r="T1718" s="13"/>
      <c r="U1718" s="13" t="s">
        <v>1898</v>
      </c>
      <c r="V1718" s="13" t="s">
        <v>1898</v>
      </c>
      <c r="W1718" s="59">
        <f>+J1718/$W$2</f>
        <v>7.5158744407495624E-4</v>
      </c>
    </row>
    <row r="1719" spans="1:29">
      <c r="A1719" s="13" t="s">
        <v>232</v>
      </c>
      <c r="B1719" s="13" t="s">
        <v>404</v>
      </c>
      <c r="C1719" s="138">
        <v>46370</v>
      </c>
      <c r="D1719" s="138" t="s">
        <v>424</v>
      </c>
      <c r="E1719" s="28">
        <v>0.90879681000000001</v>
      </c>
      <c r="F1719" s="13"/>
      <c r="G1719" s="18">
        <v>25000000</v>
      </c>
      <c r="H1719" s="18">
        <v>22719920.170000002</v>
      </c>
      <c r="I1719" s="18">
        <v>25000000</v>
      </c>
      <c r="J1719" s="18">
        <v>22719920.170000002</v>
      </c>
      <c r="K1719" s="15">
        <v>475887</v>
      </c>
      <c r="L1719" s="13" t="s">
        <v>102</v>
      </c>
      <c r="M1719" s="13" t="s">
        <v>103</v>
      </c>
      <c r="N1719" s="138" t="s">
        <v>371</v>
      </c>
      <c r="O1719" s="138" t="s">
        <v>371</v>
      </c>
      <c r="P1719" s="28">
        <v>33</v>
      </c>
      <c r="Q1719" s="13" t="s">
        <v>54</v>
      </c>
      <c r="R1719" s="13" t="s">
        <v>28</v>
      </c>
      <c r="S1719" s="13"/>
      <c r="T1719" s="13"/>
      <c r="U1719" s="13" t="s">
        <v>2127</v>
      </c>
      <c r="V1719" s="13" t="s">
        <v>2127</v>
      </c>
      <c r="W1719" s="59">
        <f>+J1719/$W$2</f>
        <v>3.7183589342783664E-4</v>
      </c>
    </row>
    <row r="1720" spans="1:29">
      <c r="A1720" s="13" t="s">
        <v>2322</v>
      </c>
      <c r="B1720" s="13" t="s">
        <v>404</v>
      </c>
      <c r="C1720" s="138">
        <v>46370</v>
      </c>
      <c r="D1720" s="138" t="s">
        <v>424</v>
      </c>
      <c r="E1720" s="28">
        <v>0.92153101000000004</v>
      </c>
      <c r="F1720" s="13"/>
      <c r="G1720" s="18">
        <v>850000000</v>
      </c>
      <c r="H1720" s="18">
        <v>783301357.64999998</v>
      </c>
      <c r="I1720" s="18">
        <v>850000000</v>
      </c>
      <c r="J1720" s="18">
        <v>783301357.64999998</v>
      </c>
      <c r="K1720" s="15">
        <v>31</v>
      </c>
      <c r="L1720" s="13" t="s">
        <v>102</v>
      </c>
      <c r="M1720" s="13" t="s">
        <v>103</v>
      </c>
      <c r="N1720" s="138" t="s">
        <v>441</v>
      </c>
      <c r="O1720" s="138" t="s">
        <v>441</v>
      </c>
      <c r="P1720" s="28">
        <v>28</v>
      </c>
      <c r="Q1720" s="13" t="s">
        <v>54</v>
      </c>
      <c r="R1720" s="13" t="s">
        <v>28</v>
      </c>
      <c r="S1720" s="13"/>
      <c r="T1720" s="13"/>
      <c r="U1720" s="13" t="s">
        <v>2308</v>
      </c>
      <c r="V1720" s="13" t="s">
        <v>2308</v>
      </c>
      <c r="W1720" s="59">
        <f>+J1720/$W$2</f>
        <v>1.2819567937109751E-2</v>
      </c>
    </row>
    <row r="1721" spans="1:29">
      <c r="A1721" s="13" t="s">
        <v>285</v>
      </c>
      <c r="B1721" s="13" t="s">
        <v>404</v>
      </c>
      <c r="C1721" s="138">
        <v>46371</v>
      </c>
      <c r="D1721" s="138" t="s">
        <v>424</v>
      </c>
      <c r="E1721" s="28">
        <v>0.92611394999999996</v>
      </c>
      <c r="F1721" s="13"/>
      <c r="G1721" s="18">
        <v>5000000</v>
      </c>
      <c r="H1721" s="18">
        <v>4630569.75</v>
      </c>
      <c r="I1721" s="18">
        <v>5000000</v>
      </c>
      <c r="J1721" s="18">
        <v>4630569.75</v>
      </c>
      <c r="K1721" s="15">
        <v>491508</v>
      </c>
      <c r="L1721" s="13" t="s">
        <v>102</v>
      </c>
      <c r="M1721" s="13" t="s">
        <v>103</v>
      </c>
      <c r="N1721" s="138" t="s">
        <v>383</v>
      </c>
      <c r="O1721" s="138" t="s">
        <v>383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1617</v>
      </c>
      <c r="V1721" s="13" t="s">
        <v>1617</v>
      </c>
      <c r="W1721" s="59">
        <f>+J1721/$W$2</f>
        <v>7.5784246915827267E-5</v>
      </c>
    </row>
    <row r="1722" spans="1:29">
      <c r="A1722" s="13" t="s">
        <v>279</v>
      </c>
      <c r="B1722" s="13" t="s">
        <v>404</v>
      </c>
      <c r="C1722" s="138">
        <v>46371</v>
      </c>
      <c r="D1722" s="138" t="s">
        <v>424</v>
      </c>
      <c r="E1722" s="28">
        <v>0.92088018000000005</v>
      </c>
      <c r="F1722" s="13"/>
      <c r="G1722" s="18">
        <v>50000000</v>
      </c>
      <c r="H1722" s="18">
        <v>46044008.859999999</v>
      </c>
      <c r="I1722" s="18">
        <v>50000000</v>
      </c>
      <c r="J1722" s="18">
        <v>46044008.859999999</v>
      </c>
      <c r="K1722" s="15">
        <v>40665393</v>
      </c>
      <c r="L1722" s="13" t="s">
        <v>102</v>
      </c>
      <c r="M1722" s="13" t="s">
        <v>103</v>
      </c>
      <c r="N1722" s="138" t="s">
        <v>416</v>
      </c>
      <c r="O1722" s="138" t="s">
        <v>416</v>
      </c>
      <c r="P1722" s="28">
        <v>28</v>
      </c>
      <c r="Q1722" s="13" t="s">
        <v>54</v>
      </c>
      <c r="R1722" s="13" t="s">
        <v>28</v>
      </c>
      <c r="S1722" s="13"/>
      <c r="T1722" s="13"/>
      <c r="U1722" s="13" t="s">
        <v>2041</v>
      </c>
      <c r="V1722" s="13" t="s">
        <v>2041</v>
      </c>
      <c r="W1722" s="59">
        <f>+J1722/$W$2</f>
        <v>7.5355965352660501E-4</v>
      </c>
    </row>
    <row r="1723" spans="1:29">
      <c r="A1723" s="13" t="s">
        <v>522</v>
      </c>
      <c r="B1723" s="13" t="s">
        <v>404</v>
      </c>
      <c r="C1723" s="138">
        <v>46372</v>
      </c>
      <c r="D1723" s="138" t="s">
        <v>424</v>
      </c>
      <c r="E1723" s="28">
        <v>0.90730586999999996</v>
      </c>
      <c r="F1723" s="13"/>
      <c r="G1723" s="18">
        <v>2600411.64</v>
      </c>
      <c r="H1723" s="18">
        <v>2359368.75</v>
      </c>
      <c r="I1723" s="18">
        <v>2600411.64</v>
      </c>
      <c r="J1723" s="18">
        <v>2359368.75</v>
      </c>
      <c r="K1723" s="15">
        <v>90000276</v>
      </c>
      <c r="L1723" s="13" t="s">
        <v>102</v>
      </c>
      <c r="M1723" s="13" t="s">
        <v>103</v>
      </c>
      <c r="N1723" s="138" t="s">
        <v>484</v>
      </c>
      <c r="O1723" s="138" t="s">
        <v>484</v>
      </c>
      <c r="P1723" s="28">
        <v>33</v>
      </c>
      <c r="Q1723" s="13" t="s">
        <v>54</v>
      </c>
      <c r="R1723" s="13" t="s">
        <v>28</v>
      </c>
      <c r="S1723" s="13"/>
      <c r="T1723" s="13"/>
      <c r="U1723" s="13" t="s">
        <v>2062</v>
      </c>
      <c r="V1723" s="13" t="s">
        <v>2062</v>
      </c>
      <c r="W1723" s="59">
        <f>+J1723/$W$2</f>
        <v>3.8613603415753912E-5</v>
      </c>
    </row>
    <row r="1724" spans="1:29">
      <c r="A1724" s="13" t="s">
        <v>284</v>
      </c>
      <c r="B1724" s="13" t="s">
        <v>404</v>
      </c>
      <c r="C1724" s="138">
        <v>46372</v>
      </c>
      <c r="D1724" s="138" t="s">
        <v>424</v>
      </c>
      <c r="E1724" s="28">
        <v>0.91761579000000004</v>
      </c>
      <c r="F1724" s="13"/>
      <c r="G1724" s="18">
        <v>4396334.17</v>
      </c>
      <c r="H1724" s="18">
        <v>4034145.67</v>
      </c>
      <c r="I1724" s="18">
        <v>4396334.17</v>
      </c>
      <c r="J1724" s="18">
        <v>4034145.67</v>
      </c>
      <c r="K1724" s="15">
        <v>90000109</v>
      </c>
      <c r="L1724" s="13" t="s">
        <v>102</v>
      </c>
      <c r="M1724" s="13" t="s">
        <v>103</v>
      </c>
      <c r="N1724" s="138" t="s">
        <v>374</v>
      </c>
      <c r="O1724" s="138" t="s">
        <v>374</v>
      </c>
      <c r="P1724" s="28">
        <v>29</v>
      </c>
      <c r="Q1724" s="13" t="s">
        <v>54</v>
      </c>
      <c r="R1724" s="13" t="s">
        <v>28</v>
      </c>
      <c r="S1724" s="13"/>
      <c r="T1724" s="13"/>
      <c r="U1724" s="13" t="s">
        <v>1216</v>
      </c>
      <c r="V1724" s="13" t="s">
        <v>1216</v>
      </c>
      <c r="W1724" s="59">
        <f>+J1724/$W$2</f>
        <v>6.6023126322564389E-5</v>
      </c>
      <c r="AC1724" s="56"/>
    </row>
    <row r="1725" spans="1:29">
      <c r="A1725" s="13" t="s">
        <v>516</v>
      </c>
      <c r="B1725" s="13" t="s">
        <v>127</v>
      </c>
      <c r="C1725" s="138">
        <v>46372</v>
      </c>
      <c r="D1725" s="138" t="s">
        <v>424</v>
      </c>
      <c r="E1725" s="28">
        <v>0.97582994999999995</v>
      </c>
      <c r="F1725" s="13" t="s">
        <v>2681</v>
      </c>
      <c r="G1725" s="18">
        <v>18230</v>
      </c>
      <c r="H1725" s="18">
        <v>17789.38</v>
      </c>
      <c r="I1725" s="18">
        <v>27555238.199999999</v>
      </c>
      <c r="J1725" s="18">
        <v>26889226.73</v>
      </c>
      <c r="K1725" s="15">
        <v>146447</v>
      </c>
      <c r="L1725" s="13" t="s">
        <v>102</v>
      </c>
      <c r="M1725" s="13" t="s">
        <v>103</v>
      </c>
      <c r="N1725" s="138" t="s">
        <v>316</v>
      </c>
      <c r="O1725" s="138" t="s">
        <v>316</v>
      </c>
      <c r="P1725" s="28">
        <v>8</v>
      </c>
      <c r="Q1725" s="13" t="s">
        <v>54</v>
      </c>
      <c r="R1725" s="13" t="s">
        <v>28</v>
      </c>
      <c r="S1725" s="13"/>
      <c r="T1725" s="13"/>
      <c r="U1725" s="13" t="s">
        <v>500</v>
      </c>
      <c r="V1725" s="13" t="s">
        <v>500</v>
      </c>
      <c r="W1725" s="59">
        <f>+J1725/$W$2</f>
        <v>4.4007107287002479E-4</v>
      </c>
    </row>
    <row r="1726" spans="1:29">
      <c r="A1726" s="13" t="s">
        <v>189</v>
      </c>
      <c r="B1726" s="13" t="s">
        <v>404</v>
      </c>
      <c r="C1726" s="138">
        <v>46372</v>
      </c>
      <c r="D1726" s="138" t="s">
        <v>424</v>
      </c>
      <c r="E1726" s="28">
        <v>0.92023012999999998</v>
      </c>
      <c r="F1726" s="13"/>
      <c r="G1726" s="18">
        <v>10746145.48</v>
      </c>
      <c r="H1726" s="18">
        <v>9888926.8000000007</v>
      </c>
      <c r="I1726" s="18">
        <v>10746145.48</v>
      </c>
      <c r="J1726" s="18">
        <v>9888926.8000000007</v>
      </c>
      <c r="K1726" s="15">
        <v>604620</v>
      </c>
      <c r="L1726" s="13" t="s">
        <v>102</v>
      </c>
      <c r="M1726" s="13" t="s">
        <v>103</v>
      </c>
      <c r="N1726" s="138" t="s">
        <v>639</v>
      </c>
      <c r="O1726" s="138" t="s">
        <v>639</v>
      </c>
      <c r="P1726" s="28">
        <v>28</v>
      </c>
      <c r="Q1726" s="13" t="s">
        <v>54</v>
      </c>
      <c r="R1726" s="13" t="s">
        <v>28</v>
      </c>
      <c r="S1726" s="13"/>
      <c r="T1726" s="13"/>
      <c r="U1726" s="13" t="s">
        <v>2161</v>
      </c>
      <c r="V1726" s="13" t="s">
        <v>2161</v>
      </c>
      <c r="W1726" s="59">
        <f>+J1726/$W$2</f>
        <v>1.6184290720245423E-4</v>
      </c>
    </row>
    <row r="1727" spans="1:29">
      <c r="A1727" s="13" t="s">
        <v>189</v>
      </c>
      <c r="B1727" s="13" t="s">
        <v>404</v>
      </c>
      <c r="C1727" s="138">
        <v>46372</v>
      </c>
      <c r="D1727" s="138" t="s">
        <v>424</v>
      </c>
      <c r="E1727" s="28">
        <v>0.92023012999999998</v>
      </c>
      <c r="F1727" s="13"/>
      <c r="G1727" s="18">
        <v>8521998.5999999996</v>
      </c>
      <c r="H1727" s="18">
        <v>7842199.8399999999</v>
      </c>
      <c r="I1727" s="18">
        <v>8521998.5999999996</v>
      </c>
      <c r="J1727" s="18">
        <v>7842199.8399999999</v>
      </c>
      <c r="K1727" s="15">
        <v>654243</v>
      </c>
      <c r="L1727" s="13" t="s">
        <v>102</v>
      </c>
      <c r="M1727" s="13" t="s">
        <v>103</v>
      </c>
      <c r="N1727" s="138" t="s">
        <v>639</v>
      </c>
      <c r="O1727" s="138" t="s">
        <v>639</v>
      </c>
      <c r="P1727" s="28">
        <v>28</v>
      </c>
      <c r="Q1727" s="13" t="s">
        <v>54</v>
      </c>
      <c r="R1727" s="13" t="s">
        <v>28</v>
      </c>
      <c r="S1727" s="13"/>
      <c r="T1727" s="13"/>
      <c r="U1727" s="13" t="s">
        <v>2164</v>
      </c>
      <c r="V1727" s="13" t="s">
        <v>2164</v>
      </c>
      <c r="W1727" s="59">
        <f>+J1727/$W$2</f>
        <v>1.283460224387768E-4</v>
      </c>
    </row>
    <row r="1728" spans="1:29">
      <c r="A1728" s="13" t="s">
        <v>2362</v>
      </c>
      <c r="B1728" s="13" t="s">
        <v>404</v>
      </c>
      <c r="C1728" s="138">
        <v>46372</v>
      </c>
      <c r="D1728" s="138" t="s">
        <v>424</v>
      </c>
      <c r="E1728" s="28">
        <v>0.90730568</v>
      </c>
      <c r="F1728" s="13"/>
      <c r="G1728" s="18">
        <v>150000000</v>
      </c>
      <c r="H1728" s="18">
        <v>136095852.41</v>
      </c>
      <c r="I1728" s="18">
        <v>150000000</v>
      </c>
      <c r="J1728" s="18">
        <v>136095852.41</v>
      </c>
      <c r="K1728" s="15">
        <v>90016070</v>
      </c>
      <c r="L1728" s="13" t="s">
        <v>102</v>
      </c>
      <c r="M1728" s="13" t="s">
        <v>103</v>
      </c>
      <c r="N1728" s="138" t="s">
        <v>342</v>
      </c>
      <c r="O1728" s="138" t="s">
        <v>342</v>
      </c>
      <c r="P1728" s="28">
        <v>33</v>
      </c>
      <c r="Q1728" s="13" t="s">
        <v>54</v>
      </c>
      <c r="R1728" s="13" t="s">
        <v>28</v>
      </c>
      <c r="S1728" s="13"/>
      <c r="T1728" s="13"/>
      <c r="U1728" s="13" t="s">
        <v>2363</v>
      </c>
      <c r="V1728" s="13" t="s">
        <v>2363</v>
      </c>
      <c r="W1728" s="59">
        <f>+J1728/$W$2</f>
        <v>2.2273547835575578E-3</v>
      </c>
    </row>
    <row r="1729" spans="1:23">
      <c r="A1729" s="13" t="s">
        <v>537</v>
      </c>
      <c r="B1729" s="13" t="s">
        <v>404</v>
      </c>
      <c r="C1729" s="138">
        <v>46373</v>
      </c>
      <c r="D1729" s="138" t="s">
        <v>424</v>
      </c>
      <c r="E1729" s="28">
        <v>0.91958083000000002</v>
      </c>
      <c r="F1729" s="13"/>
      <c r="G1729" s="18">
        <v>30000000</v>
      </c>
      <c r="H1729" s="18">
        <v>27587424.82</v>
      </c>
      <c r="I1729" s="18">
        <v>30000000</v>
      </c>
      <c r="J1729" s="18">
        <v>27587424.82</v>
      </c>
      <c r="K1729" s="15">
        <v>29600864</v>
      </c>
      <c r="L1729" s="13" t="s">
        <v>102</v>
      </c>
      <c r="M1729" s="13" t="s">
        <v>103</v>
      </c>
      <c r="N1729" s="138" t="s">
        <v>420</v>
      </c>
      <c r="O1729" s="138" t="s">
        <v>420</v>
      </c>
      <c r="P1729" s="28">
        <v>28</v>
      </c>
      <c r="Q1729" s="13" t="s">
        <v>54</v>
      </c>
      <c r="R1729" s="13" t="s">
        <v>28</v>
      </c>
      <c r="S1729" s="13"/>
      <c r="T1729" s="13"/>
      <c r="U1729" s="13" t="s">
        <v>1272</v>
      </c>
      <c r="V1729" s="13" t="s">
        <v>1272</v>
      </c>
      <c r="W1729" s="59">
        <f>+J1729/$W$2</f>
        <v>4.5149783443618392E-4</v>
      </c>
    </row>
    <row r="1730" spans="1:23">
      <c r="A1730" s="13" t="s">
        <v>417</v>
      </c>
      <c r="B1730" s="13" t="s">
        <v>404</v>
      </c>
      <c r="C1730" s="138">
        <v>46373</v>
      </c>
      <c r="D1730" s="138" t="s">
        <v>424</v>
      </c>
      <c r="E1730" s="28">
        <v>0.90656212999999997</v>
      </c>
      <c r="F1730" s="13"/>
      <c r="G1730" s="18">
        <v>2000000</v>
      </c>
      <c r="H1730" s="18">
        <v>1813124.27</v>
      </c>
      <c r="I1730" s="18">
        <v>2000000</v>
      </c>
      <c r="J1730" s="18">
        <v>1813124.27</v>
      </c>
      <c r="K1730" s="15">
        <v>43</v>
      </c>
      <c r="L1730" s="13" t="s">
        <v>102</v>
      </c>
      <c r="M1730" s="13" t="s">
        <v>103</v>
      </c>
      <c r="N1730" s="138" t="s">
        <v>535</v>
      </c>
      <c r="O1730" s="138" t="s">
        <v>535</v>
      </c>
      <c r="P1730" s="28">
        <v>33</v>
      </c>
      <c r="Q1730" s="13" t="s">
        <v>54</v>
      </c>
      <c r="R1730" s="13" t="s">
        <v>28</v>
      </c>
      <c r="S1730" s="13"/>
      <c r="T1730" s="13"/>
      <c r="U1730" s="13" t="s">
        <v>2332</v>
      </c>
      <c r="V1730" s="13" t="s">
        <v>2332</v>
      </c>
      <c r="W1730" s="59">
        <f>+J1730/$W$2</f>
        <v>2.967372586640317E-5</v>
      </c>
    </row>
    <row r="1731" spans="1:23">
      <c r="A1731" s="13" t="s">
        <v>565</v>
      </c>
      <c r="B1731" s="13" t="s">
        <v>404</v>
      </c>
      <c r="C1731" s="138">
        <v>46373</v>
      </c>
      <c r="D1731" s="138" t="s">
        <v>424</v>
      </c>
      <c r="E1731" s="28">
        <v>0.92222968999999999</v>
      </c>
      <c r="F1731" s="13"/>
      <c r="G1731" s="18">
        <v>25000000</v>
      </c>
      <c r="H1731" s="18">
        <v>23055742.149999999</v>
      </c>
      <c r="I1731" s="18">
        <v>25000000</v>
      </c>
      <c r="J1731" s="18">
        <v>23055742.149999999</v>
      </c>
      <c r="K1731" s="15">
        <v>9508925</v>
      </c>
      <c r="L1731" s="13" t="s">
        <v>102</v>
      </c>
      <c r="M1731" s="13" t="s">
        <v>103</v>
      </c>
      <c r="N1731" s="138" t="s">
        <v>601</v>
      </c>
      <c r="O1731" s="138" t="s">
        <v>601</v>
      </c>
      <c r="P1731" s="28">
        <v>27</v>
      </c>
      <c r="Q1731" s="13" t="s">
        <v>54</v>
      </c>
      <c r="R1731" s="13" t="s">
        <v>28</v>
      </c>
      <c r="S1731" s="13"/>
      <c r="T1731" s="13"/>
      <c r="U1731" s="13" t="s">
        <v>1328</v>
      </c>
      <c r="V1731" s="13" t="s">
        <v>1328</v>
      </c>
      <c r="W1731" s="59">
        <f>+J1731/$W$2</f>
        <v>3.7733198078341136E-4</v>
      </c>
    </row>
    <row r="1732" spans="1:23">
      <c r="A1732" s="13" t="s">
        <v>565</v>
      </c>
      <c r="B1732" s="13" t="s">
        <v>404</v>
      </c>
      <c r="C1732" s="138">
        <v>46373</v>
      </c>
      <c r="D1732" s="138" t="s">
        <v>424</v>
      </c>
      <c r="E1732" s="28">
        <v>0.92489359000000004</v>
      </c>
      <c r="F1732" s="13"/>
      <c r="G1732" s="18">
        <v>15000000</v>
      </c>
      <c r="H1732" s="18">
        <v>13873403.810000001</v>
      </c>
      <c r="I1732" s="18">
        <v>15000000</v>
      </c>
      <c r="J1732" s="18">
        <v>13873403.810000001</v>
      </c>
      <c r="K1732" s="15">
        <v>20411019</v>
      </c>
      <c r="L1732" s="13" t="s">
        <v>102</v>
      </c>
      <c r="M1732" s="13" t="s">
        <v>103</v>
      </c>
      <c r="N1732" s="138" t="s">
        <v>339</v>
      </c>
      <c r="O1732" s="138" t="s">
        <v>339</v>
      </c>
      <c r="P1732" s="28">
        <v>26</v>
      </c>
      <c r="Q1732" s="13" t="s">
        <v>54</v>
      </c>
      <c r="R1732" s="13" t="s">
        <v>28</v>
      </c>
      <c r="S1732" s="13"/>
      <c r="T1732" s="13"/>
      <c r="U1732" s="13" t="s">
        <v>1563</v>
      </c>
      <c r="V1732" s="13" t="s">
        <v>1563</v>
      </c>
      <c r="W1732" s="59">
        <f>+J1732/$W$2</f>
        <v>2.2705315256292571E-4</v>
      </c>
    </row>
    <row r="1733" spans="1:23">
      <c r="A1733" s="13" t="s">
        <v>285</v>
      </c>
      <c r="B1733" s="13" t="s">
        <v>404</v>
      </c>
      <c r="C1733" s="138">
        <v>46373</v>
      </c>
      <c r="D1733" s="138" t="s">
        <v>424</v>
      </c>
      <c r="E1733" s="28">
        <v>0.92489372999999997</v>
      </c>
      <c r="F1733" s="13"/>
      <c r="G1733" s="18">
        <v>5000000</v>
      </c>
      <c r="H1733" s="18">
        <v>4624468.63</v>
      </c>
      <c r="I1733" s="18">
        <v>5000000</v>
      </c>
      <c r="J1733" s="18">
        <v>4624468.63</v>
      </c>
      <c r="K1733" s="15">
        <v>491509</v>
      </c>
      <c r="L1733" s="13" t="s">
        <v>102</v>
      </c>
      <c r="M1733" s="13" t="s">
        <v>103</v>
      </c>
      <c r="N1733" s="138" t="s">
        <v>383</v>
      </c>
      <c r="O1733" s="138" t="s">
        <v>383</v>
      </c>
      <c r="P1733" s="28">
        <v>26</v>
      </c>
      <c r="Q1733" s="13" t="s">
        <v>54</v>
      </c>
      <c r="R1733" s="13" t="s">
        <v>28</v>
      </c>
      <c r="S1733" s="13"/>
      <c r="T1733" s="13"/>
      <c r="U1733" s="13" t="s">
        <v>1622</v>
      </c>
      <c r="V1733" s="13" t="s">
        <v>1622</v>
      </c>
      <c r="W1733" s="59">
        <f>+J1733/$W$2</f>
        <v>7.5684395534786499E-5</v>
      </c>
    </row>
    <row r="1734" spans="1:23">
      <c r="A1734" s="13" t="s">
        <v>232</v>
      </c>
      <c r="B1734" s="13" t="s">
        <v>404</v>
      </c>
      <c r="C1734" s="138">
        <v>46374</v>
      </c>
      <c r="D1734" s="138" t="s">
        <v>424</v>
      </c>
      <c r="E1734" s="28">
        <v>0.90581970999999994</v>
      </c>
      <c r="F1734" s="13"/>
      <c r="G1734" s="18">
        <v>25000000</v>
      </c>
      <c r="H1734" s="18">
        <v>22645492.809999999</v>
      </c>
      <c r="I1734" s="18">
        <v>25000000</v>
      </c>
      <c r="J1734" s="18">
        <v>22645492.809999999</v>
      </c>
      <c r="K1734" s="15">
        <v>475888</v>
      </c>
      <c r="L1734" s="13" t="s">
        <v>102</v>
      </c>
      <c r="M1734" s="13" t="s">
        <v>103</v>
      </c>
      <c r="N1734" s="138" t="s">
        <v>371</v>
      </c>
      <c r="O1734" s="138" t="s">
        <v>371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2116</v>
      </c>
      <c r="V1734" s="13" t="s">
        <v>2116</v>
      </c>
      <c r="W1734" s="59">
        <f>+J1734/$W$2</f>
        <v>3.7061780975086939E-4</v>
      </c>
    </row>
    <row r="1735" spans="1:23">
      <c r="A1735" s="13" t="s">
        <v>896</v>
      </c>
      <c r="B1735" s="13" t="s">
        <v>404</v>
      </c>
      <c r="C1735" s="138">
        <v>46374</v>
      </c>
      <c r="D1735" s="138" t="s">
        <v>424</v>
      </c>
      <c r="E1735" s="28">
        <v>0.90581964999999998</v>
      </c>
      <c r="F1735" s="13"/>
      <c r="G1735" s="18">
        <v>6820314.5199999996</v>
      </c>
      <c r="H1735" s="18">
        <v>6177974.9000000004</v>
      </c>
      <c r="I1735" s="18">
        <v>6820314.5199999996</v>
      </c>
      <c r="J1735" s="18">
        <v>6177974.9000000004</v>
      </c>
      <c r="K1735" s="15">
        <v>769</v>
      </c>
      <c r="L1735" s="13" t="s">
        <v>102</v>
      </c>
      <c r="M1735" s="13" t="s">
        <v>103</v>
      </c>
      <c r="N1735" s="138" t="s">
        <v>484</v>
      </c>
      <c r="O1735" s="138" t="s">
        <v>484</v>
      </c>
      <c r="P1735" s="28">
        <v>33</v>
      </c>
      <c r="Q1735" s="13" t="s">
        <v>54</v>
      </c>
      <c r="R1735" s="13" t="s">
        <v>28</v>
      </c>
      <c r="S1735" s="13"/>
      <c r="T1735" s="13"/>
      <c r="U1735" s="13" t="s">
        <v>2071</v>
      </c>
      <c r="V1735" s="13" t="s">
        <v>2071</v>
      </c>
      <c r="W1735" s="59">
        <f>+J1735/$W$2</f>
        <v>1.0110919401686656E-4</v>
      </c>
    </row>
    <row r="1736" spans="1:23">
      <c r="A1736" s="13" t="s">
        <v>979</v>
      </c>
      <c r="B1736" s="13" t="s">
        <v>404</v>
      </c>
      <c r="C1736" s="138">
        <v>46374</v>
      </c>
      <c r="D1736" s="138" t="s">
        <v>424</v>
      </c>
      <c r="E1736" s="28">
        <v>0.89813001000000003</v>
      </c>
      <c r="F1736" s="13"/>
      <c r="G1736" s="18">
        <v>22578937.030000001</v>
      </c>
      <c r="H1736" s="18">
        <v>20278820.829999998</v>
      </c>
      <c r="I1736" s="18">
        <v>22578937.030000001</v>
      </c>
      <c r="J1736" s="18">
        <v>20278820.829999998</v>
      </c>
      <c r="K1736" s="15">
        <v>67998226</v>
      </c>
      <c r="L1736" s="13" t="s">
        <v>102</v>
      </c>
      <c r="M1736" s="13" t="s">
        <v>103</v>
      </c>
      <c r="N1736" s="138" t="s">
        <v>324</v>
      </c>
      <c r="O1736" s="138" t="s">
        <v>324</v>
      </c>
      <c r="P1736" s="28">
        <v>36</v>
      </c>
      <c r="Q1736" s="13" t="s">
        <v>54</v>
      </c>
      <c r="R1736" s="13" t="s">
        <v>28</v>
      </c>
      <c r="S1736" s="13"/>
      <c r="T1736" s="13"/>
      <c r="U1736" s="13" t="s">
        <v>1157</v>
      </c>
      <c r="V1736" s="13" t="s">
        <v>1157</v>
      </c>
      <c r="W1736" s="59">
        <f>+J1736/$W$2</f>
        <v>3.3188468113292991E-4</v>
      </c>
    </row>
    <row r="1737" spans="1:23">
      <c r="A1737" s="13" t="s">
        <v>431</v>
      </c>
      <c r="B1737" s="13" t="s">
        <v>404</v>
      </c>
      <c r="C1737" s="138">
        <v>46377</v>
      </c>
      <c r="D1737" s="138" t="s">
        <v>424</v>
      </c>
      <c r="E1737" s="28">
        <v>0.92246273000000001</v>
      </c>
      <c r="F1737" s="13"/>
      <c r="G1737" s="18">
        <v>20000000</v>
      </c>
      <c r="H1737" s="18">
        <v>18449254.670000002</v>
      </c>
      <c r="I1737" s="18">
        <v>20000000</v>
      </c>
      <c r="J1737" s="18">
        <v>18449254.670000002</v>
      </c>
      <c r="K1737" s="15">
        <v>79700360</v>
      </c>
      <c r="L1737" s="13" t="s">
        <v>102</v>
      </c>
      <c r="M1737" s="13" t="s">
        <v>103</v>
      </c>
      <c r="N1737" s="138" t="s">
        <v>383</v>
      </c>
      <c r="O1737" s="138" t="s">
        <v>383</v>
      </c>
      <c r="P1737" s="28">
        <v>26</v>
      </c>
      <c r="Q1737" s="13" t="s">
        <v>54</v>
      </c>
      <c r="R1737" s="13" t="s">
        <v>28</v>
      </c>
      <c r="S1737" s="13"/>
      <c r="T1737" s="13"/>
      <c r="U1737" s="13" t="s">
        <v>1637</v>
      </c>
      <c r="V1737" s="13" t="s">
        <v>1637</v>
      </c>
      <c r="W1737" s="59">
        <f>+J1737/$W$2</f>
        <v>3.0194186607906281E-4</v>
      </c>
    </row>
    <row r="1738" spans="1:23">
      <c r="A1738" s="13" t="s">
        <v>694</v>
      </c>
      <c r="B1738" s="13" t="s">
        <v>404</v>
      </c>
      <c r="C1738" s="138">
        <v>46377</v>
      </c>
      <c r="D1738" s="138" t="s">
        <v>424</v>
      </c>
      <c r="E1738" s="28">
        <v>0.91428301999999995</v>
      </c>
      <c r="F1738" s="13"/>
      <c r="G1738" s="18">
        <v>14000000</v>
      </c>
      <c r="H1738" s="18">
        <v>12799962.23</v>
      </c>
      <c r="I1738" s="18">
        <v>14000000</v>
      </c>
      <c r="J1738" s="18">
        <v>12799962.23</v>
      </c>
      <c r="K1738" s="15">
        <v>118</v>
      </c>
      <c r="L1738" s="13" t="s">
        <v>102</v>
      </c>
      <c r="M1738" s="13" t="s">
        <v>103</v>
      </c>
      <c r="N1738" s="138" t="s">
        <v>419</v>
      </c>
      <c r="O1738" s="138" t="s">
        <v>419</v>
      </c>
      <c r="P1738" s="28">
        <v>29</v>
      </c>
      <c r="Q1738" s="13" t="s">
        <v>54</v>
      </c>
      <c r="R1738" s="13" t="s">
        <v>28</v>
      </c>
      <c r="S1738" s="13"/>
      <c r="T1738" s="13"/>
      <c r="U1738" s="13" t="s">
        <v>1250</v>
      </c>
      <c r="V1738" s="13" t="s">
        <v>1250</v>
      </c>
      <c r="W1738" s="59">
        <f>+J1738/$W$2</f>
        <v>2.0948512829367986E-4</v>
      </c>
    </row>
    <row r="1739" spans="1:23">
      <c r="A1739" s="13" t="s">
        <v>285</v>
      </c>
      <c r="B1739" s="13" t="s">
        <v>404</v>
      </c>
      <c r="C1739" s="138">
        <v>46377</v>
      </c>
      <c r="D1739" s="138" t="s">
        <v>424</v>
      </c>
      <c r="E1739" s="28">
        <v>0.92246273000000001</v>
      </c>
      <c r="F1739" s="13"/>
      <c r="G1739" s="18">
        <v>5000000</v>
      </c>
      <c r="H1739" s="18">
        <v>4612313.67</v>
      </c>
      <c r="I1739" s="18">
        <v>5000000</v>
      </c>
      <c r="J1739" s="18">
        <v>4612313.67</v>
      </c>
      <c r="K1739" s="15">
        <v>491510</v>
      </c>
      <c r="L1739" s="13" t="s">
        <v>102</v>
      </c>
      <c r="M1739" s="13" t="s">
        <v>103</v>
      </c>
      <c r="N1739" s="138" t="s">
        <v>383</v>
      </c>
      <c r="O1739" s="138" t="s">
        <v>383</v>
      </c>
      <c r="P1739" s="28">
        <v>26</v>
      </c>
      <c r="Q1739" s="13" t="s">
        <v>54</v>
      </c>
      <c r="R1739" s="13" t="s">
        <v>28</v>
      </c>
      <c r="S1739" s="13"/>
      <c r="T1739" s="13"/>
      <c r="U1739" s="13" t="s">
        <v>1619</v>
      </c>
      <c r="V1739" s="13" t="s">
        <v>1619</v>
      </c>
      <c r="W1739" s="59">
        <f>+J1739/$W$2</f>
        <v>7.5485466560680877E-5</v>
      </c>
    </row>
    <row r="1740" spans="1:23">
      <c r="A1740" s="13" t="s">
        <v>1325</v>
      </c>
      <c r="B1740" s="13" t="s">
        <v>404</v>
      </c>
      <c r="C1740" s="138">
        <v>46377</v>
      </c>
      <c r="D1740" s="138" t="s">
        <v>424</v>
      </c>
      <c r="E1740" s="28">
        <v>0.89316304999999996</v>
      </c>
      <c r="F1740" s="13"/>
      <c r="G1740" s="18">
        <v>20000000</v>
      </c>
      <c r="H1740" s="18">
        <v>17863260.98</v>
      </c>
      <c r="I1740" s="18">
        <v>20000000</v>
      </c>
      <c r="J1740" s="18">
        <v>17863260.98</v>
      </c>
      <c r="K1740" s="15">
        <v>2638</v>
      </c>
      <c r="L1740" s="13" t="s">
        <v>102</v>
      </c>
      <c r="M1740" s="13" t="s">
        <v>103</v>
      </c>
      <c r="N1740" s="138" t="s">
        <v>441</v>
      </c>
      <c r="O1740" s="138" t="s">
        <v>441</v>
      </c>
      <c r="P1740" s="28">
        <v>37</v>
      </c>
      <c r="Q1740" s="13" t="s">
        <v>54</v>
      </c>
      <c r="R1740" s="13" t="s">
        <v>28</v>
      </c>
      <c r="S1740" s="13"/>
      <c r="T1740" s="13"/>
      <c r="U1740" s="13" t="s">
        <v>2293</v>
      </c>
      <c r="V1740" s="13" t="s">
        <v>2293</v>
      </c>
      <c r="W1740" s="59">
        <f>+J1740/$W$2</f>
        <v>2.9235145001976971E-4</v>
      </c>
    </row>
    <row r="1741" spans="1:23">
      <c r="A1741" s="13" t="s">
        <v>2513</v>
      </c>
      <c r="B1741" s="13" t="s">
        <v>404</v>
      </c>
      <c r="C1741" s="138">
        <v>46377</v>
      </c>
      <c r="D1741" s="138" t="s">
        <v>424</v>
      </c>
      <c r="E1741" s="28">
        <v>0.91158841999999995</v>
      </c>
      <c r="F1741" s="13"/>
      <c r="G1741" s="18">
        <v>50000000</v>
      </c>
      <c r="H1741" s="18">
        <v>45579420.850000001</v>
      </c>
      <c r="I1741" s="18">
        <v>50000000</v>
      </c>
      <c r="J1741" s="18">
        <v>45579420.850000001</v>
      </c>
      <c r="K1741" s="15">
        <v>197095</v>
      </c>
      <c r="L1741" s="13" t="s">
        <v>102</v>
      </c>
      <c r="M1741" s="13" t="s">
        <v>103</v>
      </c>
      <c r="N1741" s="138" t="s">
        <v>170</v>
      </c>
      <c r="O1741" s="138" t="s">
        <v>170</v>
      </c>
      <c r="P1741" s="28">
        <v>30</v>
      </c>
      <c r="Q1741" s="13" t="s">
        <v>54</v>
      </c>
      <c r="R1741" s="13" t="s">
        <v>28</v>
      </c>
      <c r="S1741" s="13"/>
      <c r="T1741" s="13"/>
      <c r="U1741" s="13" t="s">
        <v>2437</v>
      </c>
      <c r="V1741" s="13" t="s">
        <v>2437</v>
      </c>
      <c r="W1741" s="59">
        <f>+J1741/$W$2</f>
        <v>7.4595617180300659E-4</v>
      </c>
    </row>
    <row r="1742" spans="1:23">
      <c r="A1742" s="13" t="s">
        <v>539</v>
      </c>
      <c r="B1742" s="13" t="s">
        <v>404</v>
      </c>
      <c r="C1742" s="138">
        <v>46378</v>
      </c>
      <c r="D1742" s="138" t="s">
        <v>424</v>
      </c>
      <c r="E1742" s="28">
        <v>0.89235520000000002</v>
      </c>
      <c r="F1742" s="13"/>
      <c r="G1742" s="18">
        <v>15000000</v>
      </c>
      <c r="H1742" s="18">
        <v>13385327.970000001</v>
      </c>
      <c r="I1742" s="18">
        <v>15000000</v>
      </c>
      <c r="J1742" s="18">
        <v>13385327.970000001</v>
      </c>
      <c r="K1742" s="15">
        <v>90023099</v>
      </c>
      <c r="L1742" s="13" t="s">
        <v>102</v>
      </c>
      <c r="M1742" s="13" t="s">
        <v>103</v>
      </c>
      <c r="N1742" s="138" t="s">
        <v>311</v>
      </c>
      <c r="O1742" s="138" t="s">
        <v>311</v>
      </c>
      <c r="P1742" s="28">
        <v>37</v>
      </c>
      <c r="Q1742" s="13" t="s">
        <v>54</v>
      </c>
      <c r="R1742" s="13" t="s">
        <v>28</v>
      </c>
      <c r="S1742" s="13"/>
      <c r="T1742" s="13"/>
      <c r="U1742" s="13" t="s">
        <v>905</v>
      </c>
      <c r="V1742" s="13" t="s">
        <v>905</v>
      </c>
      <c r="W1742" s="59">
        <f>+J1742/$W$2</f>
        <v>2.1906526727684188E-4</v>
      </c>
    </row>
    <row r="1743" spans="1:23">
      <c r="A1743" s="13" t="s">
        <v>431</v>
      </c>
      <c r="B1743" s="13" t="s">
        <v>404</v>
      </c>
      <c r="C1743" s="138">
        <v>46378</v>
      </c>
      <c r="D1743" s="138" t="s">
        <v>424</v>
      </c>
      <c r="E1743" s="28">
        <v>0.92185693999999996</v>
      </c>
      <c r="F1743" s="13"/>
      <c r="G1743" s="18">
        <v>20000000</v>
      </c>
      <c r="H1743" s="18">
        <v>18437138.77</v>
      </c>
      <c r="I1743" s="18">
        <v>20000000</v>
      </c>
      <c r="J1743" s="18">
        <v>18437138.77</v>
      </c>
      <c r="K1743" s="15">
        <v>79700361</v>
      </c>
      <c r="L1743" s="13" t="s">
        <v>102</v>
      </c>
      <c r="M1743" s="13" t="s">
        <v>103</v>
      </c>
      <c r="N1743" s="138" t="s">
        <v>383</v>
      </c>
      <c r="O1743" s="138" t="s">
        <v>383</v>
      </c>
      <c r="P1743" s="28">
        <v>26</v>
      </c>
      <c r="Q1743" s="13" t="s">
        <v>54</v>
      </c>
      <c r="R1743" s="13" t="s">
        <v>28</v>
      </c>
      <c r="S1743" s="13"/>
      <c r="T1743" s="13"/>
      <c r="U1743" s="13" t="s">
        <v>1636</v>
      </c>
      <c r="V1743" s="13" t="s">
        <v>1636</v>
      </c>
      <c r="W1743" s="59">
        <f>+J1743/$W$2</f>
        <v>3.017435763638053E-4</v>
      </c>
    </row>
    <row r="1744" spans="1:23">
      <c r="A1744" s="13" t="s">
        <v>2513</v>
      </c>
      <c r="B1744" s="13" t="s">
        <v>404</v>
      </c>
      <c r="C1744" s="138">
        <v>46378</v>
      </c>
      <c r="D1744" s="138" t="s">
        <v>424</v>
      </c>
      <c r="E1744" s="28">
        <v>0.91090609</v>
      </c>
      <c r="F1744" s="13"/>
      <c r="G1744" s="18">
        <v>50000000</v>
      </c>
      <c r="H1744" s="18">
        <v>45545304.659999996</v>
      </c>
      <c r="I1744" s="18">
        <v>50000000</v>
      </c>
      <c r="J1744" s="18">
        <v>45545304.659999996</v>
      </c>
      <c r="K1744" s="15">
        <v>197096</v>
      </c>
      <c r="L1744" s="13" t="s">
        <v>102</v>
      </c>
      <c r="M1744" s="13" t="s">
        <v>103</v>
      </c>
      <c r="N1744" s="138" t="s">
        <v>170</v>
      </c>
      <c r="O1744" s="138" t="s">
        <v>170</v>
      </c>
      <c r="P1744" s="28">
        <v>30</v>
      </c>
      <c r="Q1744" s="13" t="s">
        <v>54</v>
      </c>
      <c r="R1744" s="13" t="s">
        <v>28</v>
      </c>
      <c r="S1744" s="13"/>
      <c r="T1744" s="13"/>
      <c r="U1744" s="13" t="s">
        <v>2438</v>
      </c>
      <c r="V1744" s="13" t="s">
        <v>2438</v>
      </c>
      <c r="W1744" s="59">
        <f>+J1744/$W$2</f>
        <v>7.4539782371489335E-4</v>
      </c>
    </row>
    <row r="1745" spans="1:29">
      <c r="A1745" s="13" t="s">
        <v>232</v>
      </c>
      <c r="B1745" s="13" t="s">
        <v>404</v>
      </c>
      <c r="C1745" s="138">
        <v>46379</v>
      </c>
      <c r="D1745" s="138" t="s">
        <v>424</v>
      </c>
      <c r="E1745" s="28">
        <v>0.90212559999999997</v>
      </c>
      <c r="F1745" s="13"/>
      <c r="G1745" s="18">
        <v>25000000</v>
      </c>
      <c r="H1745" s="18">
        <v>22553140.039999999</v>
      </c>
      <c r="I1745" s="18">
        <v>25000000</v>
      </c>
      <c r="J1745" s="18">
        <v>22553140.039999999</v>
      </c>
      <c r="K1745" s="15">
        <v>475889</v>
      </c>
      <c r="L1745" s="13" t="s">
        <v>102</v>
      </c>
      <c r="M1745" s="13" t="s">
        <v>103</v>
      </c>
      <c r="N1745" s="138" t="s">
        <v>371</v>
      </c>
      <c r="O1745" s="138" t="s">
        <v>371</v>
      </c>
      <c r="P1745" s="28">
        <v>33</v>
      </c>
      <c r="Q1745" s="13" t="s">
        <v>54</v>
      </c>
      <c r="R1745" s="13" t="s">
        <v>28</v>
      </c>
      <c r="S1745" s="13"/>
      <c r="T1745" s="13"/>
      <c r="U1745" s="13" t="s">
        <v>2123</v>
      </c>
      <c r="V1745" s="13" t="s">
        <v>2123</v>
      </c>
      <c r="W1745" s="59">
        <f>+J1745/$W$2</f>
        <v>3.6910635748842576E-4</v>
      </c>
    </row>
    <row r="1746" spans="1:29">
      <c r="A1746" s="13" t="s">
        <v>431</v>
      </c>
      <c r="B1746" s="13" t="s">
        <v>404</v>
      </c>
      <c r="C1746" s="138">
        <v>46379</v>
      </c>
      <c r="D1746" s="138" t="s">
        <v>424</v>
      </c>
      <c r="E1746" s="28">
        <v>0.92125193999999999</v>
      </c>
      <c r="F1746" s="13"/>
      <c r="G1746" s="18">
        <v>20000000</v>
      </c>
      <c r="H1746" s="18">
        <v>18425038.75</v>
      </c>
      <c r="I1746" s="18">
        <v>20000000</v>
      </c>
      <c r="J1746" s="18">
        <v>18425038.75</v>
      </c>
      <c r="K1746" s="15">
        <v>79700362</v>
      </c>
      <c r="L1746" s="13" t="s">
        <v>102</v>
      </c>
      <c r="M1746" s="13" t="s">
        <v>103</v>
      </c>
      <c r="N1746" s="138" t="s">
        <v>383</v>
      </c>
      <c r="O1746" s="138" t="s">
        <v>383</v>
      </c>
      <c r="P1746" s="28">
        <v>26</v>
      </c>
      <c r="Q1746" s="13" t="s">
        <v>54</v>
      </c>
      <c r="R1746" s="13" t="s">
        <v>28</v>
      </c>
      <c r="S1746" s="13"/>
      <c r="T1746" s="13"/>
      <c r="U1746" s="13" t="s">
        <v>1635</v>
      </c>
      <c r="V1746" s="13" t="s">
        <v>1635</v>
      </c>
      <c r="W1746" s="59">
        <f>+J1746/$W$2</f>
        <v>3.0154554654180196E-4</v>
      </c>
    </row>
    <row r="1747" spans="1:29">
      <c r="A1747" s="13" t="s">
        <v>417</v>
      </c>
      <c r="B1747" s="13" t="s">
        <v>404</v>
      </c>
      <c r="C1747" s="138">
        <v>46379</v>
      </c>
      <c r="D1747" s="138" t="s">
        <v>424</v>
      </c>
      <c r="E1747" s="28">
        <v>0.89945796</v>
      </c>
      <c r="F1747" s="13"/>
      <c r="G1747" s="18">
        <v>4000000</v>
      </c>
      <c r="H1747" s="18">
        <v>3597831.84</v>
      </c>
      <c r="I1747" s="18">
        <v>4000000</v>
      </c>
      <c r="J1747" s="18">
        <v>3597831.84</v>
      </c>
      <c r="K1747" s="15">
        <v>90000055</v>
      </c>
      <c r="L1747" s="13" t="s">
        <v>102</v>
      </c>
      <c r="M1747" s="13" t="s">
        <v>103</v>
      </c>
      <c r="N1747" s="138" t="s">
        <v>353</v>
      </c>
      <c r="O1747" s="138" t="s">
        <v>353</v>
      </c>
      <c r="P1747" s="28">
        <v>34</v>
      </c>
      <c r="Q1747" s="13" t="s">
        <v>54</v>
      </c>
      <c r="R1747" s="13" t="s">
        <v>28</v>
      </c>
      <c r="S1747" s="13"/>
      <c r="T1747" s="13"/>
      <c r="U1747" s="13" t="s">
        <v>998</v>
      </c>
      <c r="V1747" s="13" t="s">
        <v>998</v>
      </c>
      <c r="W1747" s="59">
        <f>+J1747/$W$2</f>
        <v>5.8882381919457129E-5</v>
      </c>
    </row>
    <row r="1748" spans="1:29">
      <c r="A1748" s="13" t="s">
        <v>1167</v>
      </c>
      <c r="B1748" s="13" t="s">
        <v>404</v>
      </c>
      <c r="C1748" s="138">
        <v>46379</v>
      </c>
      <c r="D1748" s="138" t="s">
        <v>424</v>
      </c>
      <c r="E1748" s="28">
        <v>0.91022449999999999</v>
      </c>
      <c r="F1748" s="13"/>
      <c r="G1748" s="18">
        <v>83000000</v>
      </c>
      <c r="H1748" s="18">
        <v>75548633.629999995</v>
      </c>
      <c r="I1748" s="18">
        <v>83000000</v>
      </c>
      <c r="J1748" s="18">
        <v>75548633.629999995</v>
      </c>
      <c r="K1748" s="15">
        <v>68158784</v>
      </c>
      <c r="L1748" s="13" t="s">
        <v>102</v>
      </c>
      <c r="M1748" s="13" t="s">
        <v>103</v>
      </c>
      <c r="N1748" s="138" t="s">
        <v>601</v>
      </c>
      <c r="O1748" s="138" t="s">
        <v>601</v>
      </c>
      <c r="P1748" s="28">
        <v>30</v>
      </c>
      <c r="Q1748" s="13" t="s">
        <v>54</v>
      </c>
      <c r="R1748" s="13" t="s">
        <v>28</v>
      </c>
      <c r="S1748" s="13"/>
      <c r="T1748" s="13"/>
      <c r="U1748" s="13" t="s">
        <v>1327</v>
      </c>
      <c r="V1748" s="13" t="s">
        <v>1327</v>
      </c>
      <c r="W1748" s="59">
        <f>+J1748/$W$2</f>
        <v>1.2364345241034952E-3</v>
      </c>
    </row>
    <row r="1749" spans="1:29">
      <c r="A1749" s="13" t="s">
        <v>917</v>
      </c>
      <c r="B1749" s="13" t="s">
        <v>404</v>
      </c>
      <c r="C1749" s="138">
        <v>46379</v>
      </c>
      <c r="D1749" s="138" t="s">
        <v>424</v>
      </c>
      <c r="E1749" s="28">
        <v>0.90212555999999999</v>
      </c>
      <c r="F1749" s="13"/>
      <c r="G1749" s="18">
        <v>5800000</v>
      </c>
      <c r="H1749" s="18">
        <v>5232328.26</v>
      </c>
      <c r="I1749" s="18">
        <v>5800000</v>
      </c>
      <c r="J1749" s="18">
        <v>5232328.26</v>
      </c>
      <c r="K1749" s="15">
        <v>6578</v>
      </c>
      <c r="L1749" s="13" t="s">
        <v>102</v>
      </c>
      <c r="M1749" s="13" t="s">
        <v>103</v>
      </c>
      <c r="N1749" s="138" t="s">
        <v>445</v>
      </c>
      <c r="O1749" s="138" t="s">
        <v>445</v>
      </c>
      <c r="P1749" s="28">
        <v>33</v>
      </c>
      <c r="Q1749" s="13" t="s">
        <v>54</v>
      </c>
      <c r="R1749" s="13" t="s">
        <v>28</v>
      </c>
      <c r="S1749" s="13"/>
      <c r="T1749" s="13"/>
      <c r="U1749" s="13" t="s">
        <v>2531</v>
      </c>
      <c r="V1749" s="13" t="s">
        <v>2531</v>
      </c>
      <c r="W1749" s="59">
        <f>+J1749/$W$2</f>
        <v>8.5632671184901341E-5</v>
      </c>
    </row>
    <row r="1750" spans="1:29">
      <c r="A1750" s="13" t="s">
        <v>2318</v>
      </c>
      <c r="B1750" s="13" t="s">
        <v>404</v>
      </c>
      <c r="C1750" s="138">
        <v>46379</v>
      </c>
      <c r="D1750" s="138" t="s">
        <v>424</v>
      </c>
      <c r="E1750" s="28">
        <v>0.91570509</v>
      </c>
      <c r="F1750" s="13"/>
      <c r="G1750" s="18">
        <v>150000000</v>
      </c>
      <c r="H1750" s="18">
        <v>137355762.88999999</v>
      </c>
      <c r="I1750" s="18">
        <v>150000000</v>
      </c>
      <c r="J1750" s="18">
        <v>137355762.88999999</v>
      </c>
      <c r="K1750" s="15">
        <v>90000174</v>
      </c>
      <c r="L1750" s="13" t="s">
        <v>102</v>
      </c>
      <c r="M1750" s="13" t="s">
        <v>103</v>
      </c>
      <c r="N1750" s="138" t="s">
        <v>441</v>
      </c>
      <c r="O1750" s="138" t="s">
        <v>441</v>
      </c>
      <c r="P1750" s="28">
        <v>28</v>
      </c>
      <c r="Q1750" s="13" t="s">
        <v>54</v>
      </c>
      <c r="R1750" s="13" t="s">
        <v>28</v>
      </c>
      <c r="S1750" s="13"/>
      <c r="T1750" s="13"/>
      <c r="U1750" s="13" t="s">
        <v>2286</v>
      </c>
      <c r="V1750" s="13" t="s">
        <v>2286</v>
      </c>
      <c r="W1750" s="59">
        <f>+J1750/$W$2</f>
        <v>2.247974571631835E-3</v>
      </c>
    </row>
    <row r="1751" spans="1:29">
      <c r="A1751" s="13" t="s">
        <v>2513</v>
      </c>
      <c r="B1751" s="13" t="s">
        <v>404</v>
      </c>
      <c r="C1751" s="138">
        <v>46379</v>
      </c>
      <c r="D1751" s="138" t="s">
        <v>424</v>
      </c>
      <c r="E1751" s="28">
        <v>0.91022455000000002</v>
      </c>
      <c r="F1751" s="13"/>
      <c r="G1751" s="18">
        <v>50000000</v>
      </c>
      <c r="H1751" s="18">
        <v>45511227.670000002</v>
      </c>
      <c r="I1751" s="18">
        <v>50000000</v>
      </c>
      <c r="J1751" s="18">
        <v>45511227.670000002</v>
      </c>
      <c r="K1751" s="15">
        <v>163597</v>
      </c>
      <c r="L1751" s="13" t="s">
        <v>102</v>
      </c>
      <c r="M1751" s="13" t="s">
        <v>103</v>
      </c>
      <c r="N1751" s="138" t="s">
        <v>170</v>
      </c>
      <c r="O1751" s="138" t="s">
        <v>170</v>
      </c>
      <c r="P1751" s="28">
        <v>30</v>
      </c>
      <c r="Q1751" s="13" t="s">
        <v>54</v>
      </c>
      <c r="R1751" s="13" t="s">
        <v>28</v>
      </c>
      <c r="S1751" s="13"/>
      <c r="T1751" s="13"/>
      <c r="U1751" s="13" t="s">
        <v>2439</v>
      </c>
      <c r="V1751" s="13" t="s">
        <v>2439</v>
      </c>
      <c r="W1751" s="59">
        <f>+J1751/$W$2</f>
        <v>7.4484011717687875E-4</v>
      </c>
    </row>
    <row r="1752" spans="1:29">
      <c r="A1752" s="13" t="s">
        <v>2513</v>
      </c>
      <c r="B1752" s="13" t="s">
        <v>404</v>
      </c>
      <c r="C1752" s="138">
        <v>46379</v>
      </c>
      <c r="D1752" s="138" t="s">
        <v>424</v>
      </c>
      <c r="E1752" s="28">
        <v>0.91022455000000002</v>
      </c>
      <c r="F1752" s="13"/>
      <c r="G1752" s="18">
        <v>50000000</v>
      </c>
      <c r="H1752" s="18">
        <v>45511227.670000002</v>
      </c>
      <c r="I1752" s="18">
        <v>50000000</v>
      </c>
      <c r="J1752" s="18">
        <v>45511227.670000002</v>
      </c>
      <c r="K1752" s="15">
        <v>197097</v>
      </c>
      <c r="L1752" s="13" t="s">
        <v>102</v>
      </c>
      <c r="M1752" s="13" t="s">
        <v>103</v>
      </c>
      <c r="N1752" s="138" t="s">
        <v>170</v>
      </c>
      <c r="O1752" s="138" t="s">
        <v>170</v>
      </c>
      <c r="P1752" s="28">
        <v>30</v>
      </c>
      <c r="Q1752" s="13" t="s">
        <v>54</v>
      </c>
      <c r="R1752" s="13" t="s">
        <v>28</v>
      </c>
      <c r="S1752" s="13"/>
      <c r="T1752" s="13"/>
      <c r="U1752" s="13" t="s">
        <v>2440</v>
      </c>
      <c r="V1752" s="13" t="s">
        <v>2440</v>
      </c>
      <c r="W1752" s="59">
        <f>+J1752/$W$2</f>
        <v>7.4484011717687875E-4</v>
      </c>
      <c r="AC1752" s="56"/>
    </row>
    <row r="1753" spans="1:29">
      <c r="A1753" s="13" t="s">
        <v>2514</v>
      </c>
      <c r="B1753" s="13" t="s">
        <v>404</v>
      </c>
      <c r="C1753" s="138">
        <v>46379</v>
      </c>
      <c r="D1753" s="138" t="s">
        <v>424</v>
      </c>
      <c r="E1753" s="28">
        <v>0.91022455000000002</v>
      </c>
      <c r="F1753" s="13"/>
      <c r="G1753" s="18">
        <v>50000000</v>
      </c>
      <c r="H1753" s="18">
        <v>45511227.670000002</v>
      </c>
      <c r="I1753" s="18">
        <v>50000000</v>
      </c>
      <c r="J1753" s="18">
        <v>45511227.670000002</v>
      </c>
      <c r="K1753" s="15">
        <v>196470</v>
      </c>
      <c r="L1753" s="13" t="s">
        <v>102</v>
      </c>
      <c r="M1753" s="13" t="s">
        <v>103</v>
      </c>
      <c r="N1753" s="138" t="s">
        <v>170</v>
      </c>
      <c r="O1753" s="138" t="s">
        <v>170</v>
      </c>
      <c r="P1753" s="28">
        <v>30</v>
      </c>
      <c r="Q1753" s="13" t="s">
        <v>54</v>
      </c>
      <c r="R1753" s="13" t="s">
        <v>28</v>
      </c>
      <c r="S1753" s="13"/>
      <c r="T1753" s="13"/>
      <c r="U1753" s="13" t="s">
        <v>2443</v>
      </c>
      <c r="V1753" s="13" t="s">
        <v>2443</v>
      </c>
      <c r="W1753" s="59">
        <f>+J1753/$W$2</f>
        <v>7.4484011717687875E-4</v>
      </c>
    </row>
    <row r="1754" spans="1:29">
      <c r="A1754" s="13" t="s">
        <v>979</v>
      </c>
      <c r="B1754" s="13" t="s">
        <v>404</v>
      </c>
      <c r="C1754" s="138">
        <v>46379</v>
      </c>
      <c r="D1754" s="138" t="s">
        <v>424</v>
      </c>
      <c r="E1754" s="28">
        <v>0.89416967000000003</v>
      </c>
      <c r="F1754" s="13"/>
      <c r="G1754" s="18">
        <v>20078937.030000001</v>
      </c>
      <c r="H1754" s="18">
        <v>17953976.43</v>
      </c>
      <c r="I1754" s="18">
        <v>20078937.030000001</v>
      </c>
      <c r="J1754" s="18">
        <v>17953976.43</v>
      </c>
      <c r="K1754" s="15">
        <v>67998257</v>
      </c>
      <c r="L1754" s="13" t="s">
        <v>102</v>
      </c>
      <c r="M1754" s="13" t="s">
        <v>103</v>
      </c>
      <c r="N1754" s="138" t="s">
        <v>420</v>
      </c>
      <c r="O1754" s="138" t="s">
        <v>420</v>
      </c>
      <c r="P1754" s="28">
        <v>36</v>
      </c>
      <c r="Q1754" s="13" t="s">
        <v>54</v>
      </c>
      <c r="R1754" s="13" t="s">
        <v>28</v>
      </c>
      <c r="S1754" s="13"/>
      <c r="T1754" s="13"/>
      <c r="U1754" s="13" t="s">
        <v>1273</v>
      </c>
      <c r="V1754" s="13" t="s">
        <v>1273</v>
      </c>
      <c r="W1754" s="59">
        <f>+J1754/$W$2</f>
        <v>2.9383610578202887E-4</v>
      </c>
    </row>
    <row r="1755" spans="1:29">
      <c r="A1755" s="13" t="s">
        <v>431</v>
      </c>
      <c r="B1755" s="13" t="s">
        <v>404</v>
      </c>
      <c r="C1755" s="138">
        <v>46384</v>
      </c>
      <c r="D1755" s="138" t="s">
        <v>424</v>
      </c>
      <c r="E1755" s="28">
        <v>0.91823915</v>
      </c>
      <c r="F1755" s="13"/>
      <c r="G1755" s="18">
        <v>20000000</v>
      </c>
      <c r="H1755" s="18">
        <v>18364782.940000001</v>
      </c>
      <c r="I1755" s="18">
        <v>20000000</v>
      </c>
      <c r="J1755" s="18">
        <v>18364782.940000001</v>
      </c>
      <c r="K1755" s="15">
        <v>79700363</v>
      </c>
      <c r="L1755" s="13" t="s">
        <v>102</v>
      </c>
      <c r="M1755" s="13" t="s">
        <v>103</v>
      </c>
      <c r="N1755" s="138" t="s">
        <v>383</v>
      </c>
      <c r="O1755" s="138" t="s">
        <v>383</v>
      </c>
      <c r="P1755" s="28">
        <v>26</v>
      </c>
      <c r="Q1755" s="13" t="s">
        <v>54</v>
      </c>
      <c r="R1755" s="13" t="s">
        <v>28</v>
      </c>
      <c r="S1755" s="13"/>
      <c r="T1755" s="13"/>
      <c r="U1755" s="13" t="s">
        <v>1634</v>
      </c>
      <c r="V1755" s="13" t="s">
        <v>1634</v>
      </c>
      <c r="W1755" s="59">
        <f>+J1755/$W$2</f>
        <v>3.0055939549998838E-4</v>
      </c>
    </row>
    <row r="1756" spans="1:29">
      <c r="A1756" s="13" t="s">
        <v>565</v>
      </c>
      <c r="B1756" s="13" t="s">
        <v>404</v>
      </c>
      <c r="C1756" s="138">
        <v>46384</v>
      </c>
      <c r="D1756" s="138" t="s">
        <v>424</v>
      </c>
      <c r="E1756" s="28">
        <v>0.91250016</v>
      </c>
      <c r="F1756" s="13"/>
      <c r="G1756" s="18">
        <v>20000000</v>
      </c>
      <c r="H1756" s="18">
        <v>18250003.140000001</v>
      </c>
      <c r="I1756" s="18">
        <v>20000000</v>
      </c>
      <c r="J1756" s="18">
        <v>18250003.140000001</v>
      </c>
      <c r="K1756" s="15">
        <v>20411015</v>
      </c>
      <c r="L1756" s="13" t="s">
        <v>102</v>
      </c>
      <c r="M1756" s="13" t="s">
        <v>103</v>
      </c>
      <c r="N1756" s="138" t="s">
        <v>355</v>
      </c>
      <c r="O1756" s="138" t="s">
        <v>355</v>
      </c>
      <c r="P1756" s="28">
        <v>28</v>
      </c>
      <c r="Q1756" s="13" t="s">
        <v>54</v>
      </c>
      <c r="R1756" s="13" t="s">
        <v>28</v>
      </c>
      <c r="S1756" s="13"/>
      <c r="T1756" s="13"/>
      <c r="U1756" s="13" t="s">
        <v>1174</v>
      </c>
      <c r="V1756" s="13" t="s">
        <v>1174</v>
      </c>
      <c r="W1756" s="59">
        <f>+J1756/$W$2</f>
        <v>2.9868090080629556E-4</v>
      </c>
    </row>
    <row r="1757" spans="1:29">
      <c r="A1757" s="13" t="s">
        <v>2513</v>
      </c>
      <c r="B1757" s="13" t="s">
        <v>404</v>
      </c>
      <c r="C1757" s="138">
        <v>46384</v>
      </c>
      <c r="D1757" s="138" t="s">
        <v>424</v>
      </c>
      <c r="E1757" s="28">
        <v>0.90683232000000003</v>
      </c>
      <c r="F1757" s="13"/>
      <c r="G1757" s="18">
        <v>50000000</v>
      </c>
      <c r="H1757" s="18">
        <v>45341616.18</v>
      </c>
      <c r="I1757" s="18">
        <v>50000000</v>
      </c>
      <c r="J1757" s="18">
        <v>45341616.18</v>
      </c>
      <c r="K1757" s="15">
        <v>197098</v>
      </c>
      <c r="L1757" s="13" t="s">
        <v>102</v>
      </c>
      <c r="M1757" s="13" t="s">
        <v>103</v>
      </c>
      <c r="N1757" s="138" t="s">
        <v>170</v>
      </c>
      <c r="O1757" s="138" t="s">
        <v>170</v>
      </c>
      <c r="P1757" s="28">
        <v>30</v>
      </c>
      <c r="Q1757" s="13" t="s">
        <v>54</v>
      </c>
      <c r="R1757" s="13" t="s">
        <v>28</v>
      </c>
      <c r="S1757" s="13"/>
      <c r="T1757" s="13"/>
      <c r="U1757" s="13" t="s">
        <v>2441</v>
      </c>
      <c r="V1757" s="13" t="s">
        <v>2441</v>
      </c>
      <c r="W1757" s="59">
        <f>+J1757/$W$2</f>
        <v>7.4206424299035523E-4</v>
      </c>
    </row>
    <row r="1758" spans="1:29">
      <c r="A1758" s="13" t="s">
        <v>2514</v>
      </c>
      <c r="B1758" s="13" t="s">
        <v>404</v>
      </c>
      <c r="C1758" s="138">
        <v>46384</v>
      </c>
      <c r="D1758" s="138" t="s">
        <v>424</v>
      </c>
      <c r="E1758" s="28">
        <v>0.90683232000000003</v>
      </c>
      <c r="F1758" s="13"/>
      <c r="G1758" s="18">
        <v>50000000</v>
      </c>
      <c r="H1758" s="18">
        <v>45341616.18</v>
      </c>
      <c r="I1758" s="18">
        <v>50000000</v>
      </c>
      <c r="J1758" s="18">
        <v>45341616.18</v>
      </c>
      <c r="K1758" s="15">
        <v>196471</v>
      </c>
      <c r="L1758" s="13" t="s">
        <v>102</v>
      </c>
      <c r="M1758" s="13" t="s">
        <v>103</v>
      </c>
      <c r="N1758" s="138" t="s">
        <v>170</v>
      </c>
      <c r="O1758" s="138" t="s">
        <v>170</v>
      </c>
      <c r="P1758" s="28">
        <v>30</v>
      </c>
      <c r="Q1758" s="13" t="s">
        <v>54</v>
      </c>
      <c r="R1758" s="13" t="s">
        <v>28</v>
      </c>
      <c r="S1758" s="13"/>
      <c r="T1758" s="13"/>
      <c r="U1758" s="13" t="s">
        <v>2444</v>
      </c>
      <c r="V1758" s="13" t="s">
        <v>2444</v>
      </c>
      <c r="W1758" s="59">
        <f>+J1758/$W$2</f>
        <v>7.4206424299035523E-4</v>
      </c>
    </row>
    <row r="1759" spans="1:29">
      <c r="A1759" s="13" t="s">
        <v>897</v>
      </c>
      <c r="B1759" s="13" t="s">
        <v>404</v>
      </c>
      <c r="C1759" s="138">
        <v>46384</v>
      </c>
      <c r="D1759" s="138" t="s">
        <v>424</v>
      </c>
      <c r="E1759" s="28">
        <v>0.89846166999999999</v>
      </c>
      <c r="F1759" s="13"/>
      <c r="G1759" s="18">
        <v>9356284.2599999998</v>
      </c>
      <c r="H1759" s="18">
        <v>8406262.7400000002</v>
      </c>
      <c r="I1759" s="18">
        <v>9356284.2599999998</v>
      </c>
      <c r="J1759" s="18">
        <v>8406262.7400000002</v>
      </c>
      <c r="K1759" s="15">
        <v>90002090</v>
      </c>
      <c r="L1759" s="13" t="s">
        <v>102</v>
      </c>
      <c r="M1759" s="13" t="s">
        <v>103</v>
      </c>
      <c r="N1759" s="138" t="s">
        <v>484</v>
      </c>
      <c r="O1759" s="138" t="s">
        <v>484</v>
      </c>
      <c r="P1759" s="28">
        <v>33</v>
      </c>
      <c r="Q1759" s="13" t="s">
        <v>54</v>
      </c>
      <c r="R1759" s="13" t="s">
        <v>28</v>
      </c>
      <c r="S1759" s="13"/>
      <c r="T1759" s="13"/>
      <c r="U1759" s="13" t="s">
        <v>2069</v>
      </c>
      <c r="V1759" s="13" t="s">
        <v>2069</v>
      </c>
      <c r="W1759" s="59">
        <f>+J1759/$W$2</f>
        <v>1.3757751756735307E-4</v>
      </c>
    </row>
    <row r="1760" spans="1:29">
      <c r="A1760" s="13" t="s">
        <v>2584</v>
      </c>
      <c r="B1760" s="13" t="s">
        <v>404</v>
      </c>
      <c r="C1760" s="138">
        <v>46385</v>
      </c>
      <c r="D1760" s="138" t="s">
        <v>424</v>
      </c>
      <c r="E1760" s="28">
        <v>0.89773236000000001</v>
      </c>
      <c r="F1760" s="13"/>
      <c r="G1760" s="18">
        <v>20000194</v>
      </c>
      <c r="H1760" s="18">
        <v>17954821.289999999</v>
      </c>
      <c r="I1760" s="18">
        <v>20000194</v>
      </c>
      <c r="J1760" s="18">
        <v>17954821.289999999</v>
      </c>
      <c r="K1760" s="15">
        <v>733</v>
      </c>
      <c r="L1760" s="13" t="s">
        <v>102</v>
      </c>
      <c r="M1760" s="13" t="s">
        <v>103</v>
      </c>
      <c r="N1760" s="138" t="s">
        <v>464</v>
      </c>
      <c r="O1760" s="138" t="s">
        <v>464</v>
      </c>
      <c r="P1760" s="28">
        <v>33</v>
      </c>
      <c r="Q1760" s="13" t="s">
        <v>54</v>
      </c>
      <c r="R1760" s="13" t="s">
        <v>28</v>
      </c>
      <c r="S1760" s="13"/>
      <c r="T1760" s="13"/>
      <c r="U1760" s="13" t="s">
        <v>2570</v>
      </c>
      <c r="V1760" s="13" t="s">
        <v>2570</v>
      </c>
      <c r="W1760" s="59">
        <f>+J1760/$W$2</f>
        <v>2.9384993282325831E-4</v>
      </c>
    </row>
    <row r="1761" spans="1:29">
      <c r="A1761" s="13" t="s">
        <v>431</v>
      </c>
      <c r="B1761" s="13" t="s">
        <v>404</v>
      </c>
      <c r="C1761" s="138">
        <v>46385</v>
      </c>
      <c r="D1761" s="138" t="s">
        <v>424</v>
      </c>
      <c r="E1761" s="28">
        <v>0.91763888000000005</v>
      </c>
      <c r="F1761" s="13"/>
      <c r="G1761" s="18">
        <v>20000000</v>
      </c>
      <c r="H1761" s="18">
        <v>18352777.640000001</v>
      </c>
      <c r="I1761" s="18">
        <v>20000000</v>
      </c>
      <c r="J1761" s="18">
        <v>18352777.640000001</v>
      </c>
      <c r="K1761" s="15">
        <v>79700364</v>
      </c>
      <c r="L1761" s="13" t="s">
        <v>102</v>
      </c>
      <c r="M1761" s="13" t="s">
        <v>103</v>
      </c>
      <c r="N1761" s="138" t="s">
        <v>383</v>
      </c>
      <c r="O1761" s="138" t="s">
        <v>383</v>
      </c>
      <c r="P1761" s="28">
        <v>26</v>
      </c>
      <c r="Q1761" s="13" t="s">
        <v>54</v>
      </c>
      <c r="R1761" s="13" t="s">
        <v>28</v>
      </c>
      <c r="S1761" s="13"/>
      <c r="T1761" s="13"/>
      <c r="U1761" s="13" t="s">
        <v>1638</v>
      </c>
      <c r="V1761" s="13" t="s">
        <v>1638</v>
      </c>
      <c r="W1761" s="59">
        <f>+J1761/$W$2</f>
        <v>3.0036291587250867E-4</v>
      </c>
      <c r="AC1761" s="56"/>
    </row>
    <row r="1762" spans="1:29">
      <c r="A1762" s="13" t="s">
        <v>2514</v>
      </c>
      <c r="B1762" s="13" t="s">
        <v>404</v>
      </c>
      <c r="C1762" s="138">
        <v>46385</v>
      </c>
      <c r="D1762" s="138" t="s">
        <v>424</v>
      </c>
      <c r="E1762" s="28">
        <v>0.90615710000000005</v>
      </c>
      <c r="F1762" s="13"/>
      <c r="G1762" s="18">
        <v>50000000</v>
      </c>
      <c r="H1762" s="18">
        <v>45307854.869999997</v>
      </c>
      <c r="I1762" s="18">
        <v>50000000</v>
      </c>
      <c r="J1762" s="18">
        <v>45307854.869999997</v>
      </c>
      <c r="K1762" s="15">
        <v>196469</v>
      </c>
      <c r="L1762" s="13" t="s">
        <v>102</v>
      </c>
      <c r="M1762" s="13" t="s">
        <v>103</v>
      </c>
      <c r="N1762" s="138" t="s">
        <v>170</v>
      </c>
      <c r="O1762" s="138" t="s">
        <v>170</v>
      </c>
      <c r="P1762" s="28">
        <v>30</v>
      </c>
      <c r="Q1762" s="13" t="s">
        <v>54</v>
      </c>
      <c r="R1762" s="13" t="s">
        <v>28</v>
      </c>
      <c r="S1762" s="13"/>
      <c r="T1762" s="13"/>
      <c r="U1762" s="13" t="s">
        <v>2445</v>
      </c>
      <c r="V1762" s="13" t="s">
        <v>2445</v>
      </c>
      <c r="W1762" s="59">
        <f>+J1762/$W$2</f>
        <v>7.4151170289456204E-4</v>
      </c>
    </row>
    <row r="1763" spans="1:29">
      <c r="A1763" s="13" t="s">
        <v>565</v>
      </c>
      <c r="B1763" s="13" t="s">
        <v>404</v>
      </c>
      <c r="C1763" s="138">
        <v>46386</v>
      </c>
      <c r="D1763" s="138" t="s">
        <v>424</v>
      </c>
      <c r="E1763" s="28">
        <v>0.91412265000000004</v>
      </c>
      <c r="F1763" s="13"/>
      <c r="G1763" s="18">
        <v>3400000</v>
      </c>
      <c r="H1763" s="18">
        <v>3108017.01</v>
      </c>
      <c r="I1763" s="18">
        <v>3400000</v>
      </c>
      <c r="J1763" s="18">
        <v>3108017.01</v>
      </c>
      <c r="K1763" s="15">
        <v>68062415</v>
      </c>
      <c r="L1763" s="13" t="s">
        <v>102</v>
      </c>
      <c r="M1763" s="13" t="s">
        <v>103</v>
      </c>
      <c r="N1763" s="138" t="s">
        <v>419</v>
      </c>
      <c r="O1763" s="138" t="s">
        <v>419</v>
      </c>
      <c r="P1763" s="28">
        <v>27</v>
      </c>
      <c r="Q1763" s="13" t="s">
        <v>54</v>
      </c>
      <c r="R1763" s="13" t="s">
        <v>28</v>
      </c>
      <c r="S1763" s="13"/>
      <c r="T1763" s="13"/>
      <c r="U1763" s="13" t="s">
        <v>1246</v>
      </c>
      <c r="V1763" s="13" t="s">
        <v>1246</v>
      </c>
      <c r="W1763" s="59">
        <f>+J1763/$W$2</f>
        <v>5.0866036194451269E-5</v>
      </c>
    </row>
    <row r="1764" spans="1:29">
      <c r="A1764" s="13" t="s">
        <v>694</v>
      </c>
      <c r="B1764" s="13" t="s">
        <v>404</v>
      </c>
      <c r="C1764" s="138">
        <v>46386</v>
      </c>
      <c r="D1764" s="138" t="s">
        <v>424</v>
      </c>
      <c r="E1764" s="28">
        <v>0.90834440999999999</v>
      </c>
      <c r="F1764" s="13"/>
      <c r="G1764" s="18">
        <v>14000000</v>
      </c>
      <c r="H1764" s="18">
        <v>12716821.75</v>
      </c>
      <c r="I1764" s="18">
        <v>14000000</v>
      </c>
      <c r="J1764" s="18">
        <v>12716821.75</v>
      </c>
      <c r="K1764" s="15">
        <v>119</v>
      </c>
      <c r="L1764" s="13" t="s">
        <v>102</v>
      </c>
      <c r="M1764" s="13" t="s">
        <v>103</v>
      </c>
      <c r="N1764" s="138" t="s">
        <v>419</v>
      </c>
      <c r="O1764" s="138" t="s">
        <v>419</v>
      </c>
      <c r="P1764" s="28">
        <v>29</v>
      </c>
      <c r="Q1764" s="13" t="s">
        <v>54</v>
      </c>
      <c r="R1764" s="13" t="s">
        <v>28</v>
      </c>
      <c r="S1764" s="13"/>
      <c r="T1764" s="13"/>
      <c r="U1764" s="13" t="s">
        <v>1253</v>
      </c>
      <c r="V1764" s="13" t="s">
        <v>1253</v>
      </c>
      <c r="W1764" s="59">
        <f>+J1764/$W$2</f>
        <v>2.0812444505053889E-4</v>
      </c>
    </row>
    <row r="1765" spans="1:29">
      <c r="A1765" s="13" t="s">
        <v>279</v>
      </c>
      <c r="B1765" s="13" t="s">
        <v>404</v>
      </c>
      <c r="C1765" s="138">
        <v>46386</v>
      </c>
      <c r="D1765" s="138" t="s">
        <v>424</v>
      </c>
      <c r="E1765" s="28">
        <v>0.91122442999999997</v>
      </c>
      <c r="F1765" s="13"/>
      <c r="G1765" s="18">
        <v>50000000</v>
      </c>
      <c r="H1765" s="18">
        <v>45561221.530000001</v>
      </c>
      <c r="I1765" s="18">
        <v>50000000</v>
      </c>
      <c r="J1765" s="18">
        <v>45561221.530000001</v>
      </c>
      <c r="K1765" s="15">
        <v>40665395</v>
      </c>
      <c r="L1765" s="13" t="s">
        <v>102</v>
      </c>
      <c r="M1765" s="13" t="s">
        <v>103</v>
      </c>
      <c r="N1765" s="138" t="s">
        <v>416</v>
      </c>
      <c r="O1765" s="138" t="s">
        <v>416</v>
      </c>
      <c r="P1765" s="28">
        <v>28</v>
      </c>
      <c r="Q1765" s="13" t="s">
        <v>54</v>
      </c>
      <c r="R1765" s="13" t="s">
        <v>28</v>
      </c>
      <c r="S1765" s="13"/>
      <c r="T1765" s="13"/>
      <c r="U1765" s="13" t="s">
        <v>2042</v>
      </c>
      <c r="V1765" s="13" t="s">
        <v>2042</v>
      </c>
      <c r="W1765" s="59">
        <f>+J1765/$W$2</f>
        <v>7.4565832038621708E-4</v>
      </c>
    </row>
    <row r="1766" spans="1:29">
      <c r="A1766" s="13" t="s">
        <v>721</v>
      </c>
      <c r="B1766" s="13" t="s">
        <v>404</v>
      </c>
      <c r="C1766" s="138">
        <v>46386</v>
      </c>
      <c r="D1766" s="138" t="s">
        <v>424</v>
      </c>
      <c r="E1766" s="28">
        <v>0.90548267000000005</v>
      </c>
      <c r="F1766" s="13"/>
      <c r="G1766" s="18">
        <v>50000000</v>
      </c>
      <c r="H1766" s="18">
        <v>45274133.659999996</v>
      </c>
      <c r="I1766" s="18">
        <v>50000000</v>
      </c>
      <c r="J1766" s="18">
        <v>45274133.659999996</v>
      </c>
      <c r="K1766" s="15">
        <v>68015</v>
      </c>
      <c r="L1766" s="13" t="s">
        <v>102</v>
      </c>
      <c r="M1766" s="13" t="s">
        <v>103</v>
      </c>
      <c r="N1766" s="138" t="s">
        <v>385</v>
      </c>
      <c r="O1766" s="138" t="s">
        <v>385</v>
      </c>
      <c r="P1766" s="28">
        <v>30</v>
      </c>
      <c r="Q1766" s="13" t="s">
        <v>54</v>
      </c>
      <c r="R1766" s="13" t="s">
        <v>28</v>
      </c>
      <c r="S1766" s="13"/>
      <c r="T1766" s="13"/>
      <c r="U1766" s="13" t="s">
        <v>1901</v>
      </c>
      <c r="V1766" s="13" t="s">
        <v>1901</v>
      </c>
      <c r="W1766" s="59">
        <f>+J1766/$W$2</f>
        <v>7.4095981907833393E-4</v>
      </c>
      <c r="AC1766" s="56"/>
    </row>
    <row r="1767" spans="1:29">
      <c r="A1767" s="13" t="s">
        <v>2370</v>
      </c>
      <c r="B1767" s="13" t="s">
        <v>404</v>
      </c>
      <c r="C1767" s="138">
        <v>46386</v>
      </c>
      <c r="D1767" s="138" t="s">
        <v>424</v>
      </c>
      <c r="E1767" s="28">
        <v>0.89981268999999997</v>
      </c>
      <c r="F1767" s="13"/>
      <c r="G1767" s="18">
        <v>20000000</v>
      </c>
      <c r="H1767" s="18">
        <v>17996253.739999998</v>
      </c>
      <c r="I1767" s="18">
        <v>20000000</v>
      </c>
      <c r="J1767" s="18">
        <v>17996253.739999998</v>
      </c>
      <c r="K1767" s="15">
        <v>53980</v>
      </c>
      <c r="L1767" s="13" t="s">
        <v>102</v>
      </c>
      <c r="M1767" s="13" t="s">
        <v>103</v>
      </c>
      <c r="N1767" s="138" t="s">
        <v>342</v>
      </c>
      <c r="O1767" s="138" t="s">
        <v>342</v>
      </c>
      <c r="P1767" s="28">
        <v>32</v>
      </c>
      <c r="Q1767" s="13" t="s">
        <v>54</v>
      </c>
      <c r="R1767" s="13" t="s">
        <v>28</v>
      </c>
      <c r="S1767" s="13"/>
      <c r="T1767" s="13"/>
      <c r="U1767" s="13" t="s">
        <v>2373</v>
      </c>
      <c r="V1767" s="13" t="s">
        <v>2373</v>
      </c>
      <c r="W1767" s="59">
        <f>+J1767/$W$2</f>
        <v>2.945280193635005E-4</v>
      </c>
    </row>
    <row r="1768" spans="1:29">
      <c r="A1768" s="13" t="s">
        <v>2514</v>
      </c>
      <c r="B1768" s="13" t="s">
        <v>404</v>
      </c>
      <c r="C1768" s="138">
        <v>46386</v>
      </c>
      <c r="D1768" s="138" t="s">
        <v>424</v>
      </c>
      <c r="E1768" s="28">
        <v>0.90548264000000001</v>
      </c>
      <c r="F1768" s="13"/>
      <c r="G1768" s="18">
        <v>50000000</v>
      </c>
      <c r="H1768" s="18">
        <v>45274132.090000004</v>
      </c>
      <c r="I1768" s="18">
        <v>50000000</v>
      </c>
      <c r="J1768" s="18">
        <v>45274132.090000004</v>
      </c>
      <c r="K1768" s="15">
        <v>196468</v>
      </c>
      <c r="L1768" s="13" t="s">
        <v>102</v>
      </c>
      <c r="M1768" s="13" t="s">
        <v>103</v>
      </c>
      <c r="N1768" s="138" t="s">
        <v>170</v>
      </c>
      <c r="O1768" s="138" t="s">
        <v>170</v>
      </c>
      <c r="P1768" s="28">
        <v>30</v>
      </c>
      <c r="Q1768" s="13" t="s">
        <v>54</v>
      </c>
      <c r="R1768" s="13" t="s">
        <v>28</v>
      </c>
      <c r="S1768" s="13"/>
      <c r="T1768" s="13"/>
      <c r="U1768" s="13" t="s">
        <v>2446</v>
      </c>
      <c r="V1768" s="13" t="s">
        <v>2446</v>
      </c>
      <c r="W1768" s="59">
        <f>+J1768/$W$2</f>
        <v>7.4095979338359799E-4</v>
      </c>
    </row>
    <row r="1769" spans="1:29">
      <c r="A1769" s="13" t="s">
        <v>2580</v>
      </c>
      <c r="B1769" s="13" t="s">
        <v>404</v>
      </c>
      <c r="C1769" s="138">
        <v>46386</v>
      </c>
      <c r="D1769" s="138" t="s">
        <v>424</v>
      </c>
      <c r="E1769" s="28">
        <v>0.88594410000000001</v>
      </c>
      <c r="F1769" s="13"/>
      <c r="G1769" s="18">
        <v>25000000</v>
      </c>
      <c r="H1769" s="18">
        <v>22148602.530000001</v>
      </c>
      <c r="I1769" s="18">
        <v>25000000</v>
      </c>
      <c r="J1769" s="18">
        <v>22148602.530000001</v>
      </c>
      <c r="K1769" s="15">
        <v>40</v>
      </c>
      <c r="L1769" s="13" t="s">
        <v>102</v>
      </c>
      <c r="M1769" s="13" t="s">
        <v>103</v>
      </c>
      <c r="N1769" s="138" t="s">
        <v>464</v>
      </c>
      <c r="O1769" s="138" t="s">
        <v>464</v>
      </c>
      <c r="P1769" s="28">
        <v>37</v>
      </c>
      <c r="Q1769" s="13" t="s">
        <v>54</v>
      </c>
      <c r="R1769" s="13" t="s">
        <v>28</v>
      </c>
      <c r="S1769" s="13"/>
      <c r="T1769" s="13"/>
      <c r="U1769" s="13" t="s">
        <v>2550</v>
      </c>
      <c r="V1769" s="13" t="s">
        <v>2550</v>
      </c>
      <c r="W1769" s="59">
        <f>+J1769/$W$2</f>
        <v>3.6248566668800023E-4</v>
      </c>
    </row>
    <row r="1770" spans="1:29">
      <c r="A1770" s="13" t="s">
        <v>565</v>
      </c>
      <c r="B1770" s="13" t="s">
        <v>404</v>
      </c>
      <c r="C1770" s="138">
        <v>46391</v>
      </c>
      <c r="D1770" s="138" t="s">
        <v>424</v>
      </c>
      <c r="E1770" s="28">
        <v>0.91405391999999996</v>
      </c>
      <c r="F1770" s="13"/>
      <c r="G1770" s="18">
        <v>25000000</v>
      </c>
      <c r="H1770" s="18">
        <v>22851347.899999999</v>
      </c>
      <c r="I1770" s="18">
        <v>25000000</v>
      </c>
      <c r="J1770" s="18">
        <v>22851347.899999999</v>
      </c>
      <c r="K1770" s="15">
        <v>9508926</v>
      </c>
      <c r="L1770" s="13" t="s">
        <v>102</v>
      </c>
      <c r="M1770" s="13" t="s">
        <v>103</v>
      </c>
      <c r="N1770" s="138" t="s">
        <v>339</v>
      </c>
      <c r="O1770" s="138" t="s">
        <v>339</v>
      </c>
      <c r="P1770" s="28">
        <v>26</v>
      </c>
      <c r="Q1770" s="13" t="s">
        <v>54</v>
      </c>
      <c r="R1770" s="13" t="s">
        <v>28</v>
      </c>
      <c r="S1770" s="13"/>
      <c r="T1770" s="13"/>
      <c r="U1770" s="13" t="s">
        <v>1568</v>
      </c>
      <c r="V1770" s="13" t="s">
        <v>1568</v>
      </c>
      <c r="W1770" s="59">
        <f>+J1770/$W$2</f>
        <v>3.7398684937486811E-4</v>
      </c>
    </row>
    <row r="1771" spans="1:29">
      <c r="A1771" s="13" t="s">
        <v>2280</v>
      </c>
      <c r="B1771" s="13" t="s">
        <v>404</v>
      </c>
      <c r="C1771" s="138">
        <v>46391</v>
      </c>
      <c r="D1771" s="138" t="s">
        <v>424</v>
      </c>
      <c r="E1771" s="28">
        <v>0.88198337999999998</v>
      </c>
      <c r="F1771" s="13"/>
      <c r="G1771" s="18">
        <v>25000000</v>
      </c>
      <c r="H1771" s="18">
        <v>22049584.379999999</v>
      </c>
      <c r="I1771" s="18">
        <v>25000000</v>
      </c>
      <c r="J1771" s="18">
        <v>22049584.379999999</v>
      </c>
      <c r="K1771" s="15">
        <v>1117</v>
      </c>
      <c r="L1771" s="13" t="s">
        <v>102</v>
      </c>
      <c r="M1771" s="13" t="s">
        <v>103</v>
      </c>
      <c r="N1771" s="138" t="s">
        <v>422</v>
      </c>
      <c r="O1771" s="138" t="s">
        <v>422</v>
      </c>
      <c r="P1771" s="28">
        <v>37</v>
      </c>
      <c r="Q1771" s="13" t="s">
        <v>54</v>
      </c>
      <c r="R1771" s="13" t="s">
        <v>28</v>
      </c>
      <c r="S1771" s="13"/>
      <c r="T1771" s="13"/>
      <c r="U1771" s="13" t="s">
        <v>2241</v>
      </c>
      <c r="V1771" s="13" t="s">
        <v>2241</v>
      </c>
      <c r="W1771" s="59">
        <f>+J1771/$W$2</f>
        <v>3.6086512832363404E-4</v>
      </c>
    </row>
    <row r="1772" spans="1:29">
      <c r="A1772" s="13" t="s">
        <v>2514</v>
      </c>
      <c r="B1772" s="13" t="s">
        <v>404</v>
      </c>
      <c r="C1772" s="138">
        <v>46391</v>
      </c>
      <c r="D1772" s="138" t="s">
        <v>424</v>
      </c>
      <c r="E1772" s="28">
        <v>0.90212559999999997</v>
      </c>
      <c r="F1772" s="13"/>
      <c r="G1772" s="18">
        <v>50000000</v>
      </c>
      <c r="H1772" s="18">
        <v>45106280.020000003</v>
      </c>
      <c r="I1772" s="18">
        <v>50000000</v>
      </c>
      <c r="J1772" s="18">
        <v>45106280.020000003</v>
      </c>
      <c r="K1772" s="15">
        <v>196472</v>
      </c>
      <c r="L1772" s="13" t="s">
        <v>102</v>
      </c>
      <c r="M1772" s="13" t="s">
        <v>103</v>
      </c>
      <c r="N1772" s="138" t="s">
        <v>170</v>
      </c>
      <c r="O1772" s="138" t="s">
        <v>170</v>
      </c>
      <c r="P1772" s="28">
        <v>30</v>
      </c>
      <c r="Q1772" s="13" t="s">
        <v>54</v>
      </c>
      <c r="R1772" s="13" t="s">
        <v>28</v>
      </c>
      <c r="S1772" s="13"/>
      <c r="T1772" s="13"/>
      <c r="U1772" s="13" t="s">
        <v>2447</v>
      </c>
      <c r="V1772" s="13" t="s">
        <v>2447</v>
      </c>
      <c r="W1772" s="59">
        <f>+J1772/$W$2</f>
        <v>7.3821271399488722E-4</v>
      </c>
    </row>
    <row r="1773" spans="1:29">
      <c r="A1773" s="13" t="s">
        <v>521</v>
      </c>
      <c r="B1773" s="13" t="s">
        <v>404</v>
      </c>
      <c r="C1773" s="138">
        <v>46392</v>
      </c>
      <c r="D1773" s="138" t="s">
        <v>424</v>
      </c>
      <c r="E1773" s="28">
        <v>0.89266069999999997</v>
      </c>
      <c r="F1773" s="13"/>
      <c r="G1773" s="18">
        <v>6222591.4500000002</v>
      </c>
      <c r="H1773" s="18">
        <v>5554662.8300000001</v>
      </c>
      <c r="I1773" s="18">
        <v>6222591.4500000002</v>
      </c>
      <c r="J1773" s="18">
        <v>5554662.8300000001</v>
      </c>
      <c r="K1773" s="15">
        <v>90000228</v>
      </c>
      <c r="L1773" s="13" t="s">
        <v>102</v>
      </c>
      <c r="M1773" s="13" t="s">
        <v>103</v>
      </c>
      <c r="N1773" s="138" t="s">
        <v>484</v>
      </c>
      <c r="O1773" s="138" t="s">
        <v>484</v>
      </c>
      <c r="P1773" s="28">
        <v>33</v>
      </c>
      <c r="Q1773" s="13" t="s">
        <v>54</v>
      </c>
      <c r="R1773" s="13" t="s">
        <v>28</v>
      </c>
      <c r="S1773" s="13"/>
      <c r="T1773" s="13"/>
      <c r="U1773" s="13" t="s">
        <v>2064</v>
      </c>
      <c r="V1773" s="13" t="s">
        <v>2064</v>
      </c>
      <c r="W1773" s="59">
        <f>+J1773/$W$2</f>
        <v>9.0908022591148276E-5</v>
      </c>
    </row>
    <row r="1774" spans="1:29">
      <c r="A1774" s="13" t="s">
        <v>285</v>
      </c>
      <c r="B1774" s="13" t="s">
        <v>404</v>
      </c>
      <c r="C1774" s="138">
        <v>46392</v>
      </c>
      <c r="D1774" s="138" t="s">
        <v>424</v>
      </c>
      <c r="E1774" s="28">
        <v>0.90741848000000003</v>
      </c>
      <c r="F1774" s="13"/>
      <c r="G1774" s="18">
        <v>7000000</v>
      </c>
      <c r="H1774" s="18">
        <v>6351929.3600000003</v>
      </c>
      <c r="I1774" s="18">
        <v>7000000</v>
      </c>
      <c r="J1774" s="18">
        <v>6351929.3600000003</v>
      </c>
      <c r="K1774" s="15">
        <v>67768341</v>
      </c>
      <c r="L1774" s="13" t="s">
        <v>102</v>
      </c>
      <c r="M1774" s="13" t="s">
        <v>103</v>
      </c>
      <c r="N1774" s="138" t="s">
        <v>420</v>
      </c>
      <c r="O1774" s="138" t="s">
        <v>420</v>
      </c>
      <c r="P1774" s="28">
        <v>28</v>
      </c>
      <c r="Q1774" s="13" t="s">
        <v>54</v>
      </c>
      <c r="R1774" s="13" t="s">
        <v>28</v>
      </c>
      <c r="S1774" s="13"/>
      <c r="T1774" s="13"/>
      <c r="U1774" s="13" t="s">
        <v>1281</v>
      </c>
      <c r="V1774" s="13" t="s">
        <v>1281</v>
      </c>
      <c r="W1774" s="59">
        <f>+J1774/$W$2</f>
        <v>1.0395614557153203E-4</v>
      </c>
    </row>
    <row r="1775" spans="1:29">
      <c r="A1775" s="13" t="s">
        <v>1167</v>
      </c>
      <c r="B1775" s="13" t="s">
        <v>404</v>
      </c>
      <c r="C1775" s="138">
        <v>46392</v>
      </c>
      <c r="D1775" s="138" t="s">
        <v>424</v>
      </c>
      <c r="E1775" s="28">
        <v>0.90145730000000002</v>
      </c>
      <c r="F1775" s="13"/>
      <c r="G1775" s="18">
        <v>83000000</v>
      </c>
      <c r="H1775" s="18">
        <v>74820955.489999995</v>
      </c>
      <c r="I1775" s="18">
        <v>83000000</v>
      </c>
      <c r="J1775" s="18">
        <v>74820955.489999995</v>
      </c>
      <c r="K1775" s="15">
        <v>68158884</v>
      </c>
      <c r="L1775" s="13" t="s">
        <v>102</v>
      </c>
      <c r="M1775" s="13" t="s">
        <v>103</v>
      </c>
      <c r="N1775" s="138" t="s">
        <v>601</v>
      </c>
      <c r="O1775" s="138" t="s">
        <v>601</v>
      </c>
      <c r="P1775" s="28">
        <v>30</v>
      </c>
      <c r="Q1775" s="13" t="s">
        <v>54</v>
      </c>
      <c r="R1775" s="13" t="s">
        <v>28</v>
      </c>
      <c r="S1775" s="13"/>
      <c r="T1775" s="13"/>
      <c r="U1775" s="13" t="s">
        <v>1326</v>
      </c>
      <c r="V1775" s="13" t="s">
        <v>1326</v>
      </c>
      <c r="W1775" s="59">
        <f>+J1775/$W$2</f>
        <v>1.2245252898592622E-3</v>
      </c>
    </row>
    <row r="1776" spans="1:29">
      <c r="A1776" s="13" t="s">
        <v>2514</v>
      </c>
      <c r="B1776" s="13" t="s">
        <v>404</v>
      </c>
      <c r="C1776" s="138">
        <v>46392</v>
      </c>
      <c r="D1776" s="138" t="s">
        <v>424</v>
      </c>
      <c r="E1776" s="28">
        <v>0.90145735999999999</v>
      </c>
      <c r="F1776" s="13"/>
      <c r="G1776" s="18">
        <v>50000000</v>
      </c>
      <c r="H1776" s="18">
        <v>45072868.159999996</v>
      </c>
      <c r="I1776" s="18">
        <v>50000000</v>
      </c>
      <c r="J1776" s="18">
        <v>45072868.159999996</v>
      </c>
      <c r="K1776" s="15">
        <v>196467</v>
      </c>
      <c r="L1776" s="13" t="s">
        <v>102</v>
      </c>
      <c r="M1776" s="13" t="s">
        <v>103</v>
      </c>
      <c r="N1776" s="138" t="s">
        <v>170</v>
      </c>
      <c r="O1776" s="138" t="s">
        <v>170</v>
      </c>
      <c r="P1776" s="28">
        <v>30</v>
      </c>
      <c r="Q1776" s="13" t="s">
        <v>54</v>
      </c>
      <c r="R1776" s="13" t="s">
        <v>28</v>
      </c>
      <c r="S1776" s="13"/>
      <c r="T1776" s="13"/>
      <c r="U1776" s="13" t="s">
        <v>2448</v>
      </c>
      <c r="V1776" s="13" t="s">
        <v>2448</v>
      </c>
      <c r="W1776" s="59">
        <f>+J1776/$W$2</f>
        <v>7.3766589302363245E-4</v>
      </c>
    </row>
    <row r="1777" spans="1:29">
      <c r="A1777" s="13" t="s">
        <v>129</v>
      </c>
      <c r="B1777" s="13" t="s">
        <v>127</v>
      </c>
      <c r="C1777" s="138">
        <v>46393</v>
      </c>
      <c r="D1777" s="138" t="s">
        <v>424</v>
      </c>
      <c r="E1777" s="28">
        <v>0.971468</v>
      </c>
      <c r="F1777" s="13" t="s">
        <v>2681</v>
      </c>
      <c r="G1777" s="18">
        <v>20000</v>
      </c>
      <c r="H1777" s="18">
        <v>19429.36</v>
      </c>
      <c r="I1777" s="18">
        <v>30230650.800000001</v>
      </c>
      <c r="J1777" s="18">
        <v>29368109.870000001</v>
      </c>
      <c r="K1777" s="15">
        <v>159382</v>
      </c>
      <c r="L1777" s="13" t="s">
        <v>102</v>
      </c>
      <c r="M1777" s="13" t="s">
        <v>103</v>
      </c>
      <c r="N1777" s="138" t="s">
        <v>429</v>
      </c>
      <c r="O1777" s="138" t="s">
        <v>429</v>
      </c>
      <c r="P1777" s="28">
        <v>8</v>
      </c>
      <c r="Q1777" s="13" t="s">
        <v>54</v>
      </c>
      <c r="R1777" s="13" t="s">
        <v>28</v>
      </c>
      <c r="S1777" s="13"/>
      <c r="T1777" s="13"/>
      <c r="U1777" s="13" t="s">
        <v>1984</v>
      </c>
      <c r="V1777" s="13" t="s">
        <v>1984</v>
      </c>
      <c r="W1777" s="59">
        <f>+J1777/$W$2</f>
        <v>4.8064065762949015E-4</v>
      </c>
    </row>
    <row r="1778" spans="1:29">
      <c r="A1778" s="13" t="s">
        <v>694</v>
      </c>
      <c r="B1778" s="13" t="s">
        <v>404</v>
      </c>
      <c r="C1778" s="138">
        <v>46393</v>
      </c>
      <c r="D1778" s="138" t="s">
        <v>424</v>
      </c>
      <c r="E1778" s="28">
        <v>0.90377863999999997</v>
      </c>
      <c r="F1778" s="13"/>
      <c r="G1778" s="18">
        <v>14000000</v>
      </c>
      <c r="H1778" s="18">
        <v>12652900.949999999</v>
      </c>
      <c r="I1778" s="18">
        <v>14000000</v>
      </c>
      <c r="J1778" s="18">
        <v>12652900.949999999</v>
      </c>
      <c r="K1778" s="15">
        <v>120</v>
      </c>
      <c r="L1778" s="13" t="s">
        <v>102</v>
      </c>
      <c r="M1778" s="13" t="s">
        <v>103</v>
      </c>
      <c r="N1778" s="138" t="s">
        <v>419</v>
      </c>
      <c r="O1778" s="138" t="s">
        <v>419</v>
      </c>
      <c r="P1778" s="28">
        <v>29</v>
      </c>
      <c r="Q1778" s="13" t="s">
        <v>54</v>
      </c>
      <c r="R1778" s="13" t="s">
        <v>28</v>
      </c>
      <c r="S1778" s="13"/>
      <c r="T1778" s="13"/>
      <c r="U1778" s="13" t="s">
        <v>1247</v>
      </c>
      <c r="V1778" s="13" t="s">
        <v>1247</v>
      </c>
      <c r="W1778" s="59">
        <f>+J1778/$W$2</f>
        <v>2.070783125113935E-4</v>
      </c>
    </row>
    <row r="1779" spans="1:29">
      <c r="A1779" s="13" t="s">
        <v>2280</v>
      </c>
      <c r="B1779" s="13" t="s">
        <v>404</v>
      </c>
      <c r="C1779" s="138">
        <v>46393</v>
      </c>
      <c r="D1779" s="138" t="s">
        <v>424</v>
      </c>
      <c r="E1779" s="28">
        <v>0.88040921000000005</v>
      </c>
      <c r="F1779" s="13"/>
      <c r="G1779" s="18">
        <v>25000000</v>
      </c>
      <c r="H1779" s="18">
        <v>22010230.140000001</v>
      </c>
      <c r="I1779" s="18">
        <v>25000000</v>
      </c>
      <c r="J1779" s="18">
        <v>22010230.140000001</v>
      </c>
      <c r="K1779" s="15">
        <v>1118</v>
      </c>
      <c r="L1779" s="13" t="s">
        <v>102</v>
      </c>
      <c r="M1779" s="13" t="s">
        <v>103</v>
      </c>
      <c r="N1779" s="138" t="s">
        <v>422</v>
      </c>
      <c r="O1779" s="138" t="s">
        <v>422</v>
      </c>
      <c r="P1779" s="28">
        <v>37</v>
      </c>
      <c r="Q1779" s="13" t="s">
        <v>54</v>
      </c>
      <c r="R1779" s="13" t="s">
        <v>28</v>
      </c>
      <c r="S1779" s="13"/>
      <c r="T1779" s="13"/>
      <c r="U1779" s="13" t="s">
        <v>2242</v>
      </c>
      <c r="V1779" s="13" t="s">
        <v>2242</v>
      </c>
      <c r="W1779" s="59">
        <f>+J1779/$W$2</f>
        <v>3.6022105392191606E-4</v>
      </c>
      <c r="AC1779" s="56"/>
    </row>
    <row r="1780" spans="1:29">
      <c r="A1780" s="13" t="s">
        <v>2276</v>
      </c>
      <c r="B1780" s="13" t="s">
        <v>404</v>
      </c>
      <c r="C1780" s="138">
        <v>46393</v>
      </c>
      <c r="D1780" s="138" t="s">
        <v>424</v>
      </c>
      <c r="E1780" s="28">
        <v>0.89194087</v>
      </c>
      <c r="F1780" s="13"/>
      <c r="G1780" s="18">
        <v>20007806.68</v>
      </c>
      <c r="H1780" s="18">
        <v>17845780.559999999</v>
      </c>
      <c r="I1780" s="18">
        <v>20007806.68</v>
      </c>
      <c r="J1780" s="18">
        <v>17845780.559999999</v>
      </c>
      <c r="K1780" s="15">
        <v>29851775</v>
      </c>
      <c r="L1780" s="13" t="s">
        <v>102</v>
      </c>
      <c r="M1780" s="13" t="s">
        <v>103</v>
      </c>
      <c r="N1780" s="138" t="s">
        <v>422</v>
      </c>
      <c r="O1780" s="138" t="s">
        <v>422</v>
      </c>
      <c r="P1780" s="28">
        <v>33</v>
      </c>
      <c r="Q1780" s="13" t="s">
        <v>54</v>
      </c>
      <c r="R1780" s="13" t="s">
        <v>28</v>
      </c>
      <c r="S1780" s="13"/>
      <c r="T1780" s="13"/>
      <c r="U1780" s="13" t="s">
        <v>2233</v>
      </c>
      <c r="V1780" s="13" t="s">
        <v>2233</v>
      </c>
      <c r="W1780" s="59">
        <f>+J1780/$W$2</f>
        <v>2.920653641735361E-4</v>
      </c>
    </row>
    <row r="1781" spans="1:29">
      <c r="A1781" s="13" t="s">
        <v>2513</v>
      </c>
      <c r="B1781" s="13" t="s">
        <v>404</v>
      </c>
      <c r="C1781" s="138">
        <v>46393</v>
      </c>
      <c r="D1781" s="138" t="s">
        <v>424</v>
      </c>
      <c r="E1781" s="28">
        <v>0.90078988000000004</v>
      </c>
      <c r="F1781" s="13"/>
      <c r="G1781" s="18">
        <v>50000000</v>
      </c>
      <c r="H1781" s="18">
        <v>45039494.119999997</v>
      </c>
      <c r="I1781" s="18">
        <v>50000000</v>
      </c>
      <c r="J1781" s="18">
        <v>45039494.119999997</v>
      </c>
      <c r="K1781" s="15">
        <v>197099</v>
      </c>
      <c r="L1781" s="13" t="s">
        <v>102</v>
      </c>
      <c r="M1781" s="13" t="s">
        <v>103</v>
      </c>
      <c r="N1781" s="138" t="s">
        <v>170</v>
      </c>
      <c r="O1781" s="138" t="s">
        <v>170</v>
      </c>
      <c r="P1781" s="28">
        <v>30</v>
      </c>
      <c r="Q1781" s="13" t="s">
        <v>54</v>
      </c>
      <c r="R1781" s="13" t="s">
        <v>28</v>
      </c>
      <c r="S1781" s="13"/>
      <c r="T1781" s="13"/>
      <c r="U1781" s="13" t="s">
        <v>2442</v>
      </c>
      <c r="V1781" s="13" t="s">
        <v>2442</v>
      </c>
      <c r="W1781" s="59">
        <f>+J1781/$W$2</f>
        <v>7.3711969101729433E-4</v>
      </c>
    </row>
    <row r="1782" spans="1:29">
      <c r="A1782" s="13" t="s">
        <v>1208</v>
      </c>
      <c r="B1782" s="13" t="s">
        <v>404</v>
      </c>
      <c r="C1782" s="138">
        <v>46393</v>
      </c>
      <c r="D1782" s="138" t="s">
        <v>424</v>
      </c>
      <c r="E1782" s="28">
        <v>0.90078981999999996</v>
      </c>
      <c r="F1782" s="13"/>
      <c r="G1782" s="18">
        <v>5600000</v>
      </c>
      <c r="H1782" s="18">
        <v>5044422.99</v>
      </c>
      <c r="I1782" s="18">
        <v>5600000</v>
      </c>
      <c r="J1782" s="18">
        <v>5044422.99</v>
      </c>
      <c r="K1782" s="15">
        <v>239</v>
      </c>
      <c r="L1782" s="13" t="s">
        <v>102</v>
      </c>
      <c r="M1782" s="13" t="s">
        <v>103</v>
      </c>
      <c r="N1782" s="138" t="s">
        <v>355</v>
      </c>
      <c r="O1782" s="138" t="s">
        <v>355</v>
      </c>
      <c r="P1782" s="28">
        <v>30</v>
      </c>
      <c r="Q1782" s="13" t="s">
        <v>54</v>
      </c>
      <c r="R1782" s="13" t="s">
        <v>28</v>
      </c>
      <c r="S1782" s="13"/>
      <c r="T1782" s="13"/>
      <c r="U1782" s="13" t="s">
        <v>1183</v>
      </c>
      <c r="V1782" s="13" t="s">
        <v>1183</v>
      </c>
      <c r="W1782" s="59">
        <f>+J1782/$W$2</f>
        <v>8.2557399642243956E-5</v>
      </c>
    </row>
    <row r="1783" spans="1:29">
      <c r="A1783" s="13" t="s">
        <v>1168</v>
      </c>
      <c r="B1783" s="13" t="s">
        <v>404</v>
      </c>
      <c r="C1783" s="138">
        <v>46399</v>
      </c>
      <c r="D1783" s="138" t="s">
        <v>424</v>
      </c>
      <c r="E1783" s="28">
        <v>0.9030184</v>
      </c>
      <c r="F1783" s="13"/>
      <c r="G1783" s="18">
        <v>71389290</v>
      </c>
      <c r="H1783" s="18">
        <v>64465842.549999997</v>
      </c>
      <c r="I1783" s="18">
        <v>71389290</v>
      </c>
      <c r="J1783" s="18">
        <v>64465842.549999997</v>
      </c>
      <c r="K1783" s="15">
        <v>155356</v>
      </c>
      <c r="L1783" s="13" t="s">
        <v>102</v>
      </c>
      <c r="M1783" s="13" t="s">
        <v>103</v>
      </c>
      <c r="N1783" s="138" t="s">
        <v>324</v>
      </c>
      <c r="O1783" s="138" t="s">
        <v>324</v>
      </c>
      <c r="P1783" s="28">
        <v>28</v>
      </c>
      <c r="Q1783" s="13" t="s">
        <v>54</v>
      </c>
      <c r="R1783" s="13" t="s">
        <v>28</v>
      </c>
      <c r="S1783" s="13"/>
      <c r="T1783" s="13"/>
      <c r="U1783" s="13" t="s">
        <v>1162</v>
      </c>
      <c r="V1783" s="13" t="s">
        <v>1162</v>
      </c>
      <c r="W1783" s="59">
        <f>+J1783/$W$2</f>
        <v>1.0550527458194627E-3</v>
      </c>
    </row>
    <row r="1784" spans="1:29">
      <c r="A1784" s="13" t="s">
        <v>232</v>
      </c>
      <c r="B1784" s="13" t="s">
        <v>404</v>
      </c>
      <c r="C1784" s="138">
        <v>46400</v>
      </c>
      <c r="D1784" s="138" t="s">
        <v>424</v>
      </c>
      <c r="E1784" s="28">
        <v>0.88693418000000002</v>
      </c>
      <c r="F1784" s="13"/>
      <c r="G1784" s="18">
        <v>25000000</v>
      </c>
      <c r="H1784" s="18">
        <v>22173354.620000001</v>
      </c>
      <c r="I1784" s="18">
        <v>25000000</v>
      </c>
      <c r="J1784" s="18">
        <v>22173354.620000001</v>
      </c>
      <c r="K1784" s="15">
        <v>475890</v>
      </c>
      <c r="L1784" s="13" t="s">
        <v>102</v>
      </c>
      <c r="M1784" s="13" t="s">
        <v>103</v>
      </c>
      <c r="N1784" s="138" t="s">
        <v>639</v>
      </c>
      <c r="O1784" s="138" t="s">
        <v>639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2144</v>
      </c>
      <c r="V1784" s="13" t="s">
        <v>2144</v>
      </c>
      <c r="W1784" s="59">
        <f>+J1784/$W$2</f>
        <v>3.6289076122312581E-4</v>
      </c>
      <c r="AC1784" s="56"/>
    </row>
    <row r="1785" spans="1:29">
      <c r="A1785" s="13" t="s">
        <v>694</v>
      </c>
      <c r="B1785" s="13" t="s">
        <v>404</v>
      </c>
      <c r="C1785" s="138">
        <v>46400</v>
      </c>
      <c r="D1785" s="138" t="s">
        <v>424</v>
      </c>
      <c r="E1785" s="28">
        <v>0.89925854000000005</v>
      </c>
      <c r="F1785" s="13"/>
      <c r="G1785" s="18">
        <v>14000000</v>
      </c>
      <c r="H1785" s="18">
        <v>12589619.5</v>
      </c>
      <c r="I1785" s="18">
        <v>14000000</v>
      </c>
      <c r="J1785" s="18">
        <v>12589619.5</v>
      </c>
      <c r="K1785" s="15">
        <v>121</v>
      </c>
      <c r="L1785" s="13" t="s">
        <v>102</v>
      </c>
      <c r="M1785" s="13" t="s">
        <v>103</v>
      </c>
      <c r="N1785" s="138" t="s">
        <v>419</v>
      </c>
      <c r="O1785" s="138" t="s">
        <v>419</v>
      </c>
      <c r="P1785" s="28">
        <v>29</v>
      </c>
      <c r="Q1785" s="13" t="s">
        <v>54</v>
      </c>
      <c r="R1785" s="13" t="s">
        <v>28</v>
      </c>
      <c r="S1785" s="13"/>
      <c r="T1785" s="13"/>
      <c r="U1785" s="13" t="s">
        <v>1248</v>
      </c>
      <c r="V1785" s="13" t="s">
        <v>1248</v>
      </c>
      <c r="W1785" s="59">
        <f>+J1785/$W$2</f>
        <v>2.0604264362162212E-4</v>
      </c>
    </row>
    <row r="1786" spans="1:29">
      <c r="A1786" s="13" t="s">
        <v>721</v>
      </c>
      <c r="B1786" s="13" t="s">
        <v>404</v>
      </c>
      <c r="C1786" s="138">
        <v>46400</v>
      </c>
      <c r="D1786" s="138" t="s">
        <v>424</v>
      </c>
      <c r="E1786" s="28">
        <v>0.90239327000000003</v>
      </c>
      <c r="F1786" s="13"/>
      <c r="G1786" s="18">
        <v>50000000</v>
      </c>
      <c r="H1786" s="18">
        <v>45119663.590000004</v>
      </c>
      <c r="I1786" s="18">
        <v>50000000</v>
      </c>
      <c r="J1786" s="18">
        <v>45119663.590000004</v>
      </c>
      <c r="K1786" s="15">
        <v>68037</v>
      </c>
      <c r="L1786" s="13" t="s">
        <v>102</v>
      </c>
      <c r="M1786" s="13" t="s">
        <v>103</v>
      </c>
      <c r="N1786" s="138" t="s">
        <v>342</v>
      </c>
      <c r="O1786" s="138" t="s">
        <v>342</v>
      </c>
      <c r="P1786" s="28">
        <v>28</v>
      </c>
      <c r="Q1786" s="13" t="s">
        <v>54</v>
      </c>
      <c r="R1786" s="13" t="s">
        <v>28</v>
      </c>
      <c r="S1786" s="13"/>
      <c r="T1786" s="13"/>
      <c r="U1786" s="13" t="s">
        <v>2346</v>
      </c>
      <c r="V1786" s="13" t="s">
        <v>2346</v>
      </c>
      <c r="W1786" s="59">
        <f>+J1786/$W$2</f>
        <v>7.3843175049109701E-4</v>
      </c>
    </row>
    <row r="1787" spans="1:29">
      <c r="A1787" s="13" t="s">
        <v>2436</v>
      </c>
      <c r="B1787" s="13" t="s">
        <v>404</v>
      </c>
      <c r="C1787" s="138">
        <v>46400</v>
      </c>
      <c r="D1787" s="138" t="s">
        <v>424</v>
      </c>
      <c r="E1787" s="28">
        <v>0.89305385999999998</v>
      </c>
      <c r="F1787" s="13"/>
      <c r="G1787" s="18">
        <v>10000000</v>
      </c>
      <c r="H1787" s="18">
        <v>8930538.6199999992</v>
      </c>
      <c r="I1787" s="18">
        <v>10000000</v>
      </c>
      <c r="J1787" s="18">
        <v>8930538.6199999992</v>
      </c>
      <c r="K1787" s="15">
        <v>141</v>
      </c>
      <c r="L1787" s="13" t="s">
        <v>102</v>
      </c>
      <c r="M1787" s="13" t="s">
        <v>103</v>
      </c>
      <c r="N1787" s="138" t="s">
        <v>345</v>
      </c>
      <c r="O1787" s="138" t="s">
        <v>345</v>
      </c>
      <c r="P1787" s="28">
        <v>31</v>
      </c>
      <c r="Q1787" s="13" t="s">
        <v>54</v>
      </c>
      <c r="R1787" s="13" t="s">
        <v>28</v>
      </c>
      <c r="S1787" s="13"/>
      <c r="T1787" s="13"/>
      <c r="U1787" s="13" t="s">
        <v>2432</v>
      </c>
      <c r="V1787" s="13" t="s">
        <v>2432</v>
      </c>
      <c r="W1787" s="59">
        <f>+J1787/$W$2</f>
        <v>1.4615785538473126E-4</v>
      </c>
    </row>
    <row r="1788" spans="1:29">
      <c r="A1788" s="13" t="s">
        <v>516</v>
      </c>
      <c r="B1788" s="13" t="s">
        <v>127</v>
      </c>
      <c r="C1788" s="138">
        <v>46401</v>
      </c>
      <c r="D1788" s="138" t="s">
        <v>424</v>
      </c>
      <c r="E1788" s="28">
        <v>0.96981678000000004</v>
      </c>
      <c r="F1788" s="13" t="s">
        <v>2681</v>
      </c>
      <c r="G1788" s="18">
        <v>18230</v>
      </c>
      <c r="H1788" s="18">
        <v>17679.759999999998</v>
      </c>
      <c r="I1788" s="18">
        <v>27555238.199999999</v>
      </c>
      <c r="J1788" s="18">
        <v>26723532.539999999</v>
      </c>
      <c r="K1788" s="15">
        <v>146448</v>
      </c>
      <c r="L1788" s="13" t="s">
        <v>102</v>
      </c>
      <c r="M1788" s="13" t="s">
        <v>103</v>
      </c>
      <c r="N1788" s="138" t="s">
        <v>316</v>
      </c>
      <c r="O1788" s="138" t="s">
        <v>316</v>
      </c>
      <c r="P1788" s="28">
        <v>8</v>
      </c>
      <c r="Q1788" s="13" t="s">
        <v>54</v>
      </c>
      <c r="R1788" s="13" t="s">
        <v>28</v>
      </c>
      <c r="S1788" s="13"/>
      <c r="T1788" s="13"/>
      <c r="U1788" s="13" t="s">
        <v>510</v>
      </c>
      <c r="V1788" s="13" t="s">
        <v>510</v>
      </c>
      <c r="W1788" s="59">
        <f>+J1788/$W$2</f>
        <v>4.3735930950494903E-4</v>
      </c>
      <c r="AC1788" s="56"/>
    </row>
    <row r="1789" spans="1:29">
      <c r="A1789" s="13" t="s">
        <v>565</v>
      </c>
      <c r="B1789" s="13" t="s">
        <v>404</v>
      </c>
      <c r="C1789" s="138">
        <v>46401</v>
      </c>
      <c r="D1789" s="138" t="s">
        <v>424</v>
      </c>
      <c r="E1789" s="28">
        <v>0.90814099000000004</v>
      </c>
      <c r="F1789" s="13"/>
      <c r="G1789" s="18">
        <v>25000000</v>
      </c>
      <c r="H1789" s="18">
        <v>22703524.859999999</v>
      </c>
      <c r="I1789" s="18">
        <v>25000000</v>
      </c>
      <c r="J1789" s="18">
        <v>22703524.859999999</v>
      </c>
      <c r="K1789" s="15">
        <v>9508927</v>
      </c>
      <c r="L1789" s="13" t="s">
        <v>102</v>
      </c>
      <c r="M1789" s="13" t="s">
        <v>103</v>
      </c>
      <c r="N1789" s="138" t="s">
        <v>339</v>
      </c>
      <c r="O1789" s="138" t="s">
        <v>339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1570</v>
      </c>
      <c r="V1789" s="13" t="s">
        <v>1570</v>
      </c>
      <c r="W1789" s="59">
        <f>+J1789/$W$2</f>
        <v>3.715675665720968E-4</v>
      </c>
    </row>
    <row r="1790" spans="1:29">
      <c r="A1790" s="13" t="s">
        <v>232</v>
      </c>
      <c r="B1790" s="13" t="s">
        <v>404</v>
      </c>
      <c r="C1790" s="138">
        <v>46406</v>
      </c>
      <c r="D1790" s="138" t="s">
        <v>424</v>
      </c>
      <c r="E1790" s="28">
        <v>0.88268743999999999</v>
      </c>
      <c r="F1790" s="13"/>
      <c r="G1790" s="18">
        <v>25000000</v>
      </c>
      <c r="H1790" s="18">
        <v>22067185.91</v>
      </c>
      <c r="I1790" s="18">
        <v>25000000</v>
      </c>
      <c r="J1790" s="18">
        <v>22067185.91</v>
      </c>
      <c r="K1790" s="15">
        <v>475892</v>
      </c>
      <c r="L1790" s="13" t="s">
        <v>102</v>
      </c>
      <c r="M1790" s="13" t="s">
        <v>103</v>
      </c>
      <c r="N1790" s="138" t="s">
        <v>345</v>
      </c>
      <c r="O1790" s="138" t="s">
        <v>345</v>
      </c>
      <c r="P1790" s="28">
        <v>33</v>
      </c>
      <c r="Q1790" s="13" t="s">
        <v>54</v>
      </c>
      <c r="R1790" s="13" t="s">
        <v>28</v>
      </c>
      <c r="S1790" s="13"/>
      <c r="T1790" s="13"/>
      <c r="U1790" s="13" t="s">
        <v>2421</v>
      </c>
      <c r="V1790" s="13" t="s">
        <v>2421</v>
      </c>
      <c r="W1790" s="59">
        <f>+J1790/$W$2</f>
        <v>3.611531962650826E-4</v>
      </c>
    </row>
    <row r="1791" spans="1:29">
      <c r="A1791" s="13" t="s">
        <v>565</v>
      </c>
      <c r="B1791" s="13" t="s">
        <v>404</v>
      </c>
      <c r="C1791" s="138">
        <v>46406</v>
      </c>
      <c r="D1791" s="138" t="s">
        <v>424</v>
      </c>
      <c r="E1791" s="28">
        <v>0.90192492999999996</v>
      </c>
      <c r="F1791" s="13"/>
      <c r="G1791" s="18">
        <v>2000000</v>
      </c>
      <c r="H1791" s="18">
        <v>1803849.87</v>
      </c>
      <c r="I1791" s="18">
        <v>2000000</v>
      </c>
      <c r="J1791" s="18">
        <v>1803849.87</v>
      </c>
      <c r="K1791" s="15">
        <v>113</v>
      </c>
      <c r="L1791" s="13" t="s">
        <v>102</v>
      </c>
      <c r="M1791" s="13" t="s">
        <v>103</v>
      </c>
      <c r="N1791" s="138" t="s">
        <v>419</v>
      </c>
      <c r="O1791" s="138" t="s">
        <v>419</v>
      </c>
      <c r="P1791" s="28">
        <v>27</v>
      </c>
      <c r="Q1791" s="13" t="s">
        <v>54</v>
      </c>
      <c r="R1791" s="13" t="s">
        <v>28</v>
      </c>
      <c r="S1791" s="13"/>
      <c r="T1791" s="13"/>
      <c r="U1791" s="13" t="s">
        <v>1244</v>
      </c>
      <c r="V1791" s="13" t="s">
        <v>1244</v>
      </c>
      <c r="W1791" s="59">
        <f>+J1791/$W$2</f>
        <v>2.9521940350248028E-5</v>
      </c>
    </row>
    <row r="1792" spans="1:29">
      <c r="A1792" s="13" t="s">
        <v>694</v>
      </c>
      <c r="B1792" s="13" t="s">
        <v>404</v>
      </c>
      <c r="C1792" s="138">
        <v>46407</v>
      </c>
      <c r="D1792" s="138" t="s">
        <v>424</v>
      </c>
      <c r="E1792" s="28">
        <v>0.89478342</v>
      </c>
      <c r="F1792" s="13"/>
      <c r="G1792" s="18">
        <v>14000000</v>
      </c>
      <c r="H1792" s="18">
        <v>12526967.890000001</v>
      </c>
      <c r="I1792" s="18">
        <v>14000000</v>
      </c>
      <c r="J1792" s="18">
        <v>12526967.890000001</v>
      </c>
      <c r="K1792" s="15">
        <v>122</v>
      </c>
      <c r="L1792" s="13" t="s">
        <v>102</v>
      </c>
      <c r="M1792" s="13" t="s">
        <v>103</v>
      </c>
      <c r="N1792" s="138" t="s">
        <v>419</v>
      </c>
      <c r="O1792" s="138" t="s">
        <v>419</v>
      </c>
      <c r="P1792" s="28">
        <v>29</v>
      </c>
      <c r="Q1792" s="13" t="s">
        <v>54</v>
      </c>
      <c r="R1792" s="13" t="s">
        <v>28</v>
      </c>
      <c r="S1792" s="13"/>
      <c r="T1792" s="13"/>
      <c r="U1792" s="13" t="s">
        <v>1252</v>
      </c>
      <c r="V1792" s="13" t="s">
        <v>1252</v>
      </c>
      <c r="W1792" s="59">
        <f>+J1792/$W$2</f>
        <v>2.0501728273986149E-4</v>
      </c>
    </row>
    <row r="1793" spans="1:29">
      <c r="A1793" s="13" t="s">
        <v>1904</v>
      </c>
      <c r="B1793" s="13" t="s">
        <v>404</v>
      </c>
      <c r="C1793" s="138">
        <v>46407</v>
      </c>
      <c r="D1793" s="138" t="s">
        <v>424</v>
      </c>
      <c r="E1793" s="28">
        <v>0.90462973000000002</v>
      </c>
      <c r="F1793" s="13"/>
      <c r="G1793" s="18">
        <v>3948801</v>
      </c>
      <c r="H1793" s="18">
        <v>3572202.79</v>
      </c>
      <c r="I1793" s="18">
        <v>3948801</v>
      </c>
      <c r="J1793" s="18">
        <v>3572202.79</v>
      </c>
      <c r="K1793" s="15">
        <v>1016</v>
      </c>
      <c r="L1793" s="13" t="s">
        <v>102</v>
      </c>
      <c r="M1793" s="13" t="s">
        <v>103</v>
      </c>
      <c r="N1793" s="138" t="s">
        <v>385</v>
      </c>
      <c r="O1793" s="138" t="s">
        <v>385</v>
      </c>
      <c r="P1793" s="28">
        <v>26</v>
      </c>
      <c r="Q1793" s="13" t="s">
        <v>54</v>
      </c>
      <c r="R1793" s="13" t="s">
        <v>28</v>
      </c>
      <c r="S1793" s="13"/>
      <c r="T1793" s="13"/>
      <c r="U1793" s="13" t="s">
        <v>1891</v>
      </c>
      <c r="V1793" s="13" t="s">
        <v>1891</v>
      </c>
      <c r="W1793" s="59">
        <f>+J1793/$W$2</f>
        <v>5.8462934992128572E-5</v>
      </c>
    </row>
    <row r="1794" spans="1:29">
      <c r="A1794" s="13" t="s">
        <v>2580</v>
      </c>
      <c r="B1794" s="13" t="s">
        <v>404</v>
      </c>
      <c r="C1794" s="138">
        <v>46407</v>
      </c>
      <c r="D1794" s="138" t="s">
        <v>424</v>
      </c>
      <c r="E1794" s="28">
        <v>0.86954454999999997</v>
      </c>
      <c r="F1794" s="13"/>
      <c r="G1794" s="18">
        <v>25000000</v>
      </c>
      <c r="H1794" s="18">
        <v>21738613.77</v>
      </c>
      <c r="I1794" s="18">
        <v>25000000</v>
      </c>
      <c r="J1794" s="18">
        <v>21738613.77</v>
      </c>
      <c r="K1794" s="15">
        <v>41</v>
      </c>
      <c r="L1794" s="13" t="s">
        <v>102</v>
      </c>
      <c r="M1794" s="13" t="s">
        <v>103</v>
      </c>
      <c r="N1794" s="138" t="s">
        <v>464</v>
      </c>
      <c r="O1794" s="138" t="s">
        <v>464</v>
      </c>
      <c r="P1794" s="28">
        <v>37</v>
      </c>
      <c r="Q1794" s="13" t="s">
        <v>54</v>
      </c>
      <c r="R1794" s="13" t="s">
        <v>28</v>
      </c>
      <c r="S1794" s="13"/>
      <c r="T1794" s="13"/>
      <c r="U1794" s="13" t="s">
        <v>2553</v>
      </c>
      <c r="V1794" s="13" t="s">
        <v>2553</v>
      </c>
      <c r="W1794" s="59">
        <f>+J1794/$W$2</f>
        <v>3.5577576032700569E-4</v>
      </c>
    </row>
    <row r="1795" spans="1:29">
      <c r="A1795" s="13" t="s">
        <v>232</v>
      </c>
      <c r="B1795" s="13" t="s">
        <v>404</v>
      </c>
      <c r="C1795" s="138">
        <v>46409</v>
      </c>
      <c r="D1795" s="138" t="s">
        <v>424</v>
      </c>
      <c r="E1795" s="28">
        <v>0.88057920000000001</v>
      </c>
      <c r="F1795" s="13"/>
      <c r="G1795" s="18">
        <v>25000000</v>
      </c>
      <c r="H1795" s="18">
        <v>22014479.890000001</v>
      </c>
      <c r="I1795" s="18">
        <v>25000000</v>
      </c>
      <c r="J1795" s="18">
        <v>22014479.890000001</v>
      </c>
      <c r="K1795" s="15">
        <v>475891</v>
      </c>
      <c r="L1795" s="13" t="s">
        <v>102</v>
      </c>
      <c r="M1795" s="13" t="s">
        <v>103</v>
      </c>
      <c r="N1795" s="138" t="s">
        <v>639</v>
      </c>
      <c r="O1795" s="138" t="s">
        <v>639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2145</v>
      </c>
      <c r="V1795" s="13" t="s">
        <v>2145</v>
      </c>
      <c r="W1795" s="59">
        <f>+J1795/$W$2</f>
        <v>3.6029060564464531E-4</v>
      </c>
    </row>
    <row r="1796" spans="1:29">
      <c r="A1796" s="13" t="s">
        <v>2580</v>
      </c>
      <c r="B1796" s="13" t="s">
        <v>404</v>
      </c>
      <c r="C1796" s="138">
        <v>46409</v>
      </c>
      <c r="D1796" s="138" t="s">
        <v>424</v>
      </c>
      <c r="E1796" s="28">
        <v>0.86801444000000005</v>
      </c>
      <c r="F1796" s="13"/>
      <c r="G1796" s="18">
        <v>25000000</v>
      </c>
      <c r="H1796" s="18">
        <v>21700361.050000001</v>
      </c>
      <c r="I1796" s="18">
        <v>25000000</v>
      </c>
      <c r="J1796" s="18">
        <v>21700361.050000001</v>
      </c>
      <c r="K1796" s="15">
        <v>42</v>
      </c>
      <c r="L1796" s="13" t="s">
        <v>102</v>
      </c>
      <c r="M1796" s="13" t="s">
        <v>103</v>
      </c>
      <c r="N1796" s="138" t="s">
        <v>464</v>
      </c>
      <c r="O1796" s="138" t="s">
        <v>464</v>
      </c>
      <c r="P1796" s="28">
        <v>37</v>
      </c>
      <c r="Q1796" s="13" t="s">
        <v>54</v>
      </c>
      <c r="R1796" s="13" t="s">
        <v>28</v>
      </c>
      <c r="S1796" s="13"/>
      <c r="T1796" s="13"/>
      <c r="U1796" s="13" t="s">
        <v>2554</v>
      </c>
      <c r="V1796" s="13" t="s">
        <v>2554</v>
      </c>
      <c r="W1796" s="59">
        <f>+J1796/$W$2</f>
        <v>3.5514971348305478E-4</v>
      </c>
    </row>
    <row r="1797" spans="1:29">
      <c r="A1797" s="13" t="s">
        <v>279</v>
      </c>
      <c r="B1797" s="13" t="s">
        <v>404</v>
      </c>
      <c r="C1797" s="138">
        <v>46413</v>
      </c>
      <c r="D1797" s="138" t="s">
        <v>424</v>
      </c>
      <c r="E1797" s="28">
        <v>0.88104676999999998</v>
      </c>
      <c r="F1797" s="13"/>
      <c r="G1797" s="18">
        <v>50000000</v>
      </c>
      <c r="H1797" s="18">
        <v>44052338.310000002</v>
      </c>
      <c r="I1797" s="18">
        <v>50000000</v>
      </c>
      <c r="J1797" s="18">
        <v>44052338.310000002</v>
      </c>
      <c r="K1797" s="15">
        <v>29937729</v>
      </c>
      <c r="L1797" s="13" t="s">
        <v>102</v>
      </c>
      <c r="M1797" s="13" t="s">
        <v>103</v>
      </c>
      <c r="N1797" s="138" t="s">
        <v>464</v>
      </c>
      <c r="O1797" s="138" t="s">
        <v>464</v>
      </c>
      <c r="P1797" s="28">
        <v>32</v>
      </c>
      <c r="Q1797" s="13" t="s">
        <v>54</v>
      </c>
      <c r="R1797" s="13" t="s">
        <v>28</v>
      </c>
      <c r="S1797" s="13"/>
      <c r="T1797" s="13"/>
      <c r="U1797" s="13" t="s">
        <v>2556</v>
      </c>
      <c r="V1797" s="13" t="s">
        <v>2556</v>
      </c>
      <c r="W1797" s="59">
        <f>+J1797/$W$2</f>
        <v>7.2096382603989428E-4</v>
      </c>
    </row>
    <row r="1798" spans="1:29">
      <c r="A1798" s="13" t="s">
        <v>279</v>
      </c>
      <c r="B1798" s="13" t="s">
        <v>404</v>
      </c>
      <c r="C1798" s="138">
        <v>46413</v>
      </c>
      <c r="D1798" s="138" t="s">
        <v>424</v>
      </c>
      <c r="E1798" s="28">
        <v>0.89098281999999995</v>
      </c>
      <c r="F1798" s="13"/>
      <c r="G1798" s="18">
        <v>50000000</v>
      </c>
      <c r="H1798" s="18">
        <v>44549140.990000002</v>
      </c>
      <c r="I1798" s="18">
        <v>50000000</v>
      </c>
      <c r="J1798" s="18">
        <v>44549140.990000002</v>
      </c>
      <c r="K1798" s="15">
        <v>29867211</v>
      </c>
      <c r="L1798" s="13" t="s">
        <v>102</v>
      </c>
      <c r="M1798" s="13" t="s">
        <v>103</v>
      </c>
      <c r="N1798" s="138" t="s">
        <v>441</v>
      </c>
      <c r="O1798" s="138" t="s">
        <v>441</v>
      </c>
      <c r="P1798" s="28">
        <v>29</v>
      </c>
      <c r="Q1798" s="13" t="s">
        <v>54</v>
      </c>
      <c r="R1798" s="13" t="s">
        <v>28</v>
      </c>
      <c r="S1798" s="13"/>
      <c r="T1798" s="13"/>
      <c r="U1798" s="13" t="s">
        <v>2296</v>
      </c>
      <c r="V1798" s="13" t="s">
        <v>2296</v>
      </c>
      <c r="W1798" s="59">
        <f>+J1798/$W$2</f>
        <v>7.2909453543468629E-4</v>
      </c>
    </row>
    <row r="1799" spans="1:29">
      <c r="A1799" s="13" t="s">
        <v>300</v>
      </c>
      <c r="B1799" s="13" t="s">
        <v>127</v>
      </c>
      <c r="C1799" s="138">
        <v>46414</v>
      </c>
      <c r="D1799" s="138" t="s">
        <v>424</v>
      </c>
      <c r="E1799" s="28">
        <v>0.95926423999999999</v>
      </c>
      <c r="F1799" s="13" t="s">
        <v>2681</v>
      </c>
      <c r="G1799" s="18">
        <v>13904</v>
      </c>
      <c r="H1799" s="18">
        <v>13337.61</v>
      </c>
      <c r="I1799" s="18">
        <v>21016348.43</v>
      </c>
      <c r="J1799" s="18">
        <v>20160231.52</v>
      </c>
      <c r="K1799" s="15">
        <v>134916</v>
      </c>
      <c r="L1799" s="13" t="s">
        <v>102</v>
      </c>
      <c r="M1799" s="13" t="s">
        <v>103</v>
      </c>
      <c r="N1799" s="138" t="s">
        <v>142</v>
      </c>
      <c r="O1799" s="138" t="s">
        <v>142</v>
      </c>
      <c r="P1799" s="28">
        <v>10</v>
      </c>
      <c r="Q1799" s="13" t="s">
        <v>54</v>
      </c>
      <c r="R1799" s="13" t="s">
        <v>28</v>
      </c>
      <c r="S1799" s="13"/>
      <c r="T1799" s="13"/>
      <c r="U1799" s="13" t="s">
        <v>298</v>
      </c>
      <c r="V1799" s="13" t="s">
        <v>298</v>
      </c>
      <c r="W1799" s="59">
        <f>+J1799/$W$2</f>
        <v>3.2994383971689955E-4</v>
      </c>
    </row>
    <row r="1800" spans="1:29">
      <c r="A1800" s="13" t="s">
        <v>2436</v>
      </c>
      <c r="B1800" s="13" t="s">
        <v>404</v>
      </c>
      <c r="C1800" s="138">
        <v>46414</v>
      </c>
      <c r="D1800" s="138" t="s">
        <v>424</v>
      </c>
      <c r="E1800" s="28">
        <v>0.88367039999999997</v>
      </c>
      <c r="F1800" s="13"/>
      <c r="G1800" s="18">
        <v>10000000</v>
      </c>
      <c r="H1800" s="18">
        <v>8836704</v>
      </c>
      <c r="I1800" s="18">
        <v>10000000</v>
      </c>
      <c r="J1800" s="18">
        <v>8836704</v>
      </c>
      <c r="K1800" s="15">
        <v>142</v>
      </c>
      <c r="L1800" s="13" t="s">
        <v>102</v>
      </c>
      <c r="M1800" s="13" t="s">
        <v>103</v>
      </c>
      <c r="N1800" s="138" t="s">
        <v>345</v>
      </c>
      <c r="O1800" s="138" t="s">
        <v>345</v>
      </c>
      <c r="P1800" s="28">
        <v>31</v>
      </c>
      <c r="Q1800" s="13" t="s">
        <v>54</v>
      </c>
      <c r="R1800" s="13" t="s">
        <v>28</v>
      </c>
      <c r="S1800" s="13"/>
      <c r="T1800" s="13"/>
      <c r="U1800" s="13" t="s">
        <v>2431</v>
      </c>
      <c r="V1800" s="13" t="s">
        <v>2431</v>
      </c>
      <c r="W1800" s="59">
        <f>+J1800/$W$2</f>
        <v>1.4462215105561868E-4</v>
      </c>
    </row>
    <row r="1801" spans="1:29">
      <c r="A1801" s="13" t="s">
        <v>417</v>
      </c>
      <c r="B1801" s="13" t="s">
        <v>404</v>
      </c>
      <c r="C1801" s="138">
        <v>46415</v>
      </c>
      <c r="D1801" s="138" t="s">
        <v>424</v>
      </c>
      <c r="E1801" s="28">
        <v>0.87639285</v>
      </c>
      <c r="F1801" s="13"/>
      <c r="G1801" s="18">
        <v>2000000</v>
      </c>
      <c r="H1801" s="18">
        <v>1752785.71</v>
      </c>
      <c r="I1801" s="18">
        <v>2000000</v>
      </c>
      <c r="J1801" s="18">
        <v>1752785.71</v>
      </c>
      <c r="K1801" s="15">
        <v>44</v>
      </c>
      <c r="L1801" s="13" t="s">
        <v>102</v>
      </c>
      <c r="M1801" s="13" t="s">
        <v>103</v>
      </c>
      <c r="N1801" s="138" t="s">
        <v>535</v>
      </c>
      <c r="O1801" s="138" t="s">
        <v>535</v>
      </c>
      <c r="P1801" s="28">
        <v>33</v>
      </c>
      <c r="Q1801" s="13" t="s">
        <v>54</v>
      </c>
      <c r="R1801" s="13" t="s">
        <v>28</v>
      </c>
      <c r="S1801" s="13"/>
      <c r="T1801" s="13"/>
      <c r="U1801" s="13" t="s">
        <v>2335</v>
      </c>
      <c r="V1801" s="13" t="s">
        <v>2335</v>
      </c>
      <c r="W1801" s="59">
        <f>+J1801/$W$2</f>
        <v>2.8686220531970953E-5</v>
      </c>
    </row>
    <row r="1802" spans="1:29">
      <c r="A1802" s="13" t="s">
        <v>565</v>
      </c>
      <c r="B1802" s="13" t="s">
        <v>404</v>
      </c>
      <c r="C1802" s="138">
        <v>46415</v>
      </c>
      <c r="D1802" s="138" t="s">
        <v>424</v>
      </c>
      <c r="E1802" s="28">
        <v>0.89999023</v>
      </c>
      <c r="F1802" s="13"/>
      <c r="G1802" s="18">
        <v>25000000</v>
      </c>
      <c r="H1802" s="18">
        <v>22499755.850000001</v>
      </c>
      <c r="I1802" s="18">
        <v>25000000</v>
      </c>
      <c r="J1802" s="18">
        <v>22499755.850000001</v>
      </c>
      <c r="K1802" s="15">
        <v>9508928</v>
      </c>
      <c r="L1802" s="13" t="s">
        <v>102</v>
      </c>
      <c r="M1802" s="13" t="s">
        <v>103</v>
      </c>
      <c r="N1802" s="138" t="s">
        <v>339</v>
      </c>
      <c r="O1802" s="138" t="s">
        <v>339</v>
      </c>
      <c r="P1802" s="28">
        <v>26</v>
      </c>
      <c r="Q1802" s="13" t="s">
        <v>54</v>
      </c>
      <c r="R1802" s="13" t="s">
        <v>28</v>
      </c>
      <c r="S1802" s="13"/>
      <c r="T1802" s="13"/>
      <c r="U1802" s="13" t="s">
        <v>1566</v>
      </c>
      <c r="V1802" s="13" t="s">
        <v>1566</v>
      </c>
      <c r="W1802" s="59">
        <f>+J1802/$W$2</f>
        <v>3.6823266788762419E-4</v>
      </c>
    </row>
    <row r="1803" spans="1:29">
      <c r="A1803" s="13" t="s">
        <v>2370</v>
      </c>
      <c r="B1803" s="13" t="s">
        <v>404</v>
      </c>
      <c r="C1803" s="138">
        <v>46419</v>
      </c>
      <c r="D1803" s="138" t="s">
        <v>424</v>
      </c>
      <c r="E1803" s="28">
        <v>0.87698224999999996</v>
      </c>
      <c r="F1803" s="13"/>
      <c r="G1803" s="18">
        <v>20000000</v>
      </c>
      <c r="H1803" s="18">
        <v>17539645.079999998</v>
      </c>
      <c r="I1803" s="18">
        <v>20000000</v>
      </c>
      <c r="J1803" s="18">
        <v>17539645.079999998</v>
      </c>
      <c r="K1803" s="15">
        <v>53979</v>
      </c>
      <c r="L1803" s="13" t="s">
        <v>102</v>
      </c>
      <c r="M1803" s="13" t="s">
        <v>103</v>
      </c>
      <c r="N1803" s="138" t="s">
        <v>342</v>
      </c>
      <c r="O1803" s="138" t="s">
        <v>342</v>
      </c>
      <c r="P1803" s="28">
        <v>32</v>
      </c>
      <c r="Q1803" s="13" t="s">
        <v>54</v>
      </c>
      <c r="R1803" s="13" t="s">
        <v>28</v>
      </c>
      <c r="S1803" s="13"/>
      <c r="T1803" s="13"/>
      <c r="U1803" s="13" t="s">
        <v>2372</v>
      </c>
      <c r="V1803" s="13" t="s">
        <v>2372</v>
      </c>
      <c r="W1803" s="59">
        <f>+J1803/$W$2</f>
        <v>2.8705512827200037E-4</v>
      </c>
      <c r="AC1803" s="56"/>
    </row>
    <row r="1804" spans="1:29">
      <c r="A1804" s="13" t="s">
        <v>279</v>
      </c>
      <c r="B1804" s="13" t="s">
        <v>404</v>
      </c>
      <c r="C1804" s="138">
        <v>46420</v>
      </c>
      <c r="D1804" s="138" t="s">
        <v>424</v>
      </c>
      <c r="E1804" s="28">
        <v>0.87630861000000004</v>
      </c>
      <c r="F1804" s="13"/>
      <c r="G1804" s="18">
        <v>50000000</v>
      </c>
      <c r="H1804" s="18">
        <v>43815430.479999997</v>
      </c>
      <c r="I1804" s="18">
        <v>50000000</v>
      </c>
      <c r="J1804" s="18">
        <v>43815430.479999997</v>
      </c>
      <c r="K1804" s="15">
        <v>29937730</v>
      </c>
      <c r="L1804" s="13" t="s">
        <v>102</v>
      </c>
      <c r="M1804" s="13" t="s">
        <v>103</v>
      </c>
      <c r="N1804" s="138" t="s">
        <v>464</v>
      </c>
      <c r="O1804" s="138" t="s">
        <v>464</v>
      </c>
      <c r="P1804" s="28">
        <v>32</v>
      </c>
      <c r="Q1804" s="13" t="s">
        <v>54</v>
      </c>
      <c r="R1804" s="13" t="s">
        <v>28</v>
      </c>
      <c r="S1804" s="13"/>
      <c r="T1804" s="13"/>
      <c r="U1804" s="13" t="s">
        <v>2557</v>
      </c>
      <c r="V1804" s="13" t="s">
        <v>2557</v>
      </c>
      <c r="W1804" s="59">
        <f>+J1804/$W$2</f>
        <v>7.1708657497699584E-4</v>
      </c>
    </row>
    <row r="1805" spans="1:29">
      <c r="A1805" s="13" t="s">
        <v>417</v>
      </c>
      <c r="B1805" s="13" t="s">
        <v>404</v>
      </c>
      <c r="C1805" s="138">
        <v>46421</v>
      </c>
      <c r="D1805" s="138" t="s">
        <v>424</v>
      </c>
      <c r="E1805" s="28">
        <v>0.87224592000000001</v>
      </c>
      <c r="F1805" s="13"/>
      <c r="G1805" s="18">
        <v>2000000</v>
      </c>
      <c r="H1805" s="18">
        <v>1744491.85</v>
      </c>
      <c r="I1805" s="18">
        <v>2000000</v>
      </c>
      <c r="J1805" s="18">
        <v>1744491.85</v>
      </c>
      <c r="K1805" s="15">
        <v>45</v>
      </c>
      <c r="L1805" s="13" t="s">
        <v>102</v>
      </c>
      <c r="M1805" s="13" t="s">
        <v>103</v>
      </c>
      <c r="N1805" s="138" t="s">
        <v>535</v>
      </c>
      <c r="O1805" s="138" t="s">
        <v>535</v>
      </c>
      <c r="P1805" s="28">
        <v>33</v>
      </c>
      <c r="Q1805" s="13" t="s">
        <v>54</v>
      </c>
      <c r="R1805" s="13" t="s">
        <v>28</v>
      </c>
      <c r="S1805" s="13"/>
      <c r="T1805" s="13"/>
      <c r="U1805" s="13" t="s">
        <v>2336</v>
      </c>
      <c r="V1805" s="13" t="s">
        <v>2336</v>
      </c>
      <c r="W1805" s="59">
        <f>+J1805/$W$2</f>
        <v>2.8550482605957573E-5</v>
      </c>
    </row>
    <row r="1806" spans="1:29">
      <c r="A1806" s="13" t="s">
        <v>1208</v>
      </c>
      <c r="B1806" s="13" t="s">
        <v>404</v>
      </c>
      <c r="C1806" s="138">
        <v>46428</v>
      </c>
      <c r="D1806" s="138" t="s">
        <v>424</v>
      </c>
      <c r="E1806" s="28">
        <v>0.87803719999999996</v>
      </c>
      <c r="F1806" s="13"/>
      <c r="G1806" s="18">
        <v>12500000</v>
      </c>
      <c r="H1806" s="18">
        <v>10975465.039999999</v>
      </c>
      <c r="I1806" s="18">
        <v>12500000</v>
      </c>
      <c r="J1806" s="18">
        <v>10975465.039999999</v>
      </c>
      <c r="K1806" s="15">
        <v>240</v>
      </c>
      <c r="L1806" s="13" t="s">
        <v>102</v>
      </c>
      <c r="M1806" s="13" t="s">
        <v>103</v>
      </c>
      <c r="N1806" s="138" t="s">
        <v>355</v>
      </c>
      <c r="O1806" s="138" t="s">
        <v>355</v>
      </c>
      <c r="P1806" s="28">
        <v>30</v>
      </c>
      <c r="Q1806" s="13" t="s">
        <v>54</v>
      </c>
      <c r="R1806" s="13" t="s">
        <v>28</v>
      </c>
      <c r="S1806" s="13"/>
      <c r="T1806" s="13"/>
      <c r="U1806" s="13" t="s">
        <v>1177</v>
      </c>
      <c r="V1806" s="13" t="s">
        <v>1177</v>
      </c>
      <c r="W1806" s="59">
        <f>+J1806/$W$2</f>
        <v>1.7962527237763557E-4</v>
      </c>
      <c r="AB1806" s="52"/>
      <c r="AC1806" s="56"/>
    </row>
    <row r="1807" spans="1:29">
      <c r="A1807" s="13" t="s">
        <v>1168</v>
      </c>
      <c r="B1807" s="13" t="s">
        <v>404</v>
      </c>
      <c r="C1807" s="138">
        <v>46429</v>
      </c>
      <c r="D1807" s="138" t="s">
        <v>424</v>
      </c>
      <c r="E1807" s="28">
        <v>0.88463409000000004</v>
      </c>
      <c r="F1807" s="13"/>
      <c r="G1807" s="18">
        <v>74495580</v>
      </c>
      <c r="H1807" s="18">
        <v>65901329.350000001</v>
      </c>
      <c r="I1807" s="18">
        <v>74495580</v>
      </c>
      <c r="J1807" s="18">
        <v>65901329.350000001</v>
      </c>
      <c r="K1807" s="15">
        <v>155357</v>
      </c>
      <c r="L1807" s="13" t="s">
        <v>102</v>
      </c>
      <c r="M1807" s="13" t="s">
        <v>103</v>
      </c>
      <c r="N1807" s="138" t="s">
        <v>324</v>
      </c>
      <c r="O1807" s="138" t="s">
        <v>324</v>
      </c>
      <c r="P1807" s="28">
        <v>28</v>
      </c>
      <c r="Q1807" s="13" t="s">
        <v>54</v>
      </c>
      <c r="R1807" s="13" t="s">
        <v>28</v>
      </c>
      <c r="S1807" s="13"/>
      <c r="T1807" s="13"/>
      <c r="U1807" s="13" t="s">
        <v>1160</v>
      </c>
      <c r="V1807" s="13" t="s">
        <v>1160</v>
      </c>
      <c r="W1807" s="59">
        <f>+J1807/$W$2</f>
        <v>1.0785460289290869E-3</v>
      </c>
    </row>
    <row r="1808" spans="1:29">
      <c r="A1808" s="13" t="s">
        <v>721</v>
      </c>
      <c r="B1808" s="13" t="s">
        <v>404</v>
      </c>
      <c r="C1808" s="138">
        <v>46430</v>
      </c>
      <c r="D1808" s="138" t="s">
        <v>424</v>
      </c>
      <c r="E1808" s="28">
        <v>0.88403412999999997</v>
      </c>
      <c r="F1808" s="13"/>
      <c r="G1808" s="18">
        <v>50000000</v>
      </c>
      <c r="H1808" s="18">
        <v>44201706.560000002</v>
      </c>
      <c r="I1808" s="18">
        <v>50000000</v>
      </c>
      <c r="J1808" s="18">
        <v>44201706.560000002</v>
      </c>
      <c r="K1808" s="15">
        <v>68036</v>
      </c>
      <c r="L1808" s="13" t="s">
        <v>102</v>
      </c>
      <c r="M1808" s="13" t="s">
        <v>103</v>
      </c>
      <c r="N1808" s="138" t="s">
        <v>342</v>
      </c>
      <c r="O1808" s="138" t="s">
        <v>342</v>
      </c>
      <c r="P1808" s="28">
        <v>28</v>
      </c>
      <c r="Q1808" s="13" t="s">
        <v>54</v>
      </c>
      <c r="R1808" s="13" t="s">
        <v>28</v>
      </c>
      <c r="S1808" s="13"/>
      <c r="T1808" s="13"/>
      <c r="U1808" s="13" t="s">
        <v>2345</v>
      </c>
      <c r="V1808" s="13" t="s">
        <v>2345</v>
      </c>
      <c r="W1808" s="59">
        <f>+J1808/$W$2</f>
        <v>7.234083978637795E-4</v>
      </c>
      <c r="AC1808" s="56"/>
    </row>
    <row r="1809" spans="1:32">
      <c r="A1809" s="13" t="s">
        <v>516</v>
      </c>
      <c r="B1809" s="13" t="s">
        <v>127</v>
      </c>
      <c r="C1809" s="138">
        <v>46433</v>
      </c>
      <c r="D1809" s="138" t="s">
        <v>424</v>
      </c>
      <c r="E1809" s="28">
        <v>0.96326274999999995</v>
      </c>
      <c r="F1809" s="13" t="s">
        <v>2681</v>
      </c>
      <c r="G1809" s="18">
        <v>18230</v>
      </c>
      <c r="H1809" s="18">
        <v>17560.28</v>
      </c>
      <c r="I1809" s="18">
        <v>27555238.199999999</v>
      </c>
      <c r="J1809" s="18">
        <v>26542934.629999999</v>
      </c>
      <c r="K1809" s="15">
        <v>146450</v>
      </c>
      <c r="L1809" s="13" t="s">
        <v>102</v>
      </c>
      <c r="M1809" s="13" t="s">
        <v>103</v>
      </c>
      <c r="N1809" s="138" t="s">
        <v>316</v>
      </c>
      <c r="O1809" s="138" t="s">
        <v>316</v>
      </c>
      <c r="P1809" s="28">
        <v>8</v>
      </c>
      <c r="Q1809" s="13" t="s">
        <v>54</v>
      </c>
      <c r="R1809" s="13" t="s">
        <v>28</v>
      </c>
      <c r="S1809" s="13"/>
      <c r="T1809" s="13"/>
      <c r="U1809" s="13" t="s">
        <v>512</v>
      </c>
      <c r="V1809" s="13" t="s">
        <v>512</v>
      </c>
      <c r="W1809" s="59">
        <f>+J1809/$W$2</f>
        <v>4.3440363075636254E-4</v>
      </c>
    </row>
    <row r="1810" spans="1:32">
      <c r="A1810" s="13" t="s">
        <v>1208</v>
      </c>
      <c r="B1810" s="13" t="s">
        <v>404</v>
      </c>
      <c r="C1810" s="138">
        <v>46434</v>
      </c>
      <c r="D1810" s="138" t="s">
        <v>424</v>
      </c>
      <c r="E1810" s="28">
        <v>0.87425154000000005</v>
      </c>
      <c r="F1810" s="13"/>
      <c r="G1810" s="18">
        <v>12500000</v>
      </c>
      <c r="H1810" s="18">
        <v>10928144.26</v>
      </c>
      <c r="I1810" s="18">
        <v>12500000</v>
      </c>
      <c r="J1810" s="18">
        <v>10928144.26</v>
      </c>
      <c r="K1810" s="15">
        <v>241</v>
      </c>
      <c r="L1810" s="13" t="s">
        <v>102</v>
      </c>
      <c r="M1810" s="13" t="s">
        <v>103</v>
      </c>
      <c r="N1810" s="138" t="s">
        <v>355</v>
      </c>
      <c r="O1810" s="138" t="s">
        <v>355</v>
      </c>
      <c r="P1810" s="28">
        <v>30</v>
      </c>
      <c r="Q1810" s="13" t="s">
        <v>54</v>
      </c>
      <c r="R1810" s="13" t="s">
        <v>28</v>
      </c>
      <c r="S1810" s="13"/>
      <c r="T1810" s="13"/>
      <c r="U1810" s="13" t="s">
        <v>1179</v>
      </c>
      <c r="V1810" s="13" t="s">
        <v>1179</v>
      </c>
      <c r="W1810" s="59">
        <f>+J1810/$W$2</f>
        <v>1.7885081699322647E-4</v>
      </c>
    </row>
    <row r="1811" spans="1:32">
      <c r="A1811" s="13" t="s">
        <v>2580</v>
      </c>
      <c r="B1811" s="13" t="s">
        <v>404</v>
      </c>
      <c r="C1811" s="138">
        <v>46435</v>
      </c>
      <c r="D1811" s="138" t="s">
        <v>424</v>
      </c>
      <c r="E1811" s="28">
        <v>0.84860053000000002</v>
      </c>
      <c r="F1811" s="13"/>
      <c r="G1811" s="18">
        <v>25000000</v>
      </c>
      <c r="H1811" s="18">
        <v>21215013.149999999</v>
      </c>
      <c r="I1811" s="18">
        <v>25000000</v>
      </c>
      <c r="J1811" s="18">
        <v>21215013.149999999</v>
      </c>
      <c r="K1811" s="15">
        <v>43</v>
      </c>
      <c r="L1811" s="13" t="s">
        <v>102</v>
      </c>
      <c r="M1811" s="13" t="s">
        <v>103</v>
      </c>
      <c r="N1811" s="138" t="s">
        <v>464</v>
      </c>
      <c r="O1811" s="138" t="s">
        <v>464</v>
      </c>
      <c r="P1811" s="28">
        <v>37</v>
      </c>
      <c r="Q1811" s="13" t="s">
        <v>54</v>
      </c>
      <c r="R1811" s="13" t="s">
        <v>28</v>
      </c>
      <c r="S1811" s="13"/>
      <c r="T1811" s="13"/>
      <c r="U1811" s="13" t="s">
        <v>2551</v>
      </c>
      <c r="V1811" s="13" t="s">
        <v>2551</v>
      </c>
      <c r="W1811" s="59">
        <f>+J1811/$W$2</f>
        <v>3.4720647386471659E-4</v>
      </c>
    </row>
    <row r="1812" spans="1:32">
      <c r="A1812" s="13" t="s">
        <v>1904</v>
      </c>
      <c r="B1812" s="13" t="s">
        <v>404</v>
      </c>
      <c r="C1812" s="138">
        <v>46436</v>
      </c>
      <c r="D1812" s="138" t="s">
        <v>424</v>
      </c>
      <c r="E1812" s="28">
        <v>0.88803465999999998</v>
      </c>
      <c r="F1812" s="13"/>
      <c r="G1812" s="18">
        <v>3948801</v>
      </c>
      <c r="H1812" s="18">
        <v>3506672.17</v>
      </c>
      <c r="I1812" s="18">
        <v>3948801</v>
      </c>
      <c r="J1812" s="18">
        <v>3506672.17</v>
      </c>
      <c r="K1812" s="15">
        <v>1017</v>
      </c>
      <c r="L1812" s="13" t="s">
        <v>102</v>
      </c>
      <c r="M1812" s="13" t="s">
        <v>103</v>
      </c>
      <c r="N1812" s="138" t="s">
        <v>385</v>
      </c>
      <c r="O1812" s="138" t="s">
        <v>385</v>
      </c>
      <c r="P1812" s="28">
        <v>26</v>
      </c>
      <c r="Q1812" s="13" t="s">
        <v>54</v>
      </c>
      <c r="R1812" s="13" t="s">
        <v>28</v>
      </c>
      <c r="S1812" s="13"/>
      <c r="T1812" s="13"/>
      <c r="U1812" s="13" t="s">
        <v>1892</v>
      </c>
      <c r="V1812" s="13" t="s">
        <v>1892</v>
      </c>
      <c r="W1812" s="59">
        <f>+J1812/$W$2</f>
        <v>5.7390456019832069E-5</v>
      </c>
      <c r="AC1812" s="56"/>
    </row>
    <row r="1813" spans="1:32">
      <c r="A1813" s="13" t="s">
        <v>431</v>
      </c>
      <c r="B1813" s="13" t="s">
        <v>404</v>
      </c>
      <c r="C1813" s="138">
        <v>46449</v>
      </c>
      <c r="D1813" s="138" t="s">
        <v>424</v>
      </c>
      <c r="E1813" s="28">
        <v>0.85721016000000005</v>
      </c>
      <c r="F1813" s="13"/>
      <c r="G1813" s="18">
        <v>25000000</v>
      </c>
      <c r="H1813" s="18">
        <v>21430254.109999999</v>
      </c>
      <c r="I1813" s="18">
        <v>25000000</v>
      </c>
      <c r="J1813" s="18">
        <v>21430254.109999999</v>
      </c>
      <c r="K1813" s="15">
        <v>2703</v>
      </c>
      <c r="L1813" s="13" t="s">
        <v>102</v>
      </c>
      <c r="M1813" s="13" t="s">
        <v>103</v>
      </c>
      <c r="N1813" s="138" t="s">
        <v>342</v>
      </c>
      <c r="O1813" s="138" t="s">
        <v>342</v>
      </c>
      <c r="P1813" s="28">
        <v>32</v>
      </c>
      <c r="Q1813" s="13" t="s">
        <v>54</v>
      </c>
      <c r="R1813" s="13" t="s">
        <v>28</v>
      </c>
      <c r="S1813" s="13"/>
      <c r="T1813" s="13"/>
      <c r="U1813" s="13" t="s">
        <v>2375</v>
      </c>
      <c r="V1813" s="13" t="s">
        <v>2375</v>
      </c>
      <c r="W1813" s="59">
        <f>+J1813/$W$2</f>
        <v>3.5072912333113262E-4</v>
      </c>
    </row>
    <row r="1814" spans="1:32">
      <c r="A1814" s="13" t="s">
        <v>516</v>
      </c>
      <c r="B1814" s="13" t="s">
        <v>127</v>
      </c>
      <c r="C1814" s="138">
        <v>46463</v>
      </c>
      <c r="D1814" s="138" t="s">
        <v>424</v>
      </c>
      <c r="E1814" s="28">
        <v>0.95720406000000002</v>
      </c>
      <c r="F1814" s="13" t="s">
        <v>2681</v>
      </c>
      <c r="G1814" s="18">
        <v>18230</v>
      </c>
      <c r="H1814" s="18">
        <v>17449.830000000002</v>
      </c>
      <c r="I1814" s="18">
        <v>27555238.199999999</v>
      </c>
      <c r="J1814" s="18">
        <v>26375985.859999999</v>
      </c>
      <c r="K1814" s="15">
        <v>146451</v>
      </c>
      <c r="L1814" s="13" t="s">
        <v>102</v>
      </c>
      <c r="M1814" s="13" t="s">
        <v>103</v>
      </c>
      <c r="N1814" s="138" t="s">
        <v>316</v>
      </c>
      <c r="O1814" s="138" t="s">
        <v>316</v>
      </c>
      <c r="P1814" s="28">
        <v>8</v>
      </c>
      <c r="Q1814" s="13" t="s">
        <v>54</v>
      </c>
      <c r="R1814" s="13" t="s">
        <v>28</v>
      </c>
      <c r="S1814" s="13"/>
      <c r="T1814" s="13"/>
      <c r="U1814" s="13" t="s">
        <v>504</v>
      </c>
      <c r="V1814" s="13" t="s">
        <v>504</v>
      </c>
      <c r="W1814" s="59">
        <f>+J1814/$W$2</f>
        <v>4.3167133484224237E-4</v>
      </c>
    </row>
    <row r="1815" spans="1:32">
      <c r="A1815" s="13" t="s">
        <v>1904</v>
      </c>
      <c r="B1815" s="13" t="s">
        <v>404</v>
      </c>
      <c r="C1815" s="138">
        <v>46464</v>
      </c>
      <c r="D1815" s="138" t="s">
        <v>424</v>
      </c>
      <c r="E1815" s="28">
        <v>0.87257956999999997</v>
      </c>
      <c r="F1815" s="13"/>
      <c r="G1815" s="18">
        <v>3948801</v>
      </c>
      <c r="H1815" s="18">
        <v>3445643.06</v>
      </c>
      <c r="I1815" s="18">
        <v>3948801</v>
      </c>
      <c r="J1815" s="18">
        <v>3445643.06</v>
      </c>
      <c r="K1815" s="15">
        <v>1018</v>
      </c>
      <c r="L1815" s="13" t="s">
        <v>102</v>
      </c>
      <c r="M1815" s="13" t="s">
        <v>103</v>
      </c>
      <c r="N1815" s="138" t="s">
        <v>385</v>
      </c>
      <c r="O1815" s="138" t="s">
        <v>385</v>
      </c>
      <c r="P1815" s="28">
        <v>26</v>
      </c>
      <c r="Q1815" s="13" t="s">
        <v>54</v>
      </c>
      <c r="R1815" s="13" t="s">
        <v>28</v>
      </c>
      <c r="S1815" s="13"/>
      <c r="T1815" s="13"/>
      <c r="U1815" s="13" t="s">
        <v>1894</v>
      </c>
      <c r="V1815" s="13" t="s">
        <v>1894</v>
      </c>
      <c r="W1815" s="59">
        <f>+J1815/$W$2</f>
        <v>5.6391649093040143E-5</v>
      </c>
      <c r="AC1815" s="56"/>
    </row>
    <row r="1816" spans="1:32">
      <c r="A1816" s="13" t="s">
        <v>516</v>
      </c>
      <c r="B1816" s="13" t="s">
        <v>127</v>
      </c>
      <c r="C1816" s="138">
        <v>46491</v>
      </c>
      <c r="D1816" s="138" t="s">
        <v>424</v>
      </c>
      <c r="E1816" s="28">
        <v>0.95161492000000003</v>
      </c>
      <c r="F1816" s="13" t="s">
        <v>2681</v>
      </c>
      <c r="G1816" s="18">
        <v>18230</v>
      </c>
      <c r="H1816" s="18">
        <v>17347.939999999999</v>
      </c>
      <c r="I1816" s="18">
        <v>27555238.199999999</v>
      </c>
      <c r="J1816" s="18">
        <v>26221975.809999999</v>
      </c>
      <c r="K1816" s="15">
        <v>146452</v>
      </c>
      <c r="L1816" s="13" t="s">
        <v>102</v>
      </c>
      <c r="M1816" s="13" t="s">
        <v>103</v>
      </c>
      <c r="N1816" s="138" t="s">
        <v>316</v>
      </c>
      <c r="O1816" s="138" t="s">
        <v>316</v>
      </c>
      <c r="P1816" s="28">
        <v>8</v>
      </c>
      <c r="Q1816" s="13" t="s">
        <v>54</v>
      </c>
      <c r="R1816" s="13" t="s">
        <v>28</v>
      </c>
      <c r="S1816" s="13"/>
      <c r="T1816" s="13"/>
      <c r="U1816" s="13" t="s">
        <v>508</v>
      </c>
      <c r="V1816" s="13" t="s">
        <v>508</v>
      </c>
      <c r="W1816" s="59">
        <f>+J1816/$W$2</f>
        <v>4.2915079497633947E-4</v>
      </c>
      <c r="AC1816" s="60"/>
      <c r="AD1816" s="56"/>
      <c r="AE1816" s="60"/>
      <c r="AF1816" s="13"/>
    </row>
    <row r="1817" spans="1:32">
      <c r="A1817" s="13" t="s">
        <v>1904</v>
      </c>
      <c r="B1817" s="13" t="s">
        <v>404</v>
      </c>
      <c r="C1817" s="138">
        <v>46496</v>
      </c>
      <c r="D1817" s="138" t="s">
        <v>424</v>
      </c>
      <c r="E1817" s="28">
        <v>0.85556244000000004</v>
      </c>
      <c r="F1817" s="13"/>
      <c r="G1817" s="18">
        <v>3948801</v>
      </c>
      <c r="H1817" s="18">
        <v>3378445.82</v>
      </c>
      <c r="I1817" s="18">
        <v>3948801</v>
      </c>
      <c r="J1817" s="18">
        <v>3378445.82</v>
      </c>
      <c r="K1817" s="15">
        <v>1019</v>
      </c>
      <c r="L1817" s="13" t="s">
        <v>102</v>
      </c>
      <c r="M1817" s="13" t="s">
        <v>103</v>
      </c>
      <c r="N1817" s="138" t="s">
        <v>385</v>
      </c>
      <c r="O1817" s="138" t="s">
        <v>385</v>
      </c>
      <c r="P1817" s="28">
        <v>26</v>
      </c>
      <c r="Q1817" s="13" t="s">
        <v>54</v>
      </c>
      <c r="R1817" s="13" t="s">
        <v>28</v>
      </c>
      <c r="S1817" s="13"/>
      <c r="T1817" s="13"/>
      <c r="U1817" s="13" t="s">
        <v>1896</v>
      </c>
      <c r="V1817" s="13" t="s">
        <v>1896</v>
      </c>
      <c r="W1817" s="59">
        <f>+J1817/$W$2</f>
        <v>5.5291894094592677E-5</v>
      </c>
    </row>
    <row r="1818" spans="1:32">
      <c r="A1818" s="13" t="s">
        <v>516</v>
      </c>
      <c r="B1818" s="13" t="s">
        <v>127</v>
      </c>
      <c r="C1818" s="138">
        <v>46521</v>
      </c>
      <c r="D1818" s="138" t="s">
        <v>424</v>
      </c>
      <c r="E1818" s="28">
        <v>0.94569281000000005</v>
      </c>
      <c r="F1818" s="13" t="s">
        <v>2681</v>
      </c>
      <c r="G1818" s="18">
        <v>18230</v>
      </c>
      <c r="H1818" s="18">
        <v>17239.98</v>
      </c>
      <c r="I1818" s="18">
        <v>27555238.199999999</v>
      </c>
      <c r="J1818" s="18">
        <v>26058790.760000002</v>
      </c>
      <c r="K1818" s="15">
        <v>146453</v>
      </c>
      <c r="L1818" s="13" t="s">
        <v>102</v>
      </c>
      <c r="M1818" s="13" t="s">
        <v>103</v>
      </c>
      <c r="N1818" s="138" t="s">
        <v>316</v>
      </c>
      <c r="O1818" s="138" t="s">
        <v>316</v>
      </c>
      <c r="P1818" s="28">
        <v>8</v>
      </c>
      <c r="Q1818" s="13" t="s">
        <v>54</v>
      </c>
      <c r="R1818" s="13" t="s">
        <v>28</v>
      </c>
      <c r="S1818" s="13"/>
      <c r="T1818" s="13"/>
      <c r="U1818" s="13" t="s">
        <v>506</v>
      </c>
      <c r="V1818" s="13" t="s">
        <v>506</v>
      </c>
      <c r="W1818" s="59">
        <f>+J1818/$W$2</f>
        <v>4.2648009638203118E-4</v>
      </c>
    </row>
    <row r="1819" spans="1:32">
      <c r="A1819" s="13" t="s">
        <v>516</v>
      </c>
      <c r="B1819" s="13" t="s">
        <v>127</v>
      </c>
      <c r="C1819" s="138">
        <v>46553</v>
      </c>
      <c r="D1819" s="138" t="s">
        <v>424</v>
      </c>
      <c r="E1819" s="28">
        <v>0.93946735999999997</v>
      </c>
      <c r="F1819" s="13" t="s">
        <v>2681</v>
      </c>
      <c r="G1819" s="18">
        <v>18230</v>
      </c>
      <c r="H1819" s="18">
        <v>17126.490000000002</v>
      </c>
      <c r="I1819" s="18">
        <v>27555238.199999999</v>
      </c>
      <c r="J1819" s="18">
        <v>25887246.93</v>
      </c>
      <c r="K1819" s="15">
        <v>146455</v>
      </c>
      <c r="L1819" s="13" t="s">
        <v>102</v>
      </c>
      <c r="M1819" s="13" t="s">
        <v>103</v>
      </c>
      <c r="N1819" s="138" t="s">
        <v>316</v>
      </c>
      <c r="O1819" s="138" t="s">
        <v>316</v>
      </c>
      <c r="P1819" s="28">
        <v>8</v>
      </c>
      <c r="Q1819" s="13" t="s">
        <v>54</v>
      </c>
      <c r="R1819" s="13" t="s">
        <v>28</v>
      </c>
      <c r="S1819" s="13"/>
      <c r="T1819" s="13"/>
      <c r="U1819" s="13" t="s">
        <v>502</v>
      </c>
      <c r="V1819" s="13" t="s">
        <v>502</v>
      </c>
      <c r="W1819" s="59">
        <f>+J1819/$W$2</f>
        <v>4.2367259737618925E-4</v>
      </c>
      <c r="AC1819" s="56"/>
    </row>
    <row r="1820" spans="1:32">
      <c r="A1820" s="13" t="s">
        <v>516</v>
      </c>
      <c r="B1820" s="13" t="s">
        <v>127</v>
      </c>
      <c r="C1820" s="138">
        <v>46582</v>
      </c>
      <c r="D1820" s="138" t="s">
        <v>424</v>
      </c>
      <c r="E1820" s="28">
        <v>0.93388508000000003</v>
      </c>
      <c r="F1820" s="13" t="s">
        <v>2681</v>
      </c>
      <c r="G1820" s="18">
        <v>20100</v>
      </c>
      <c r="H1820" s="18">
        <v>18771.09</v>
      </c>
      <c r="I1820" s="18">
        <v>30381804.050000001</v>
      </c>
      <c r="J1820" s="18">
        <v>28373113.34</v>
      </c>
      <c r="K1820" s="15">
        <v>160644</v>
      </c>
      <c r="L1820" s="13" t="s">
        <v>102</v>
      </c>
      <c r="M1820" s="13" t="s">
        <v>103</v>
      </c>
      <c r="N1820" s="138" t="s">
        <v>422</v>
      </c>
      <c r="O1820" s="138" t="s">
        <v>422</v>
      </c>
      <c r="P1820" s="28">
        <v>8</v>
      </c>
      <c r="Q1820" s="13" t="s">
        <v>54</v>
      </c>
      <c r="R1820" s="13" t="s">
        <v>28</v>
      </c>
      <c r="S1820" s="13"/>
      <c r="T1820" s="13"/>
      <c r="U1820" s="13" t="s">
        <v>2270</v>
      </c>
      <c r="V1820" s="13" t="s">
        <v>2270</v>
      </c>
      <c r="W1820" s="59">
        <f>+J1820/$W$2</f>
        <v>4.6435647084882209E-4</v>
      </c>
    </row>
    <row r="1821" spans="1:32">
      <c r="A1821" s="13" t="s">
        <v>300</v>
      </c>
      <c r="B1821" s="13" t="s">
        <v>127</v>
      </c>
      <c r="C1821" s="138">
        <v>46596</v>
      </c>
      <c r="D1821" s="138" t="s">
        <v>424</v>
      </c>
      <c r="E1821" s="28">
        <v>0.91547467999999999</v>
      </c>
      <c r="F1821" s="13" t="s">
        <v>2681</v>
      </c>
      <c r="G1821" s="18">
        <v>20856</v>
      </c>
      <c r="H1821" s="18">
        <v>19093.14</v>
      </c>
      <c r="I1821" s="18">
        <v>31524522.649999999</v>
      </c>
      <c r="J1821" s="18">
        <v>28859902.399999999</v>
      </c>
      <c r="K1821" s="15">
        <v>134917</v>
      </c>
      <c r="L1821" s="13" t="s">
        <v>102</v>
      </c>
      <c r="M1821" s="13" t="s">
        <v>103</v>
      </c>
      <c r="N1821" s="138" t="s">
        <v>142</v>
      </c>
      <c r="O1821" s="138" t="s">
        <v>142</v>
      </c>
      <c r="P1821" s="28">
        <v>10</v>
      </c>
      <c r="Q1821" s="13" t="s">
        <v>54</v>
      </c>
      <c r="R1821" s="13" t="s">
        <v>28</v>
      </c>
      <c r="S1821" s="13"/>
      <c r="T1821" s="13"/>
      <c r="U1821" s="13" t="s">
        <v>294</v>
      </c>
      <c r="V1821" s="13" t="s">
        <v>294</v>
      </c>
      <c r="W1821" s="59">
        <f>+J1821/$W$2</f>
        <v>4.7232329659828052E-4</v>
      </c>
    </row>
    <row r="1822" spans="1:32">
      <c r="A1822" s="13" t="s">
        <v>516</v>
      </c>
      <c r="B1822" s="13" t="s">
        <v>127</v>
      </c>
      <c r="C1822" s="138">
        <v>46618</v>
      </c>
      <c r="D1822" s="138" t="s">
        <v>424</v>
      </c>
      <c r="E1822" s="28">
        <v>0.92705621999999999</v>
      </c>
      <c r="F1822" s="13" t="s">
        <v>2681</v>
      </c>
      <c r="G1822" s="18">
        <v>20100</v>
      </c>
      <c r="H1822" s="18">
        <v>18633.830000000002</v>
      </c>
      <c r="I1822" s="18">
        <v>30381804.050000001</v>
      </c>
      <c r="J1822" s="18">
        <v>28165640.390000001</v>
      </c>
      <c r="K1822" s="15">
        <v>160645</v>
      </c>
      <c r="L1822" s="13" t="s">
        <v>102</v>
      </c>
      <c r="M1822" s="13" t="s">
        <v>103</v>
      </c>
      <c r="N1822" s="138" t="s">
        <v>422</v>
      </c>
      <c r="O1822" s="138" t="s">
        <v>422</v>
      </c>
      <c r="P1822" s="28">
        <v>8</v>
      </c>
      <c r="Q1822" s="13" t="s">
        <v>54</v>
      </c>
      <c r="R1822" s="13" t="s">
        <v>28</v>
      </c>
      <c r="S1822" s="13"/>
      <c r="T1822" s="13"/>
      <c r="U1822" s="13" t="s">
        <v>2274</v>
      </c>
      <c r="V1822" s="13" t="s">
        <v>2274</v>
      </c>
      <c r="W1822" s="59">
        <f>+J1822/$W$2</f>
        <v>4.6096095320843775E-4</v>
      </c>
    </row>
    <row r="1823" spans="1:32">
      <c r="A1823" s="13" t="s">
        <v>516</v>
      </c>
      <c r="B1823" s="13" t="s">
        <v>127</v>
      </c>
      <c r="C1823" s="138">
        <v>46646</v>
      </c>
      <c r="D1823" s="138" t="s">
        <v>424</v>
      </c>
      <c r="E1823" s="28">
        <v>0.92181044999999995</v>
      </c>
      <c r="F1823" s="13" t="s">
        <v>2681</v>
      </c>
      <c r="G1823" s="18">
        <v>20100</v>
      </c>
      <c r="H1823" s="18">
        <v>18528.39</v>
      </c>
      <c r="I1823" s="18">
        <v>30381804.050000001</v>
      </c>
      <c r="J1823" s="18">
        <v>28006264.399999999</v>
      </c>
      <c r="K1823" s="15">
        <v>160646</v>
      </c>
      <c r="L1823" s="13" t="s">
        <v>102</v>
      </c>
      <c r="M1823" s="13" t="s">
        <v>103</v>
      </c>
      <c r="N1823" s="138" t="s">
        <v>422</v>
      </c>
      <c r="O1823" s="138" t="s">
        <v>422</v>
      </c>
      <c r="P1823" s="28">
        <v>8</v>
      </c>
      <c r="Q1823" s="13" t="s">
        <v>54</v>
      </c>
      <c r="R1823" s="13" t="s">
        <v>28</v>
      </c>
      <c r="S1823" s="13"/>
      <c r="T1823" s="13"/>
      <c r="U1823" s="13" t="s">
        <v>2272</v>
      </c>
      <c r="V1823" s="13" t="s">
        <v>2272</v>
      </c>
      <c r="W1823" s="59">
        <f>+J1823/$W$2</f>
        <v>4.5835259397173376E-4</v>
      </c>
    </row>
    <row r="1824" spans="1:32">
      <c r="A1824" s="13" t="s">
        <v>300</v>
      </c>
      <c r="B1824" s="13" t="s">
        <v>127</v>
      </c>
      <c r="C1824" s="138">
        <v>46779</v>
      </c>
      <c r="D1824" s="138" t="s">
        <v>424</v>
      </c>
      <c r="E1824" s="28">
        <v>0.87529966999999997</v>
      </c>
      <c r="F1824" s="13" t="s">
        <v>2681</v>
      </c>
      <c r="G1824" s="18">
        <v>20856</v>
      </c>
      <c r="H1824" s="18">
        <v>18255.25</v>
      </c>
      <c r="I1824" s="18">
        <v>31524522.649999999</v>
      </c>
      <c r="J1824" s="18">
        <v>27593404.399999999</v>
      </c>
      <c r="K1824" s="15">
        <v>134918</v>
      </c>
      <c r="L1824" s="13" t="s">
        <v>102</v>
      </c>
      <c r="M1824" s="13" t="s">
        <v>103</v>
      </c>
      <c r="N1824" s="138" t="s">
        <v>142</v>
      </c>
      <c r="O1824" s="138" t="s">
        <v>142</v>
      </c>
      <c r="P1824" s="28">
        <v>10</v>
      </c>
      <c r="Q1824" s="13" t="s">
        <v>54</v>
      </c>
      <c r="R1824" s="13" t="s">
        <v>28</v>
      </c>
      <c r="S1824" s="13"/>
      <c r="T1824" s="13"/>
      <c r="U1824" s="13" t="s">
        <v>292</v>
      </c>
      <c r="V1824" s="13" t="s">
        <v>292</v>
      </c>
      <c r="W1824" s="59">
        <f>+J1824/$W$2</f>
        <v>4.5159569668459793E-4</v>
      </c>
    </row>
    <row r="1825" spans="1:29">
      <c r="A1825" s="13" t="s">
        <v>300</v>
      </c>
      <c r="B1825" s="13" t="s">
        <v>127</v>
      </c>
      <c r="C1825" s="138">
        <v>46961</v>
      </c>
      <c r="D1825" s="138" t="s">
        <v>424</v>
      </c>
      <c r="E1825" s="28">
        <v>0.83869676999999998</v>
      </c>
      <c r="F1825" s="13" t="s">
        <v>2681</v>
      </c>
      <c r="G1825" s="18">
        <v>20856</v>
      </c>
      <c r="H1825" s="18">
        <v>17491.86</v>
      </c>
      <c r="I1825" s="18">
        <v>31524522.649999999</v>
      </c>
      <c r="J1825" s="18">
        <v>26439515.57</v>
      </c>
      <c r="K1825" s="15">
        <v>134919</v>
      </c>
      <c r="L1825" s="13" t="s">
        <v>102</v>
      </c>
      <c r="M1825" s="13" t="s">
        <v>103</v>
      </c>
      <c r="N1825" s="138" t="s">
        <v>142</v>
      </c>
      <c r="O1825" s="138" t="s">
        <v>142</v>
      </c>
      <c r="P1825" s="28">
        <v>10</v>
      </c>
      <c r="Q1825" s="13" t="s">
        <v>54</v>
      </c>
      <c r="R1825" s="13" t="s">
        <v>28</v>
      </c>
      <c r="S1825" s="13"/>
      <c r="T1825" s="13"/>
      <c r="U1825" s="13" t="s">
        <v>296</v>
      </c>
      <c r="V1825" s="13" t="s">
        <v>296</v>
      </c>
      <c r="W1825" s="59">
        <f>+J1825/$W$2</f>
        <v>4.3271106677353029E-4</v>
      </c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82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F20" sqref="F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238</v>
      </c>
      <c r="C2" s="14" t="s">
        <v>239</v>
      </c>
      <c r="D2" s="14" t="s">
        <v>240</v>
      </c>
      <c r="E2" s="14" t="s">
        <v>241</v>
      </c>
      <c r="F2" s="14" t="s">
        <v>73</v>
      </c>
      <c r="G2" s="14" t="s">
        <v>69</v>
      </c>
      <c r="H2" s="14" t="s">
        <v>242</v>
      </c>
      <c r="I2" s="14" t="s">
        <v>69</v>
      </c>
      <c r="J2" s="14" t="s">
        <v>243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244</v>
      </c>
      <c r="G3" s="14" t="s">
        <v>245</v>
      </c>
      <c r="H3" s="14"/>
      <c r="I3" s="14" t="s">
        <v>246</v>
      </c>
      <c r="J3" s="14"/>
    </row>
    <row r="4" spans="1:10">
      <c r="A4" s="13" t="s">
        <v>102</v>
      </c>
      <c r="B4" s="13" t="s">
        <v>301</v>
      </c>
      <c r="C4" s="13" t="s">
        <v>251</v>
      </c>
      <c r="D4" s="28">
        <v>334081676.28821802</v>
      </c>
      <c r="E4" s="18">
        <v>596565640.37</v>
      </c>
      <c r="F4" s="13" t="s">
        <v>120</v>
      </c>
      <c r="G4" s="138" t="s">
        <v>424</v>
      </c>
      <c r="H4" s="13" t="s">
        <v>249</v>
      </c>
      <c r="I4" s="92">
        <v>1.7856879999999999</v>
      </c>
      <c r="J4" s="28">
        <v>1.28256233</v>
      </c>
    </row>
    <row r="5" spans="1:10">
      <c r="A5" s="13" t="s">
        <v>102</v>
      </c>
      <c r="B5" s="13" t="s">
        <v>264</v>
      </c>
      <c r="C5" s="13" t="s">
        <v>251</v>
      </c>
      <c r="D5" s="28">
        <v>1807834101.9913139</v>
      </c>
      <c r="E5" s="18">
        <v>3228227661.9200001</v>
      </c>
      <c r="F5" s="13" t="s">
        <v>120</v>
      </c>
      <c r="G5" s="138" t="s">
        <v>424</v>
      </c>
      <c r="H5" s="13" t="s">
        <v>249</v>
      </c>
      <c r="I5" s="92">
        <v>1.7856879999999999</v>
      </c>
      <c r="J5" s="28">
        <v>6.9403983800000004</v>
      </c>
    </row>
    <row r="6" spans="1:10">
      <c r="A6" s="13" t="s">
        <v>102</v>
      </c>
      <c r="B6" s="13" t="s">
        <v>1152</v>
      </c>
      <c r="C6" s="13" t="s">
        <v>251</v>
      </c>
      <c r="D6" s="28">
        <v>290751767.77074802</v>
      </c>
      <c r="E6" s="18">
        <v>519191942.69</v>
      </c>
      <c r="F6" s="13" t="s">
        <v>120</v>
      </c>
      <c r="G6" s="138" t="s">
        <v>424</v>
      </c>
      <c r="H6" s="13" t="s">
        <v>249</v>
      </c>
      <c r="I6" s="92">
        <v>1.7856879999999999</v>
      </c>
      <c r="J6" s="28">
        <v>1.1162158600000001</v>
      </c>
    </row>
    <row r="7" spans="1:10">
      <c r="A7" s="13" t="s">
        <v>102</v>
      </c>
      <c r="B7" s="13" t="s">
        <v>1153</v>
      </c>
      <c r="C7" s="13" t="s">
        <v>251</v>
      </c>
      <c r="D7" s="28">
        <v>581503535.54149604</v>
      </c>
      <c r="E7" s="18">
        <v>1038383885.37</v>
      </c>
      <c r="F7" s="13" t="s">
        <v>120</v>
      </c>
      <c r="G7" s="138" t="s">
        <v>424</v>
      </c>
      <c r="H7" s="13" t="s">
        <v>249</v>
      </c>
      <c r="I7" s="92">
        <v>1.7856879999999999</v>
      </c>
      <c r="J7" s="28">
        <v>2.2324317200000001</v>
      </c>
    </row>
    <row r="8" spans="1:10">
      <c r="A8" s="13" t="s">
        <v>102</v>
      </c>
      <c r="B8" s="13" t="s">
        <v>247</v>
      </c>
      <c r="C8" s="13" t="s">
        <v>251</v>
      </c>
      <c r="D8" s="28">
        <v>22717524310.820465</v>
      </c>
      <c r="E8" s="18">
        <v>40566410551.540001</v>
      </c>
      <c r="F8" s="13" t="s">
        <v>120</v>
      </c>
      <c r="G8" s="138" t="s">
        <v>424</v>
      </c>
      <c r="H8" s="13" t="s">
        <v>249</v>
      </c>
      <c r="I8" s="92">
        <v>1.7856879999999999</v>
      </c>
      <c r="J8" s="28">
        <v>87.214124740000003</v>
      </c>
    </row>
    <row r="9" spans="1:10">
      <c r="A9" s="13" t="s">
        <v>102</v>
      </c>
      <c r="B9" s="13" t="s">
        <v>252</v>
      </c>
      <c r="C9" s="13" t="s">
        <v>251</v>
      </c>
      <c r="D9" s="28">
        <v>316292106.61225098</v>
      </c>
      <c r="E9" s="18">
        <v>564799019.26999998</v>
      </c>
      <c r="F9" s="13" t="s">
        <v>120</v>
      </c>
      <c r="G9" s="138" t="s">
        <v>424</v>
      </c>
      <c r="H9" s="13" t="s">
        <v>249</v>
      </c>
      <c r="I9" s="92">
        <v>1.7856879999999999</v>
      </c>
      <c r="J9" s="28">
        <v>1.21426696</v>
      </c>
    </row>
    <row r="10" spans="1:10">
      <c r="A10" s="13" t="s">
        <v>102</v>
      </c>
      <c r="B10" s="13" t="s">
        <v>247</v>
      </c>
      <c r="C10" s="13" t="s">
        <v>248</v>
      </c>
      <c r="D10" s="28">
        <v>3971676038.8057852</v>
      </c>
      <c r="E10" s="18">
        <v>5875054120.29</v>
      </c>
      <c r="F10" s="13" t="s">
        <v>120</v>
      </c>
      <c r="G10" s="138" t="s">
        <v>424</v>
      </c>
      <c r="H10" s="13" t="s">
        <v>249</v>
      </c>
      <c r="I10" s="92">
        <v>1.4792380000000001</v>
      </c>
      <c r="J10" s="28">
        <v>93.522985410000004</v>
      </c>
    </row>
    <row r="11" spans="1:10">
      <c r="A11" s="13" t="s">
        <v>102</v>
      </c>
      <c r="B11" s="13" t="s">
        <v>252</v>
      </c>
      <c r="C11" s="13" t="s">
        <v>248</v>
      </c>
      <c r="D11" s="28">
        <v>275061831.676063</v>
      </c>
      <c r="E11" s="18">
        <v>406881913.75999999</v>
      </c>
      <c r="F11" s="13" t="s">
        <v>120</v>
      </c>
      <c r="G11" s="138" t="s">
        <v>424</v>
      </c>
      <c r="H11" s="13" t="s">
        <v>249</v>
      </c>
      <c r="I11" s="92">
        <v>1.4792380000000001</v>
      </c>
      <c r="J11" s="28">
        <v>6.4770145899999996</v>
      </c>
    </row>
    <row r="12" spans="1:10">
      <c r="A12" s="13" t="s">
        <v>102</v>
      </c>
      <c r="B12" s="13" t="s">
        <v>247</v>
      </c>
      <c r="C12" s="13" t="s">
        <v>250</v>
      </c>
      <c r="D12" s="28">
        <v>4517111272.4035692</v>
      </c>
      <c r="E12" s="18">
        <v>8006688141.0100002</v>
      </c>
      <c r="F12" s="13" t="s">
        <v>120</v>
      </c>
      <c r="G12" s="138" t="s">
        <v>424</v>
      </c>
      <c r="H12" s="13" t="s">
        <v>249</v>
      </c>
      <c r="I12" s="92">
        <v>1.772524</v>
      </c>
      <c r="J12" s="28">
        <v>96.390702599999997</v>
      </c>
    </row>
    <row r="13" spans="1:10">
      <c r="A13" s="13" t="s">
        <v>102</v>
      </c>
      <c r="B13" s="13" t="s">
        <v>252</v>
      </c>
      <c r="C13" s="13" t="s">
        <v>250</v>
      </c>
      <c r="D13" s="28">
        <v>169140773.328529</v>
      </c>
      <c r="E13" s="18">
        <v>299806080.10000002</v>
      </c>
      <c r="F13" s="13" t="s">
        <v>120</v>
      </c>
      <c r="G13" s="138" t="s">
        <v>424</v>
      </c>
      <c r="H13" s="13" t="s">
        <v>249</v>
      </c>
      <c r="I13" s="92">
        <v>1.772524</v>
      </c>
      <c r="J13" s="28">
        <v>3.6092974</v>
      </c>
    </row>
    <row r="14" spans="1:10">
      <c r="A14" s="147"/>
      <c r="B14" s="147"/>
      <c r="C14" s="147"/>
      <c r="D14" s="148">
        <v>34980977415.238434</v>
      </c>
      <c r="E14" s="146">
        <v>61102008956.32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2026-08-26T13:23:42Z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